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evelyn\OneDrive\Документы\SRWB BILLING FILES\75) JUNE 2026 BILLING\JUNE REPORTS\Zone Mgt\"/>
    </mc:Choice>
  </mc:AlternateContent>
  <bookViews>
    <workbookView xWindow="0" yWindow="0" windowWidth="23040" windowHeight="8016" tabRatio="868" activeTab="4"/>
  </bookViews>
  <sheets>
    <sheet name="Mangochi" sheetId="1" r:id="rId1"/>
    <sheet name="Monkey Bay" sheetId="2" r:id="rId2"/>
    <sheet name="Namwera" sheetId="3" r:id="rId3"/>
    <sheet name="Nkhudzi" sheetId="18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2" i="1" l="1"/>
  <c r="O82" i="1"/>
  <c r="N82" i="1"/>
  <c r="M82" i="1"/>
  <c r="L82" i="1"/>
  <c r="K82" i="1"/>
  <c r="J82" i="1"/>
  <c r="I82" i="1"/>
  <c r="H82" i="1"/>
  <c r="G82" i="1"/>
  <c r="F82" i="1"/>
  <c r="E82" i="1"/>
  <c r="D82" i="1"/>
  <c r="O70" i="1"/>
  <c r="N70" i="1"/>
  <c r="M70" i="1"/>
  <c r="L70" i="1"/>
  <c r="K70" i="1"/>
  <c r="J70" i="1"/>
  <c r="I70" i="1"/>
  <c r="H70" i="1"/>
  <c r="G70" i="1"/>
  <c r="F70" i="1"/>
  <c r="E70" i="1"/>
  <c r="D70" i="1"/>
  <c r="O82" i="2"/>
  <c r="N82" i="2"/>
  <c r="M82" i="2"/>
  <c r="L82" i="2"/>
  <c r="K82" i="2"/>
  <c r="J82" i="2"/>
  <c r="I82" i="2"/>
  <c r="H82" i="2"/>
  <c r="G82" i="2"/>
  <c r="F82" i="2"/>
  <c r="E82" i="2"/>
  <c r="D82" i="2"/>
  <c r="O70" i="2"/>
  <c r="N70" i="2"/>
  <c r="M70" i="2"/>
  <c r="L70" i="2"/>
  <c r="K70" i="2"/>
  <c r="J70" i="2"/>
  <c r="I70" i="2"/>
  <c r="H70" i="2"/>
  <c r="G70" i="2"/>
  <c r="F70" i="2"/>
  <c r="E70" i="2"/>
  <c r="D70" i="2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O70" i="3"/>
  <c r="N70" i="3"/>
  <c r="M70" i="3"/>
  <c r="L70" i="3"/>
  <c r="K70" i="3"/>
  <c r="J70" i="3"/>
  <c r="I70" i="3"/>
  <c r="H70" i="3"/>
  <c r="G70" i="3"/>
  <c r="F70" i="3"/>
  <c r="E70" i="3"/>
  <c r="D70" i="3"/>
  <c r="O82" i="18"/>
  <c r="N82" i="18"/>
  <c r="M82" i="18"/>
  <c r="L82" i="18"/>
  <c r="K82" i="18"/>
  <c r="J82" i="18"/>
  <c r="I82" i="18"/>
  <c r="H82" i="18"/>
  <c r="G82" i="18"/>
  <c r="F82" i="18"/>
  <c r="E82" i="18"/>
  <c r="D82" i="18"/>
  <c r="E70" i="18"/>
  <c r="F70" i="18"/>
  <c r="G70" i="18"/>
  <c r="H70" i="18"/>
  <c r="I70" i="18"/>
  <c r="J70" i="18"/>
  <c r="K70" i="18"/>
  <c r="L70" i="18"/>
  <c r="M70" i="18"/>
  <c r="N70" i="18"/>
  <c r="O70" i="18"/>
  <c r="D70" i="18"/>
  <c r="E193" i="2"/>
  <c r="F193" i="2"/>
  <c r="G193" i="2"/>
  <c r="H193" i="2"/>
  <c r="I193" i="2"/>
  <c r="J193" i="2"/>
  <c r="K193" i="2"/>
  <c r="L193" i="2"/>
  <c r="M193" i="2"/>
  <c r="N193" i="2"/>
  <c r="O193" i="2"/>
  <c r="D193" i="2"/>
  <c r="O263" i="18" l="1"/>
  <c r="N263" i="18"/>
  <c r="M263" i="18"/>
  <c r="L263" i="18"/>
  <c r="K263" i="18"/>
  <c r="J263" i="18"/>
  <c r="I263" i="18"/>
  <c r="H263" i="18"/>
  <c r="G263" i="18"/>
  <c r="F263" i="18"/>
  <c r="E263" i="18"/>
  <c r="D263" i="18"/>
  <c r="P262" i="18"/>
  <c r="P261" i="18"/>
  <c r="P263" i="18" s="1"/>
  <c r="P257" i="18"/>
  <c r="N256" i="18"/>
  <c r="N258" i="18" s="1"/>
  <c r="M256" i="18"/>
  <c r="M258" i="18" s="1"/>
  <c r="L256" i="18"/>
  <c r="L258" i="18" s="1"/>
  <c r="K256" i="18"/>
  <c r="K258" i="18" s="1"/>
  <c r="F256" i="18"/>
  <c r="F258" i="18" s="1"/>
  <c r="P254" i="18"/>
  <c r="P253" i="18"/>
  <c r="G250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P246" i="18"/>
  <c r="P245" i="18"/>
  <c r="P247" i="18" s="1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P241" i="18"/>
  <c r="P240" i="18"/>
  <c r="P239" i="18"/>
  <c r="P238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P235" i="18"/>
  <c r="P234" i="18"/>
  <c r="P233" i="18"/>
  <c r="P232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P228" i="18"/>
  <c r="P227" i="18"/>
  <c r="P226" i="18"/>
  <c r="P225" i="18"/>
  <c r="O223" i="18"/>
  <c r="O230" i="18" s="1"/>
  <c r="N223" i="18"/>
  <c r="M223" i="18"/>
  <c r="L223" i="18"/>
  <c r="K223" i="18"/>
  <c r="K230" i="18" s="1"/>
  <c r="K243" i="18" s="1"/>
  <c r="J223" i="18"/>
  <c r="J230" i="18" s="1"/>
  <c r="J243" i="18" s="1"/>
  <c r="I223" i="18"/>
  <c r="I230" i="18" s="1"/>
  <c r="I243" i="18" s="1"/>
  <c r="H223" i="18"/>
  <c r="H250" i="18" s="1"/>
  <c r="G223" i="18"/>
  <c r="F223" i="18"/>
  <c r="E223" i="18"/>
  <c r="D223" i="18"/>
  <c r="P222" i="18"/>
  <c r="P221" i="18"/>
  <c r="P220" i="18"/>
  <c r="P219" i="18"/>
  <c r="O216" i="18"/>
  <c r="N216" i="18"/>
  <c r="M216" i="18"/>
  <c r="L216" i="18"/>
  <c r="K216" i="18"/>
  <c r="J216" i="18"/>
  <c r="I216" i="18"/>
  <c r="H216" i="18"/>
  <c r="H217" i="18" s="1"/>
  <c r="G216" i="18"/>
  <c r="F216" i="18"/>
  <c r="E216" i="18"/>
  <c r="D216" i="18"/>
  <c r="P215" i="18"/>
  <c r="P214" i="18"/>
  <c r="P213" i="18"/>
  <c r="P212" i="18"/>
  <c r="O210" i="18"/>
  <c r="O251" i="18" s="1"/>
  <c r="N210" i="18"/>
  <c r="M210" i="18"/>
  <c r="L210" i="18"/>
  <c r="L251" i="18" s="1"/>
  <c r="K210" i="18"/>
  <c r="K251" i="18" s="1"/>
  <c r="J210" i="18"/>
  <c r="J251" i="18" s="1"/>
  <c r="I210" i="18"/>
  <c r="I217" i="18" s="1"/>
  <c r="H210" i="18"/>
  <c r="G210" i="18"/>
  <c r="G217" i="18" s="1"/>
  <c r="F210" i="18"/>
  <c r="E210" i="18"/>
  <c r="D210" i="18"/>
  <c r="D217" i="18" s="1"/>
  <c r="P209" i="18"/>
  <c r="P208" i="18"/>
  <c r="P207" i="18"/>
  <c r="P206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P203" i="18"/>
  <c r="P202" i="18"/>
  <c r="P201" i="18"/>
  <c r="P200" i="18"/>
  <c r="P199" i="18"/>
  <c r="P197" i="18"/>
  <c r="P196" i="18"/>
  <c r="P195" i="18"/>
  <c r="P194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P192" i="18"/>
  <c r="P191" i="18"/>
  <c r="P190" i="18"/>
  <c r="P189" i="18"/>
  <c r="P187" i="18"/>
  <c r="P186" i="18"/>
  <c r="P185" i="18"/>
  <c r="P184" i="18"/>
  <c r="P182" i="18"/>
  <c r="P181" i="18"/>
  <c r="P180" i="18"/>
  <c r="P179" i="18"/>
  <c r="P178" i="18"/>
  <c r="P177" i="18"/>
  <c r="P175" i="18"/>
  <c r="P174" i="18"/>
  <c r="P173" i="18"/>
  <c r="P172" i="18"/>
  <c r="P171" i="18"/>
  <c r="P170" i="18"/>
  <c r="P169" i="18"/>
  <c r="P168" i="18"/>
  <c r="P167" i="18"/>
  <c r="P165" i="18"/>
  <c r="P164" i="18"/>
  <c r="P163" i="18"/>
  <c r="P162" i="18"/>
  <c r="P161" i="18"/>
  <c r="P160" i="18"/>
  <c r="P159" i="18"/>
  <c r="P158" i="18"/>
  <c r="P157" i="18"/>
  <c r="P156" i="18"/>
  <c r="P155" i="18"/>
  <c r="P154" i="18"/>
  <c r="P153" i="18"/>
  <c r="J149" i="18"/>
  <c r="I149" i="18"/>
  <c r="F149" i="18"/>
  <c r="E149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O145" i="18"/>
  <c r="O149" i="18" s="1"/>
  <c r="N145" i="18"/>
  <c r="N149" i="18" s="1"/>
  <c r="M145" i="18"/>
  <c r="M149" i="18" s="1"/>
  <c r="L145" i="18"/>
  <c r="L149" i="18" s="1"/>
  <c r="K145" i="18"/>
  <c r="K149" i="18" s="1"/>
  <c r="J145" i="18"/>
  <c r="I145" i="18"/>
  <c r="H145" i="18"/>
  <c r="G145" i="18"/>
  <c r="F145" i="18"/>
  <c r="E145" i="18"/>
  <c r="D145" i="18"/>
  <c r="D149" i="18" s="1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P142" i="18"/>
  <c r="P141" i="18"/>
  <c r="P140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P138" i="18"/>
  <c r="P137" i="18"/>
  <c r="P136" i="18"/>
  <c r="P135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P133" i="18"/>
  <c r="P132" i="18"/>
  <c r="P131" i="18"/>
  <c r="P130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P128" i="18"/>
  <c r="P127" i="18"/>
  <c r="P147" i="18" s="1"/>
  <c r="P126" i="18"/>
  <c r="P125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P122" i="18"/>
  <c r="P123" i="18" s="1"/>
  <c r="P121" i="18"/>
  <c r="K118" i="18"/>
  <c r="J118" i="18"/>
  <c r="O117" i="18"/>
  <c r="O118" i="18" s="1"/>
  <c r="N117" i="18"/>
  <c r="N118" i="18" s="1"/>
  <c r="N119" i="18" s="1"/>
  <c r="M117" i="18"/>
  <c r="M118" i="18" s="1"/>
  <c r="L117" i="18"/>
  <c r="L118" i="18" s="1"/>
  <c r="L119" i="18" s="1"/>
  <c r="K117" i="18"/>
  <c r="J117" i="18"/>
  <c r="I117" i="18"/>
  <c r="H117" i="18"/>
  <c r="G117" i="18"/>
  <c r="F117" i="18"/>
  <c r="E117" i="18"/>
  <c r="D117" i="18"/>
  <c r="P116" i="18"/>
  <c r="P115" i="18"/>
  <c r="P114" i="18"/>
  <c r="P113" i="18"/>
  <c r="P111" i="18"/>
  <c r="O111" i="18"/>
  <c r="N111" i="18"/>
  <c r="M111" i="18"/>
  <c r="L111" i="18"/>
  <c r="K111" i="18"/>
  <c r="J111" i="18"/>
  <c r="I111" i="18"/>
  <c r="I118" i="18" s="1"/>
  <c r="H111" i="18"/>
  <c r="H118" i="18" s="1"/>
  <c r="G111" i="18"/>
  <c r="G118" i="18" s="1"/>
  <c r="F111" i="18"/>
  <c r="F118" i="18" s="1"/>
  <c r="E111" i="18"/>
  <c r="D111" i="18"/>
  <c r="P110" i="18"/>
  <c r="P109" i="18"/>
  <c r="P108" i="18"/>
  <c r="P107" i="18"/>
  <c r="O105" i="18"/>
  <c r="P105" i="18" s="1"/>
  <c r="N105" i="18"/>
  <c r="M105" i="18"/>
  <c r="L105" i="18"/>
  <c r="K105" i="18"/>
  <c r="K119" i="18" s="1"/>
  <c r="J105" i="18"/>
  <c r="J119" i="18" s="1"/>
  <c r="I105" i="18"/>
  <c r="H105" i="18"/>
  <c r="G105" i="18"/>
  <c r="F105" i="18"/>
  <c r="E105" i="18"/>
  <c r="D105" i="18"/>
  <c r="P104" i="18"/>
  <c r="P103" i="18"/>
  <c r="P102" i="18"/>
  <c r="P101" i="18"/>
  <c r="P98" i="18"/>
  <c r="I94" i="18"/>
  <c r="O93" i="18"/>
  <c r="N93" i="18"/>
  <c r="M93" i="18"/>
  <c r="L93" i="18"/>
  <c r="K93" i="18"/>
  <c r="J93" i="18"/>
  <c r="I93" i="18"/>
  <c r="H93" i="18"/>
  <c r="G93" i="18"/>
  <c r="G94" i="18" s="1"/>
  <c r="F93" i="18"/>
  <c r="E93" i="18"/>
  <c r="D93" i="18"/>
  <c r="D94" i="18" s="1"/>
  <c r="O92" i="18"/>
  <c r="N92" i="18"/>
  <c r="M92" i="18"/>
  <c r="M94" i="18" s="1"/>
  <c r="L92" i="18"/>
  <c r="K92" i="18"/>
  <c r="J92" i="18"/>
  <c r="I92" i="18"/>
  <c r="H92" i="18"/>
  <c r="G92" i="18"/>
  <c r="F92" i="18"/>
  <c r="E92" i="18"/>
  <c r="D92" i="18"/>
  <c r="O91" i="18"/>
  <c r="O256" i="18" s="1"/>
  <c r="O258" i="18" s="1"/>
  <c r="N91" i="18"/>
  <c r="M91" i="18"/>
  <c r="L91" i="18"/>
  <c r="K91" i="18"/>
  <c r="J91" i="18"/>
  <c r="J256" i="18" s="1"/>
  <c r="J258" i="18" s="1"/>
  <c r="I91" i="18"/>
  <c r="I256" i="18" s="1"/>
  <c r="I258" i="18" s="1"/>
  <c r="H91" i="18"/>
  <c r="H256" i="18" s="1"/>
  <c r="H258" i="18" s="1"/>
  <c r="G91" i="18"/>
  <c r="G256" i="18" s="1"/>
  <c r="G258" i="18" s="1"/>
  <c r="F91" i="18"/>
  <c r="E91" i="18"/>
  <c r="E256" i="18" s="1"/>
  <c r="E258" i="18" s="1"/>
  <c r="D91" i="18"/>
  <c r="D256" i="18" s="1"/>
  <c r="D258" i="18" s="1"/>
  <c r="O90" i="18"/>
  <c r="N90" i="18"/>
  <c r="M90" i="18"/>
  <c r="M95" i="18" s="1"/>
  <c r="M255" i="18" s="1"/>
  <c r="M259" i="18" s="1"/>
  <c r="L90" i="18"/>
  <c r="K90" i="18"/>
  <c r="J90" i="18"/>
  <c r="I90" i="18"/>
  <c r="H90" i="18"/>
  <c r="G90" i="18"/>
  <c r="F90" i="18"/>
  <c r="E90" i="18"/>
  <c r="D90" i="18"/>
  <c r="P90" i="18" s="1"/>
  <c r="K89" i="18"/>
  <c r="F89" i="18"/>
  <c r="O88" i="18"/>
  <c r="O89" i="18" s="1"/>
  <c r="N88" i="18"/>
  <c r="N89" i="18" s="1"/>
  <c r="M88" i="18"/>
  <c r="M89" i="18" s="1"/>
  <c r="L88" i="18"/>
  <c r="L89" i="18" s="1"/>
  <c r="K88" i="18"/>
  <c r="J88" i="18"/>
  <c r="J89" i="18" s="1"/>
  <c r="I88" i="18"/>
  <c r="I89" i="18" s="1"/>
  <c r="H88" i="18"/>
  <c r="H89" i="18" s="1"/>
  <c r="G88" i="18"/>
  <c r="G89" i="18" s="1"/>
  <c r="F88" i="18"/>
  <c r="E88" i="18"/>
  <c r="E89" i="18" s="1"/>
  <c r="D88" i="18"/>
  <c r="D89" i="18" s="1"/>
  <c r="P87" i="18"/>
  <c r="P86" i="18"/>
  <c r="P85" i="18"/>
  <c r="P84" i="18"/>
  <c r="P89" i="18" s="1"/>
  <c r="O83" i="18"/>
  <c r="N83" i="18"/>
  <c r="M83" i="18"/>
  <c r="L83" i="18"/>
  <c r="K83" i="18"/>
  <c r="J83" i="18"/>
  <c r="I83" i="18"/>
  <c r="H83" i="18"/>
  <c r="G83" i="18"/>
  <c r="F83" i="18"/>
  <c r="E83" i="18"/>
  <c r="D83" i="18"/>
  <c r="P81" i="18"/>
  <c r="P80" i="18"/>
  <c r="P82" i="18" s="1"/>
  <c r="P79" i="18"/>
  <c r="P78" i="18"/>
  <c r="P83" i="18" s="1"/>
  <c r="N77" i="18"/>
  <c r="F77" i="18"/>
  <c r="O76" i="18"/>
  <c r="O77" i="18" s="1"/>
  <c r="N76" i="18"/>
  <c r="M76" i="18"/>
  <c r="M77" i="18" s="1"/>
  <c r="L76" i="18"/>
  <c r="L77" i="18" s="1"/>
  <c r="K76" i="18"/>
  <c r="K77" i="18" s="1"/>
  <c r="J76" i="18"/>
  <c r="J77" i="18" s="1"/>
  <c r="I76" i="18"/>
  <c r="I77" i="18" s="1"/>
  <c r="H76" i="18"/>
  <c r="H77" i="18" s="1"/>
  <c r="G76" i="18"/>
  <c r="G77" i="18" s="1"/>
  <c r="F76" i="18"/>
  <c r="E76" i="18"/>
  <c r="E77" i="18" s="1"/>
  <c r="D76" i="18"/>
  <c r="D77" i="18" s="1"/>
  <c r="P75" i="18"/>
  <c r="P74" i="18"/>
  <c r="P76" i="18" s="1"/>
  <c r="P73" i="18"/>
  <c r="P72" i="18"/>
  <c r="P77" i="18" s="1"/>
  <c r="O71" i="18"/>
  <c r="N71" i="18"/>
  <c r="M71" i="18"/>
  <c r="L71" i="18"/>
  <c r="K71" i="18"/>
  <c r="J71" i="18"/>
  <c r="I71" i="18"/>
  <c r="H71" i="18"/>
  <c r="G71" i="18"/>
  <c r="F71" i="18"/>
  <c r="E71" i="18"/>
  <c r="D71" i="18"/>
  <c r="P69" i="18"/>
  <c r="P68" i="18"/>
  <c r="P67" i="18"/>
  <c r="P66" i="18"/>
  <c r="P63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P61" i="18"/>
  <c r="P56" i="18"/>
  <c r="P55" i="18"/>
  <c r="P54" i="18"/>
  <c r="P52" i="18"/>
  <c r="P51" i="18"/>
  <c r="P50" i="18"/>
  <c r="P49" i="18"/>
  <c r="J47" i="18"/>
  <c r="G47" i="18"/>
  <c r="O46" i="18"/>
  <c r="O47" i="18" s="1"/>
  <c r="N46" i="18"/>
  <c r="N47" i="18" s="1"/>
  <c r="M46" i="18"/>
  <c r="M47" i="18" s="1"/>
  <c r="L46" i="18"/>
  <c r="L47" i="18" s="1"/>
  <c r="K46" i="18"/>
  <c r="J46" i="18"/>
  <c r="I46" i="18"/>
  <c r="I47" i="18" s="1"/>
  <c r="H46" i="18"/>
  <c r="H47" i="18" s="1"/>
  <c r="G46" i="18"/>
  <c r="F46" i="18"/>
  <c r="F47" i="18" s="1"/>
  <c r="E46" i="18"/>
  <c r="E47" i="18" s="1"/>
  <c r="D46" i="18"/>
  <c r="D47" i="18" s="1"/>
  <c r="O45" i="18"/>
  <c r="N45" i="18"/>
  <c r="M45" i="18"/>
  <c r="L45" i="18"/>
  <c r="K45" i="18"/>
  <c r="J45" i="18"/>
  <c r="I45" i="18"/>
  <c r="H45" i="18"/>
  <c r="G45" i="18"/>
  <c r="F45" i="18"/>
  <c r="E45" i="18"/>
  <c r="D45" i="18"/>
  <c r="P44" i="18"/>
  <c r="O42" i="18"/>
  <c r="N42" i="18"/>
  <c r="K42" i="18"/>
  <c r="F42" i="18"/>
  <c r="O41" i="18"/>
  <c r="N41" i="18"/>
  <c r="M41" i="18"/>
  <c r="L41" i="18"/>
  <c r="K41" i="18"/>
  <c r="J41" i="18"/>
  <c r="J58" i="18" s="1"/>
  <c r="I41" i="18"/>
  <c r="H41" i="18"/>
  <c r="H58" i="18" s="1"/>
  <c r="G41" i="18"/>
  <c r="F41" i="18"/>
  <c r="F58" i="18" s="1"/>
  <c r="E41" i="18"/>
  <c r="E42" i="18" s="1"/>
  <c r="D41" i="18"/>
  <c r="D42" i="18" s="1"/>
  <c r="O40" i="18"/>
  <c r="N40" i="18"/>
  <c r="M40" i="18"/>
  <c r="L40" i="18"/>
  <c r="K40" i="18"/>
  <c r="J40" i="18"/>
  <c r="I40" i="18"/>
  <c r="H40" i="18"/>
  <c r="G40" i="18"/>
  <c r="F40" i="18"/>
  <c r="E40" i="18"/>
  <c r="D40" i="18"/>
  <c r="P39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P37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P33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P31" i="18"/>
  <c r="P32" i="18" s="1"/>
  <c r="O30" i="18"/>
  <c r="N30" i="18"/>
  <c r="M30" i="18"/>
  <c r="L30" i="18"/>
  <c r="K30" i="18"/>
  <c r="J30" i="18"/>
  <c r="I30" i="18"/>
  <c r="H30" i="18"/>
  <c r="G30" i="18"/>
  <c r="F30" i="18"/>
  <c r="E30" i="18"/>
  <c r="D30" i="18"/>
  <c r="P29" i="18"/>
  <c r="O21" i="18"/>
  <c r="O22" i="18" s="1"/>
  <c r="O24" i="18" s="1"/>
  <c r="O25" i="18" s="1"/>
  <c r="N21" i="18"/>
  <c r="M21" i="18"/>
  <c r="L21" i="18"/>
  <c r="K21" i="18"/>
  <c r="J21" i="18"/>
  <c r="I21" i="18"/>
  <c r="H21" i="18"/>
  <c r="G21" i="18"/>
  <c r="F21" i="18"/>
  <c r="E21" i="18"/>
  <c r="D21" i="18"/>
  <c r="P20" i="18"/>
  <c r="P19" i="18"/>
  <c r="P18" i="18"/>
  <c r="P17" i="18"/>
  <c r="O15" i="18"/>
  <c r="N15" i="18"/>
  <c r="M15" i="18"/>
  <c r="L15" i="18"/>
  <c r="K15" i="18"/>
  <c r="J15" i="18"/>
  <c r="I15" i="18"/>
  <c r="H15" i="18"/>
  <c r="H22" i="18" s="1"/>
  <c r="H24" i="18" s="1"/>
  <c r="H25" i="18" s="1"/>
  <c r="G15" i="18"/>
  <c r="G22" i="18" s="1"/>
  <c r="G24" i="18" s="1"/>
  <c r="G25" i="18" s="1"/>
  <c r="F15" i="18"/>
  <c r="F22" i="18" s="1"/>
  <c r="F24" i="18" s="1"/>
  <c r="F25" i="18" s="1"/>
  <c r="E15" i="18"/>
  <c r="D15" i="18"/>
  <c r="P14" i="18"/>
  <c r="P13" i="18"/>
  <c r="P12" i="18"/>
  <c r="P11" i="18"/>
  <c r="P9" i="18"/>
  <c r="P40" i="18" s="1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O258" i="3"/>
  <c r="N258" i="3"/>
  <c r="M258" i="3"/>
  <c r="P257" i="3"/>
  <c r="O256" i="3"/>
  <c r="N256" i="3"/>
  <c r="F256" i="3"/>
  <c r="F258" i="3" s="1"/>
  <c r="D256" i="3"/>
  <c r="P254" i="3"/>
  <c r="P253" i="3"/>
  <c r="O251" i="3"/>
  <c r="L251" i="3"/>
  <c r="K251" i="3"/>
  <c r="J251" i="3"/>
  <c r="I251" i="3"/>
  <c r="D251" i="3"/>
  <c r="L250" i="3"/>
  <c r="K250" i="3"/>
  <c r="J250" i="3"/>
  <c r="I250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J243" i="3" s="1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L230" i="3"/>
  <c r="L243" i="3" s="1"/>
  <c r="K230" i="3"/>
  <c r="I230" i="3"/>
  <c r="I243" i="3" s="1"/>
  <c r="O229" i="3"/>
  <c r="N229" i="3"/>
  <c r="N230" i="3" s="1"/>
  <c r="N243" i="3" s="1"/>
  <c r="M229" i="3"/>
  <c r="M230" i="3" s="1"/>
  <c r="M243" i="3" s="1"/>
  <c r="L229" i="3"/>
  <c r="K229" i="3"/>
  <c r="J229" i="3"/>
  <c r="J230" i="3" s="1"/>
  <c r="I229" i="3"/>
  <c r="H229" i="3"/>
  <c r="G229" i="3"/>
  <c r="F229" i="3"/>
  <c r="E229" i="3"/>
  <c r="D229" i="3"/>
  <c r="P228" i="3"/>
  <c r="P227" i="3"/>
  <c r="P226" i="3"/>
  <c r="P225" i="3"/>
  <c r="O223" i="3"/>
  <c r="N223" i="3"/>
  <c r="M223" i="3"/>
  <c r="L223" i="3"/>
  <c r="K223" i="3"/>
  <c r="J223" i="3"/>
  <c r="I223" i="3"/>
  <c r="H223" i="3"/>
  <c r="H251" i="3" s="1"/>
  <c r="G223" i="3"/>
  <c r="F223" i="3"/>
  <c r="E223" i="3"/>
  <c r="D223" i="3"/>
  <c r="D230" i="3" s="1"/>
  <c r="P222" i="3"/>
  <c r="P221" i="3"/>
  <c r="P220" i="3"/>
  <c r="P219" i="3"/>
  <c r="L217" i="3"/>
  <c r="K217" i="3"/>
  <c r="J217" i="3"/>
  <c r="H217" i="3"/>
  <c r="G217" i="3"/>
  <c r="O216" i="3"/>
  <c r="N216" i="3"/>
  <c r="M216" i="3"/>
  <c r="L216" i="3"/>
  <c r="K216" i="3"/>
  <c r="J216" i="3"/>
  <c r="I216" i="3"/>
  <c r="I217" i="3" s="1"/>
  <c r="H216" i="3"/>
  <c r="G216" i="3"/>
  <c r="F216" i="3"/>
  <c r="E216" i="3"/>
  <c r="D216" i="3"/>
  <c r="P216" i="3" s="1"/>
  <c r="P215" i="3"/>
  <c r="P214" i="3"/>
  <c r="P213" i="3"/>
  <c r="P212" i="3"/>
  <c r="O210" i="3"/>
  <c r="O250" i="3" s="1"/>
  <c r="N210" i="3"/>
  <c r="M210" i="3"/>
  <c r="L210" i="3"/>
  <c r="K210" i="3"/>
  <c r="J210" i="3"/>
  <c r="I210" i="3"/>
  <c r="H210" i="3"/>
  <c r="G210" i="3"/>
  <c r="G250" i="3" s="1"/>
  <c r="F210" i="3"/>
  <c r="E210" i="3"/>
  <c r="D210" i="3"/>
  <c r="D217" i="3" s="1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K149" i="3"/>
  <c r="J149" i="3"/>
  <c r="I149" i="3"/>
  <c r="H149" i="3"/>
  <c r="F149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G149" i="3" s="1"/>
  <c r="F147" i="3"/>
  <c r="E147" i="3"/>
  <c r="D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O145" i="3"/>
  <c r="O149" i="3" s="1"/>
  <c r="N145" i="3"/>
  <c r="N149" i="3" s="1"/>
  <c r="M145" i="3"/>
  <c r="M149" i="3" s="1"/>
  <c r="L145" i="3"/>
  <c r="L149" i="3" s="1"/>
  <c r="K145" i="3"/>
  <c r="J145" i="3"/>
  <c r="I145" i="3"/>
  <c r="H145" i="3"/>
  <c r="G145" i="3"/>
  <c r="F145" i="3"/>
  <c r="E145" i="3"/>
  <c r="E149" i="3" s="1"/>
  <c r="D145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9" i="3" s="1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26" i="3"/>
  <c r="P146" i="3" s="1"/>
  <c r="P125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3" i="3" s="1"/>
  <c r="P121" i="3"/>
  <c r="N118" i="3"/>
  <c r="M118" i="3"/>
  <c r="K118" i="3"/>
  <c r="O117" i="3"/>
  <c r="O118" i="3" s="1"/>
  <c r="N117" i="3"/>
  <c r="M117" i="3"/>
  <c r="L117" i="3"/>
  <c r="L118" i="3" s="1"/>
  <c r="K117" i="3"/>
  <c r="J117" i="3"/>
  <c r="I117" i="3"/>
  <c r="H117" i="3"/>
  <c r="G117" i="3"/>
  <c r="F117" i="3"/>
  <c r="E117" i="3"/>
  <c r="D117" i="3"/>
  <c r="D118" i="3" s="1"/>
  <c r="P116" i="3"/>
  <c r="P117" i="3" s="1"/>
  <c r="P115" i="3"/>
  <c r="P114" i="3"/>
  <c r="P113" i="3"/>
  <c r="P111" i="3"/>
  <c r="O111" i="3"/>
  <c r="N111" i="3"/>
  <c r="M111" i="3"/>
  <c r="L111" i="3"/>
  <c r="K111" i="3"/>
  <c r="J111" i="3"/>
  <c r="J118" i="3" s="1"/>
  <c r="I111" i="3"/>
  <c r="I118" i="3" s="1"/>
  <c r="H111" i="3"/>
  <c r="H118" i="3" s="1"/>
  <c r="G111" i="3"/>
  <c r="G118" i="3" s="1"/>
  <c r="F111" i="3"/>
  <c r="F118" i="3" s="1"/>
  <c r="E111" i="3"/>
  <c r="D111" i="3"/>
  <c r="P110" i="3"/>
  <c r="P109" i="3"/>
  <c r="P108" i="3"/>
  <c r="P107" i="3"/>
  <c r="O105" i="3"/>
  <c r="P105" i="3" s="1"/>
  <c r="N105" i="3"/>
  <c r="N119" i="3" s="1"/>
  <c r="M105" i="3"/>
  <c r="M119" i="3" s="1"/>
  <c r="L105" i="3"/>
  <c r="L119" i="3" s="1"/>
  <c r="K105" i="3"/>
  <c r="J105" i="3"/>
  <c r="I105" i="3"/>
  <c r="H105" i="3"/>
  <c r="G105" i="3"/>
  <c r="G119" i="3" s="1"/>
  <c r="F105" i="3"/>
  <c r="F119" i="3" s="1"/>
  <c r="E105" i="3"/>
  <c r="D105" i="3"/>
  <c r="P104" i="3"/>
  <c r="P103" i="3"/>
  <c r="P102" i="3"/>
  <c r="P101" i="3"/>
  <c r="P98" i="3"/>
  <c r="J94" i="3"/>
  <c r="I94" i="3"/>
  <c r="H94" i="3"/>
  <c r="O93" i="3"/>
  <c r="O94" i="3" s="1"/>
  <c r="O95" i="3" s="1"/>
  <c r="O255" i="3" s="1"/>
  <c r="O259" i="3" s="1"/>
  <c r="N93" i="3"/>
  <c r="N94" i="3" s="1"/>
  <c r="M93" i="3"/>
  <c r="M94" i="3" s="1"/>
  <c r="L93" i="3"/>
  <c r="K93" i="3"/>
  <c r="J93" i="3"/>
  <c r="I93" i="3"/>
  <c r="H93" i="3"/>
  <c r="G93" i="3"/>
  <c r="F93" i="3"/>
  <c r="E93" i="3"/>
  <c r="D93" i="3"/>
  <c r="D94" i="3" s="1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N91" i="3"/>
  <c r="M91" i="3"/>
  <c r="M256" i="3" s="1"/>
  <c r="L91" i="3"/>
  <c r="L256" i="3" s="1"/>
  <c r="L258" i="3" s="1"/>
  <c r="K91" i="3"/>
  <c r="K256" i="3" s="1"/>
  <c r="K258" i="3" s="1"/>
  <c r="J91" i="3"/>
  <c r="I91" i="3"/>
  <c r="I256" i="3" s="1"/>
  <c r="I258" i="3" s="1"/>
  <c r="H91" i="3"/>
  <c r="H256" i="3" s="1"/>
  <c r="H258" i="3" s="1"/>
  <c r="G91" i="3"/>
  <c r="F91" i="3"/>
  <c r="E91" i="3"/>
  <c r="E256" i="3" s="1"/>
  <c r="E258" i="3" s="1"/>
  <c r="D91" i="3"/>
  <c r="O90" i="3"/>
  <c r="N90" i="3"/>
  <c r="N95" i="3" s="1"/>
  <c r="N255" i="3" s="1"/>
  <c r="N259" i="3" s="1"/>
  <c r="M90" i="3"/>
  <c r="M95" i="3" s="1"/>
  <c r="M255" i="3" s="1"/>
  <c r="M259" i="3" s="1"/>
  <c r="L90" i="3"/>
  <c r="K90" i="3"/>
  <c r="J90" i="3"/>
  <c r="I90" i="3"/>
  <c r="H90" i="3"/>
  <c r="G90" i="3"/>
  <c r="F90" i="3"/>
  <c r="E90" i="3"/>
  <c r="D90" i="3"/>
  <c r="P90" i="3" s="1"/>
  <c r="N89" i="3"/>
  <c r="M89" i="3"/>
  <c r="L89" i="3"/>
  <c r="J89" i="3"/>
  <c r="I89" i="3"/>
  <c r="O88" i="3"/>
  <c r="O89" i="3" s="1"/>
  <c r="N88" i="3"/>
  <c r="M88" i="3"/>
  <c r="L88" i="3"/>
  <c r="K88" i="3"/>
  <c r="K89" i="3" s="1"/>
  <c r="J88" i="3"/>
  <c r="I88" i="3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O83" i="3"/>
  <c r="N83" i="3"/>
  <c r="M83" i="3"/>
  <c r="L83" i="3"/>
  <c r="K83" i="3"/>
  <c r="J83" i="3"/>
  <c r="I83" i="3"/>
  <c r="H83" i="3"/>
  <c r="G83" i="3"/>
  <c r="F83" i="3"/>
  <c r="E83" i="3"/>
  <c r="D83" i="3"/>
  <c r="P83" i="3"/>
  <c r="P81" i="3"/>
  <c r="P80" i="3"/>
  <c r="P79" i="3"/>
  <c r="P78" i="3"/>
  <c r="O77" i="3"/>
  <c r="N77" i="3"/>
  <c r="M77" i="3"/>
  <c r="L77" i="3"/>
  <c r="I77" i="3"/>
  <c r="H77" i="3"/>
  <c r="O76" i="3"/>
  <c r="N76" i="3"/>
  <c r="M76" i="3"/>
  <c r="L76" i="3"/>
  <c r="K76" i="3"/>
  <c r="K77" i="3" s="1"/>
  <c r="J76" i="3"/>
  <c r="J77" i="3" s="1"/>
  <c r="I76" i="3"/>
  <c r="H76" i="3"/>
  <c r="G76" i="3"/>
  <c r="G77" i="3" s="1"/>
  <c r="F76" i="3"/>
  <c r="F77" i="3" s="1"/>
  <c r="E76" i="3"/>
  <c r="E77" i="3" s="1"/>
  <c r="D76" i="3"/>
  <c r="D77" i="3" s="1"/>
  <c r="P75" i="3"/>
  <c r="P74" i="3"/>
  <c r="P76" i="3" s="1"/>
  <c r="P73" i="3"/>
  <c r="P72" i="3"/>
  <c r="O71" i="3"/>
  <c r="N71" i="3"/>
  <c r="M71" i="3"/>
  <c r="L71" i="3"/>
  <c r="K71" i="3"/>
  <c r="J71" i="3"/>
  <c r="I71" i="3"/>
  <c r="H71" i="3"/>
  <c r="G71" i="3"/>
  <c r="F71" i="3"/>
  <c r="E71" i="3"/>
  <c r="D71" i="3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G59" i="3"/>
  <c r="O58" i="3"/>
  <c r="I58" i="3"/>
  <c r="G58" i="3"/>
  <c r="P56" i="3"/>
  <c r="P55" i="3"/>
  <c r="P54" i="3"/>
  <c r="P52" i="3"/>
  <c r="P51" i="3"/>
  <c r="P50" i="3"/>
  <c r="P49" i="3"/>
  <c r="M47" i="3"/>
  <c r="K47" i="3"/>
  <c r="J47" i="3"/>
  <c r="O46" i="3"/>
  <c r="O47" i="3" s="1"/>
  <c r="N46" i="3"/>
  <c r="N47" i="3" s="1"/>
  <c r="M46" i="3"/>
  <c r="L46" i="3"/>
  <c r="L47" i="3" s="1"/>
  <c r="K46" i="3"/>
  <c r="J46" i="3"/>
  <c r="I46" i="3"/>
  <c r="I47" i="3" s="1"/>
  <c r="H46" i="3"/>
  <c r="H47" i="3" s="1"/>
  <c r="G46" i="3"/>
  <c r="G47" i="3" s="1"/>
  <c r="F46" i="3"/>
  <c r="F47" i="3" s="1"/>
  <c r="E46" i="3"/>
  <c r="E58" i="3" s="1"/>
  <c r="E59" i="3" s="1"/>
  <c r="D46" i="3"/>
  <c r="D47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2" i="3"/>
  <c r="N42" i="3"/>
  <c r="E42" i="3"/>
  <c r="O41" i="3"/>
  <c r="N41" i="3"/>
  <c r="M41" i="3"/>
  <c r="M58" i="3" s="1"/>
  <c r="L41" i="3"/>
  <c r="L58" i="3" s="1"/>
  <c r="L60" i="3" s="1"/>
  <c r="K41" i="3"/>
  <c r="K42" i="3" s="1"/>
  <c r="J41" i="3"/>
  <c r="I41" i="3"/>
  <c r="I42" i="3" s="1"/>
  <c r="H41" i="3"/>
  <c r="H58" i="3" s="1"/>
  <c r="G41" i="3"/>
  <c r="G42" i="3" s="1"/>
  <c r="F41" i="3"/>
  <c r="F58" i="3" s="1"/>
  <c r="E41" i="3"/>
  <c r="D41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P38" i="3" s="1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P34" i="3" s="1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O24" i="3"/>
  <c r="O25" i="3" s="1"/>
  <c r="I22" i="3"/>
  <c r="I24" i="3" s="1"/>
  <c r="I25" i="3" s="1"/>
  <c r="H22" i="3"/>
  <c r="H24" i="3" s="1"/>
  <c r="H25" i="3" s="1"/>
  <c r="G22" i="3"/>
  <c r="G24" i="3" s="1"/>
  <c r="G25" i="3" s="1"/>
  <c r="O21" i="3"/>
  <c r="N21" i="3"/>
  <c r="M21" i="3"/>
  <c r="L21" i="3"/>
  <c r="L22" i="3" s="1"/>
  <c r="L24" i="3" s="1"/>
  <c r="L25" i="3" s="1"/>
  <c r="K21" i="3"/>
  <c r="J21" i="3"/>
  <c r="I21" i="3"/>
  <c r="H21" i="3"/>
  <c r="G21" i="3"/>
  <c r="F21" i="3"/>
  <c r="F22" i="3" s="1"/>
  <c r="F24" i="3" s="1"/>
  <c r="F25" i="3" s="1"/>
  <c r="E21" i="3"/>
  <c r="D21" i="3"/>
  <c r="P20" i="3"/>
  <c r="P19" i="3"/>
  <c r="P18" i="3"/>
  <c r="P17" i="3"/>
  <c r="P21" i="3" s="1"/>
  <c r="O15" i="3"/>
  <c r="O22" i="3" s="1"/>
  <c r="N15" i="3"/>
  <c r="M15" i="3"/>
  <c r="L15" i="3"/>
  <c r="K15" i="3"/>
  <c r="K22" i="3" s="1"/>
  <c r="K24" i="3" s="1"/>
  <c r="K25" i="3" s="1"/>
  <c r="J15" i="3"/>
  <c r="J22" i="3" s="1"/>
  <c r="J24" i="3" s="1"/>
  <c r="J25" i="3" s="1"/>
  <c r="I15" i="3"/>
  <c r="H15" i="3"/>
  <c r="G15" i="3"/>
  <c r="F15" i="3"/>
  <c r="E15" i="3"/>
  <c r="E22" i="3" s="1"/>
  <c r="E24" i="3" s="1"/>
  <c r="E25" i="3" s="1"/>
  <c r="D15" i="3"/>
  <c r="D22" i="3" s="1"/>
  <c r="D24" i="3" s="1"/>
  <c r="D25" i="3" s="1"/>
  <c r="P14" i="3"/>
  <c r="P13" i="3"/>
  <c r="P12" i="3"/>
  <c r="P11" i="3"/>
  <c r="P9" i="3"/>
  <c r="P40" i="3" s="1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K258" i="2"/>
  <c r="P257" i="2"/>
  <c r="O256" i="2"/>
  <c r="O258" i="2" s="1"/>
  <c r="N256" i="2"/>
  <c r="N258" i="2" s="1"/>
  <c r="M256" i="2"/>
  <c r="M258" i="2" s="1"/>
  <c r="L256" i="2"/>
  <c r="L258" i="2" s="1"/>
  <c r="K256" i="2"/>
  <c r="E256" i="2"/>
  <c r="E258" i="2" s="1"/>
  <c r="P254" i="2"/>
  <c r="P253" i="2"/>
  <c r="O251" i="2"/>
  <c r="I251" i="2"/>
  <c r="H251" i="2"/>
  <c r="G251" i="2"/>
  <c r="F251" i="2"/>
  <c r="J250" i="2"/>
  <c r="I250" i="2"/>
  <c r="H250" i="2"/>
  <c r="G250" i="2"/>
  <c r="F250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P247" i="2" s="1"/>
  <c r="K243" i="2"/>
  <c r="J243" i="2"/>
  <c r="I243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P242" i="2" s="1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J230" i="2"/>
  <c r="I230" i="2"/>
  <c r="H230" i="2"/>
  <c r="H243" i="2" s="1"/>
  <c r="O229" i="2"/>
  <c r="N229" i="2"/>
  <c r="M229" i="2"/>
  <c r="M230" i="2" s="1"/>
  <c r="M243" i="2" s="1"/>
  <c r="L229" i="2"/>
  <c r="L230" i="2" s="1"/>
  <c r="L243" i="2" s="1"/>
  <c r="K229" i="2"/>
  <c r="K230" i="2" s="1"/>
  <c r="J229" i="2"/>
  <c r="I229" i="2"/>
  <c r="H229" i="2"/>
  <c r="G229" i="2"/>
  <c r="F229" i="2"/>
  <c r="E229" i="2"/>
  <c r="D229" i="2"/>
  <c r="P229" i="2" s="1"/>
  <c r="P228" i="2"/>
  <c r="P227" i="2"/>
  <c r="P226" i="2"/>
  <c r="P225" i="2"/>
  <c r="O223" i="2"/>
  <c r="O230" i="2" s="1"/>
  <c r="O243" i="2" s="1"/>
  <c r="N223" i="2"/>
  <c r="N230" i="2" s="1"/>
  <c r="N243" i="2" s="1"/>
  <c r="M223" i="2"/>
  <c r="L223" i="2"/>
  <c r="K223" i="2"/>
  <c r="J223" i="2"/>
  <c r="I223" i="2"/>
  <c r="H223" i="2"/>
  <c r="G223" i="2"/>
  <c r="G230" i="2" s="1"/>
  <c r="G243" i="2" s="1"/>
  <c r="F223" i="2"/>
  <c r="F230" i="2" s="1"/>
  <c r="F243" i="2" s="1"/>
  <c r="E223" i="2"/>
  <c r="D223" i="2"/>
  <c r="D230" i="2" s="1"/>
  <c r="P222" i="2"/>
  <c r="P221" i="2"/>
  <c r="P220" i="2"/>
  <c r="P219" i="2"/>
  <c r="I217" i="2"/>
  <c r="H217" i="2"/>
  <c r="G217" i="2"/>
  <c r="O216" i="2"/>
  <c r="N216" i="2"/>
  <c r="M216" i="2"/>
  <c r="L216" i="2"/>
  <c r="L217" i="2" s="1"/>
  <c r="K216" i="2"/>
  <c r="K217" i="2" s="1"/>
  <c r="J216" i="2"/>
  <c r="J217" i="2" s="1"/>
  <c r="I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L251" i="2" s="1"/>
  <c r="K210" i="2"/>
  <c r="K251" i="2" s="1"/>
  <c r="J210" i="2"/>
  <c r="J251" i="2" s="1"/>
  <c r="I210" i="2"/>
  <c r="H210" i="2"/>
  <c r="G210" i="2"/>
  <c r="F210" i="2"/>
  <c r="F217" i="2" s="1"/>
  <c r="E210" i="2"/>
  <c r="E217" i="2" s="1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F149" i="2"/>
  <c r="E149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G149" i="2" s="1"/>
  <c r="F147" i="2"/>
  <c r="E147" i="2"/>
  <c r="D147" i="2"/>
  <c r="O146" i="2"/>
  <c r="N146" i="2"/>
  <c r="M146" i="2"/>
  <c r="L146" i="2"/>
  <c r="K146" i="2"/>
  <c r="J146" i="2"/>
  <c r="I146" i="2"/>
  <c r="H146" i="2"/>
  <c r="H149" i="2" s="1"/>
  <c r="G146" i="2"/>
  <c r="F146" i="2"/>
  <c r="E146" i="2"/>
  <c r="D146" i="2"/>
  <c r="O145" i="2"/>
  <c r="O149" i="2" s="1"/>
  <c r="N145" i="2"/>
  <c r="N149" i="2" s="1"/>
  <c r="M145" i="2"/>
  <c r="M149" i="2" s="1"/>
  <c r="L145" i="2"/>
  <c r="L149" i="2" s="1"/>
  <c r="K145" i="2"/>
  <c r="K149" i="2" s="1"/>
  <c r="J145" i="2"/>
  <c r="I145" i="2"/>
  <c r="I149" i="2" s="1"/>
  <c r="H145" i="2"/>
  <c r="G145" i="2"/>
  <c r="F145" i="2"/>
  <c r="E145" i="2"/>
  <c r="D145" i="2"/>
  <c r="D149" i="2" s="1"/>
  <c r="O144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9" i="2" s="1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P134" i="2" s="1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47" i="2" s="1"/>
  <c r="P126" i="2"/>
  <c r="P125" i="2"/>
  <c r="P145" i="2" s="1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3" i="2" s="1"/>
  <c r="P121" i="2"/>
  <c r="J118" i="2"/>
  <c r="O117" i="2"/>
  <c r="O118" i="2" s="1"/>
  <c r="N117" i="2"/>
  <c r="N118" i="2" s="1"/>
  <c r="M117" i="2"/>
  <c r="M118" i="2" s="1"/>
  <c r="L117" i="2"/>
  <c r="L118" i="2" s="1"/>
  <c r="L119" i="2" s="1"/>
  <c r="K117" i="2"/>
  <c r="K118" i="2" s="1"/>
  <c r="J117" i="2"/>
  <c r="I117" i="2"/>
  <c r="H117" i="2"/>
  <c r="G117" i="2"/>
  <c r="F117" i="2"/>
  <c r="E117" i="2"/>
  <c r="D117" i="2"/>
  <c r="P116" i="2"/>
  <c r="P115" i="2"/>
  <c r="P114" i="2"/>
  <c r="P113" i="2"/>
  <c r="P117" i="2" s="1"/>
  <c r="P111" i="2"/>
  <c r="P118" i="2" s="1"/>
  <c r="O111" i="2"/>
  <c r="N111" i="2"/>
  <c r="M111" i="2"/>
  <c r="L111" i="2"/>
  <c r="K111" i="2"/>
  <c r="J111" i="2"/>
  <c r="I111" i="2"/>
  <c r="I118" i="2" s="1"/>
  <c r="H111" i="2"/>
  <c r="H118" i="2" s="1"/>
  <c r="G111" i="2"/>
  <c r="G118" i="2" s="1"/>
  <c r="F111" i="2"/>
  <c r="F118" i="2" s="1"/>
  <c r="E111" i="2"/>
  <c r="E118" i="2" s="1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J119" i="2" s="1"/>
  <c r="I105" i="2"/>
  <c r="I119" i="2" s="1"/>
  <c r="H105" i="2"/>
  <c r="H119" i="2" s="1"/>
  <c r="G105" i="2"/>
  <c r="G119" i="2" s="1"/>
  <c r="F105" i="2"/>
  <c r="E105" i="2"/>
  <c r="D105" i="2"/>
  <c r="P104" i="2"/>
  <c r="P103" i="2"/>
  <c r="P102" i="2"/>
  <c r="P101" i="2"/>
  <c r="P98" i="2"/>
  <c r="O95" i="2"/>
  <c r="O255" i="2" s="1"/>
  <c r="M94" i="2"/>
  <c r="O93" i="2"/>
  <c r="O94" i="2" s="1"/>
  <c r="N93" i="2"/>
  <c r="N94" i="2" s="1"/>
  <c r="M93" i="2"/>
  <c r="L93" i="2"/>
  <c r="K93" i="2"/>
  <c r="K94" i="2" s="1"/>
  <c r="J93" i="2"/>
  <c r="J94" i="2" s="1"/>
  <c r="I93" i="2"/>
  <c r="I94" i="2" s="1"/>
  <c r="H93" i="2"/>
  <c r="G93" i="2"/>
  <c r="F93" i="2"/>
  <c r="F94" i="2" s="1"/>
  <c r="F95" i="2" s="1"/>
  <c r="F255" i="2" s="1"/>
  <c r="E93" i="2"/>
  <c r="D93" i="2"/>
  <c r="P93" i="2" s="1"/>
  <c r="O92" i="2"/>
  <c r="N92" i="2"/>
  <c r="M92" i="2"/>
  <c r="L92" i="2"/>
  <c r="L94" i="2" s="1"/>
  <c r="K92" i="2"/>
  <c r="J92" i="2"/>
  <c r="I92" i="2"/>
  <c r="H92" i="2"/>
  <c r="G92" i="2"/>
  <c r="F92" i="2"/>
  <c r="E92" i="2"/>
  <c r="D92" i="2"/>
  <c r="P92" i="2" s="1"/>
  <c r="O91" i="2"/>
  <c r="N91" i="2"/>
  <c r="M91" i="2"/>
  <c r="L91" i="2"/>
  <c r="K91" i="2"/>
  <c r="J91" i="2"/>
  <c r="J256" i="2" s="1"/>
  <c r="J258" i="2" s="1"/>
  <c r="I91" i="2"/>
  <c r="I256" i="2" s="1"/>
  <c r="I258" i="2" s="1"/>
  <c r="H91" i="2"/>
  <c r="H256" i="2" s="1"/>
  <c r="H258" i="2" s="1"/>
  <c r="G91" i="2"/>
  <c r="F91" i="2"/>
  <c r="F256" i="2" s="1"/>
  <c r="F258" i="2" s="1"/>
  <c r="E91" i="2"/>
  <c r="D91" i="2"/>
  <c r="D256" i="2" s="1"/>
  <c r="D258" i="2" s="1"/>
  <c r="O90" i="2"/>
  <c r="N90" i="2"/>
  <c r="N95" i="2" s="1"/>
  <c r="N255" i="2" s="1"/>
  <c r="N259" i="2" s="1"/>
  <c r="M90" i="2"/>
  <c r="M95" i="2" s="1"/>
  <c r="M255" i="2" s="1"/>
  <c r="M259" i="2" s="1"/>
  <c r="L90" i="2"/>
  <c r="K90" i="2"/>
  <c r="K95" i="2" s="1"/>
  <c r="K255" i="2" s="1"/>
  <c r="K259" i="2" s="1"/>
  <c r="J90" i="2"/>
  <c r="J95" i="2" s="1"/>
  <c r="J255" i="2" s="1"/>
  <c r="J259" i="2" s="1"/>
  <c r="I90" i="2"/>
  <c r="I95" i="2" s="1"/>
  <c r="I255" i="2" s="1"/>
  <c r="I259" i="2" s="1"/>
  <c r="H90" i="2"/>
  <c r="G90" i="2"/>
  <c r="F90" i="2"/>
  <c r="E90" i="2"/>
  <c r="D90" i="2"/>
  <c r="P90" i="2" s="1"/>
  <c r="K89" i="2"/>
  <c r="J89" i="2"/>
  <c r="I89" i="2"/>
  <c r="F89" i="2"/>
  <c r="E89" i="2"/>
  <c r="O88" i="2"/>
  <c r="O89" i="2" s="1"/>
  <c r="N88" i="2"/>
  <c r="N89" i="2" s="1"/>
  <c r="M88" i="2"/>
  <c r="M89" i="2" s="1"/>
  <c r="L88" i="2"/>
  <c r="L89" i="2" s="1"/>
  <c r="K88" i="2"/>
  <c r="J88" i="2"/>
  <c r="I88" i="2"/>
  <c r="H88" i="2"/>
  <c r="H89" i="2" s="1"/>
  <c r="G88" i="2"/>
  <c r="G89" i="2" s="1"/>
  <c r="F88" i="2"/>
  <c r="E88" i="2"/>
  <c r="D88" i="2"/>
  <c r="D89" i="2" s="1"/>
  <c r="P87" i="2"/>
  <c r="P86" i="2"/>
  <c r="P85" i="2"/>
  <c r="P84" i="2"/>
  <c r="P89" i="2" s="1"/>
  <c r="O83" i="2"/>
  <c r="N83" i="2"/>
  <c r="M83" i="2"/>
  <c r="L83" i="2"/>
  <c r="K83" i="2"/>
  <c r="J83" i="2"/>
  <c r="I83" i="2"/>
  <c r="H83" i="2"/>
  <c r="G83" i="2"/>
  <c r="F83" i="2"/>
  <c r="E83" i="2"/>
  <c r="D83" i="2"/>
  <c r="P81" i="2"/>
  <c r="P80" i="2"/>
  <c r="P79" i="2"/>
  <c r="P78" i="2"/>
  <c r="K77" i="2"/>
  <c r="J77" i="2"/>
  <c r="I77" i="2"/>
  <c r="F77" i="2"/>
  <c r="E77" i="2"/>
  <c r="O76" i="2"/>
  <c r="O77" i="2" s="1"/>
  <c r="N76" i="2"/>
  <c r="N77" i="2" s="1"/>
  <c r="M76" i="2"/>
  <c r="M77" i="2" s="1"/>
  <c r="L76" i="2"/>
  <c r="L77" i="2" s="1"/>
  <c r="K76" i="2"/>
  <c r="J76" i="2"/>
  <c r="I76" i="2"/>
  <c r="H76" i="2"/>
  <c r="H77" i="2" s="1"/>
  <c r="G76" i="2"/>
  <c r="G77" i="2" s="1"/>
  <c r="F76" i="2"/>
  <c r="E76" i="2"/>
  <c r="D76" i="2"/>
  <c r="D77" i="2" s="1"/>
  <c r="P75" i="2"/>
  <c r="P74" i="2"/>
  <c r="P76" i="2" s="1"/>
  <c r="P73" i="2"/>
  <c r="P72" i="2"/>
  <c r="P77" i="2" s="1"/>
  <c r="O71" i="2"/>
  <c r="N71" i="2"/>
  <c r="M71" i="2"/>
  <c r="L71" i="2"/>
  <c r="K71" i="2"/>
  <c r="J71" i="2"/>
  <c r="I71" i="2"/>
  <c r="H71" i="2"/>
  <c r="G71" i="2"/>
  <c r="F71" i="2"/>
  <c r="E71" i="2"/>
  <c r="D71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O58" i="2"/>
  <c r="N58" i="2"/>
  <c r="N249" i="2" s="1"/>
  <c r="P56" i="2"/>
  <c r="P55" i="2"/>
  <c r="P54" i="2"/>
  <c r="P52" i="2"/>
  <c r="P51" i="2"/>
  <c r="P50" i="2"/>
  <c r="P49" i="2"/>
  <c r="L47" i="2"/>
  <c r="K47" i="2"/>
  <c r="J47" i="2"/>
  <c r="G47" i="2"/>
  <c r="F47" i="2"/>
  <c r="O46" i="2"/>
  <c r="O47" i="2" s="1"/>
  <c r="N46" i="2"/>
  <c r="N47" i="2" s="1"/>
  <c r="M46" i="2"/>
  <c r="M47" i="2" s="1"/>
  <c r="L46" i="2"/>
  <c r="K46" i="2"/>
  <c r="K58" i="2" s="1"/>
  <c r="J46" i="2"/>
  <c r="I46" i="2"/>
  <c r="I47" i="2" s="1"/>
  <c r="H46" i="2"/>
  <c r="H47" i="2" s="1"/>
  <c r="G46" i="2"/>
  <c r="F46" i="2"/>
  <c r="E46" i="2"/>
  <c r="E47" i="2" s="1"/>
  <c r="D46" i="2"/>
  <c r="P46" i="2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N42" i="2"/>
  <c r="K42" i="2"/>
  <c r="O41" i="2"/>
  <c r="O42" i="2" s="1"/>
  <c r="N41" i="2"/>
  <c r="M41" i="2"/>
  <c r="M58" i="2" s="1"/>
  <c r="L41" i="2"/>
  <c r="L58" i="2" s="1"/>
  <c r="K41" i="2"/>
  <c r="J41" i="2"/>
  <c r="J58" i="2" s="1"/>
  <c r="I41" i="2"/>
  <c r="I58" i="2" s="1"/>
  <c r="H41" i="2"/>
  <c r="H58" i="2" s="1"/>
  <c r="G41" i="2"/>
  <c r="G42" i="2" s="1"/>
  <c r="F41" i="2"/>
  <c r="F58" i="2" s="1"/>
  <c r="E41" i="2"/>
  <c r="D41" i="2"/>
  <c r="D42" i="2" s="1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4" i="2"/>
  <c r="O25" i="2" s="1"/>
  <c r="O21" i="2"/>
  <c r="O22" i="2" s="1"/>
  <c r="N21" i="2"/>
  <c r="N22" i="2" s="1"/>
  <c r="N24" i="2" s="1"/>
  <c r="N25" i="2" s="1"/>
  <c r="M21" i="2"/>
  <c r="L21" i="2"/>
  <c r="K21" i="2"/>
  <c r="J21" i="2"/>
  <c r="I21" i="2"/>
  <c r="I22" i="2" s="1"/>
  <c r="I24" i="2" s="1"/>
  <c r="I25" i="2" s="1"/>
  <c r="H21" i="2"/>
  <c r="H22" i="2" s="1"/>
  <c r="H24" i="2" s="1"/>
  <c r="H25" i="2" s="1"/>
  <c r="G21" i="2"/>
  <c r="G22" i="2" s="1"/>
  <c r="G24" i="2" s="1"/>
  <c r="G25" i="2" s="1"/>
  <c r="F21" i="2"/>
  <c r="F22" i="2" s="1"/>
  <c r="F24" i="2" s="1"/>
  <c r="F25" i="2" s="1"/>
  <c r="E21" i="2"/>
  <c r="D21" i="2"/>
  <c r="D22" i="2" s="1"/>
  <c r="D24" i="2" s="1"/>
  <c r="D25" i="2" s="1"/>
  <c r="P20" i="2"/>
  <c r="P19" i="2"/>
  <c r="P18" i="2"/>
  <c r="P17" i="2"/>
  <c r="O15" i="2"/>
  <c r="N15" i="2"/>
  <c r="M15" i="2"/>
  <c r="M22" i="2" s="1"/>
  <c r="M24" i="2" s="1"/>
  <c r="M25" i="2" s="1"/>
  <c r="L15" i="2"/>
  <c r="L22" i="2" s="1"/>
  <c r="L24" i="2" s="1"/>
  <c r="L25" i="2" s="1"/>
  <c r="K15" i="2"/>
  <c r="J15" i="2"/>
  <c r="I15" i="2"/>
  <c r="H15" i="2"/>
  <c r="G15" i="2"/>
  <c r="F15" i="2"/>
  <c r="E15" i="2"/>
  <c r="D15" i="2"/>
  <c r="P14" i="2"/>
  <c r="P13" i="2"/>
  <c r="P12" i="2"/>
  <c r="P11" i="2"/>
  <c r="P15" i="2" s="1"/>
  <c r="P9" i="2"/>
  <c r="P34" i="2" s="1"/>
  <c r="O263" i="1"/>
  <c r="N263" i="1"/>
  <c r="M263" i="1"/>
  <c r="L263" i="1"/>
  <c r="K263" i="1"/>
  <c r="J263" i="1"/>
  <c r="I263" i="1"/>
  <c r="H263" i="1"/>
  <c r="G263" i="1"/>
  <c r="F263" i="1"/>
  <c r="E263" i="1"/>
  <c r="N258" i="1"/>
  <c r="J250" i="1"/>
  <c r="G250" i="1"/>
  <c r="O247" i="1"/>
  <c r="N247" i="1"/>
  <c r="M247" i="1"/>
  <c r="L247" i="1"/>
  <c r="K247" i="1"/>
  <c r="J247" i="1"/>
  <c r="I247" i="1"/>
  <c r="H247" i="1"/>
  <c r="G247" i="1"/>
  <c r="F247" i="1"/>
  <c r="E247" i="1"/>
  <c r="J243" i="1"/>
  <c r="I243" i="1"/>
  <c r="H243" i="1"/>
  <c r="G243" i="1"/>
  <c r="O242" i="1"/>
  <c r="N242" i="1"/>
  <c r="M242" i="1"/>
  <c r="L242" i="1"/>
  <c r="K242" i="1"/>
  <c r="J242" i="1"/>
  <c r="I242" i="1"/>
  <c r="H242" i="1"/>
  <c r="G242" i="1"/>
  <c r="F242" i="1"/>
  <c r="E242" i="1"/>
  <c r="O236" i="1"/>
  <c r="N236" i="1"/>
  <c r="M236" i="1"/>
  <c r="L236" i="1"/>
  <c r="K236" i="1"/>
  <c r="J236" i="1"/>
  <c r="I236" i="1"/>
  <c r="H236" i="1"/>
  <c r="G236" i="1"/>
  <c r="F236" i="1"/>
  <c r="E236" i="1"/>
  <c r="M230" i="1"/>
  <c r="M243" i="1" s="1"/>
  <c r="J230" i="1"/>
  <c r="I230" i="1"/>
  <c r="H230" i="1"/>
  <c r="G230" i="1"/>
  <c r="F230" i="1"/>
  <c r="F243" i="1" s="1"/>
  <c r="O229" i="1"/>
  <c r="N229" i="1"/>
  <c r="M229" i="1"/>
  <c r="L229" i="1"/>
  <c r="K229" i="1"/>
  <c r="J229" i="1"/>
  <c r="I229" i="1"/>
  <c r="H229" i="1"/>
  <c r="G229" i="1"/>
  <c r="F229" i="1"/>
  <c r="E229" i="1"/>
  <c r="E230" i="1" s="1"/>
  <c r="O223" i="1"/>
  <c r="N223" i="1"/>
  <c r="N230" i="1" s="1"/>
  <c r="N243" i="1" s="1"/>
  <c r="M223" i="1"/>
  <c r="L223" i="1"/>
  <c r="L230" i="1" s="1"/>
  <c r="L243" i="1" s="1"/>
  <c r="K223" i="1"/>
  <c r="K230" i="1" s="1"/>
  <c r="K243" i="1" s="1"/>
  <c r="J223" i="1"/>
  <c r="I223" i="1"/>
  <c r="H223" i="1"/>
  <c r="G223" i="1"/>
  <c r="F223" i="1"/>
  <c r="E223" i="1"/>
  <c r="O217" i="1"/>
  <c r="N217" i="1"/>
  <c r="M217" i="1"/>
  <c r="J217" i="1"/>
  <c r="G217" i="1"/>
  <c r="F217" i="1"/>
  <c r="O216" i="1"/>
  <c r="N216" i="1"/>
  <c r="M216" i="1"/>
  <c r="L216" i="1"/>
  <c r="K216" i="1"/>
  <c r="J216" i="1"/>
  <c r="I216" i="1"/>
  <c r="H216" i="1"/>
  <c r="G216" i="1"/>
  <c r="F216" i="1"/>
  <c r="E216" i="1"/>
  <c r="O210" i="1"/>
  <c r="O251" i="1" s="1"/>
  <c r="N210" i="1"/>
  <c r="N250" i="1" s="1"/>
  <c r="M210" i="1"/>
  <c r="M250" i="1" s="1"/>
  <c r="L210" i="1"/>
  <c r="K210" i="1"/>
  <c r="J210" i="1"/>
  <c r="J251" i="1" s="1"/>
  <c r="I210" i="1"/>
  <c r="I250" i="1" s="1"/>
  <c r="H210" i="1"/>
  <c r="H250" i="1" s="1"/>
  <c r="G210" i="1"/>
  <c r="G251" i="1" s="1"/>
  <c r="F210" i="1"/>
  <c r="F250" i="1" s="1"/>
  <c r="E210" i="1"/>
  <c r="E250" i="1" s="1"/>
  <c r="O204" i="1"/>
  <c r="N204" i="1"/>
  <c r="M204" i="1"/>
  <c r="L204" i="1"/>
  <c r="K204" i="1"/>
  <c r="J204" i="1"/>
  <c r="I204" i="1"/>
  <c r="H204" i="1"/>
  <c r="G204" i="1"/>
  <c r="F204" i="1"/>
  <c r="E204" i="1"/>
  <c r="O193" i="1"/>
  <c r="N193" i="1"/>
  <c r="M193" i="1"/>
  <c r="L193" i="1"/>
  <c r="K193" i="1"/>
  <c r="J193" i="1"/>
  <c r="I193" i="1"/>
  <c r="H193" i="1"/>
  <c r="G193" i="1"/>
  <c r="F193" i="1"/>
  <c r="E193" i="1"/>
  <c r="L149" i="1"/>
  <c r="K149" i="1"/>
  <c r="J149" i="1"/>
  <c r="I149" i="1"/>
  <c r="H149" i="1"/>
  <c r="O148" i="1"/>
  <c r="N148" i="1"/>
  <c r="M148" i="1"/>
  <c r="L148" i="1"/>
  <c r="K148" i="1"/>
  <c r="J148" i="1"/>
  <c r="I148" i="1"/>
  <c r="H148" i="1"/>
  <c r="G148" i="1"/>
  <c r="F148" i="1"/>
  <c r="E148" i="1"/>
  <c r="O147" i="1"/>
  <c r="N147" i="1"/>
  <c r="M147" i="1"/>
  <c r="L147" i="1"/>
  <c r="K147" i="1"/>
  <c r="J147" i="1"/>
  <c r="I147" i="1"/>
  <c r="H147" i="1"/>
  <c r="G147" i="1"/>
  <c r="F147" i="1"/>
  <c r="E147" i="1"/>
  <c r="O146" i="1"/>
  <c r="O149" i="1" s="1"/>
  <c r="N146" i="1"/>
  <c r="M146" i="1"/>
  <c r="L146" i="1"/>
  <c r="K146" i="1"/>
  <c r="J146" i="1"/>
  <c r="I146" i="1"/>
  <c r="H146" i="1"/>
  <c r="G146" i="1"/>
  <c r="F146" i="1"/>
  <c r="E146" i="1"/>
  <c r="O145" i="1"/>
  <c r="N145" i="1"/>
  <c r="N149" i="1" s="1"/>
  <c r="M145" i="1"/>
  <c r="M149" i="1" s="1"/>
  <c r="L145" i="1"/>
  <c r="K145" i="1"/>
  <c r="J145" i="1"/>
  <c r="I145" i="1"/>
  <c r="H145" i="1"/>
  <c r="G145" i="1"/>
  <c r="G149" i="1" s="1"/>
  <c r="F145" i="1"/>
  <c r="F149" i="1" s="1"/>
  <c r="E145" i="1"/>
  <c r="O144" i="1"/>
  <c r="N144" i="1"/>
  <c r="M144" i="1"/>
  <c r="L144" i="1"/>
  <c r="K144" i="1"/>
  <c r="J144" i="1"/>
  <c r="I144" i="1"/>
  <c r="H144" i="1"/>
  <c r="G144" i="1"/>
  <c r="F144" i="1"/>
  <c r="E144" i="1"/>
  <c r="O139" i="1"/>
  <c r="N139" i="1"/>
  <c r="M139" i="1"/>
  <c r="L139" i="1"/>
  <c r="K139" i="1"/>
  <c r="J139" i="1"/>
  <c r="I139" i="1"/>
  <c r="H139" i="1"/>
  <c r="G139" i="1"/>
  <c r="F139" i="1"/>
  <c r="E139" i="1"/>
  <c r="O134" i="1"/>
  <c r="N134" i="1"/>
  <c r="M134" i="1"/>
  <c r="L134" i="1"/>
  <c r="K134" i="1"/>
  <c r="J134" i="1"/>
  <c r="I134" i="1"/>
  <c r="H134" i="1"/>
  <c r="G134" i="1"/>
  <c r="F134" i="1"/>
  <c r="E134" i="1"/>
  <c r="O129" i="1"/>
  <c r="N129" i="1"/>
  <c r="M129" i="1"/>
  <c r="L129" i="1"/>
  <c r="K129" i="1"/>
  <c r="J129" i="1"/>
  <c r="I129" i="1"/>
  <c r="H129" i="1"/>
  <c r="G129" i="1"/>
  <c r="F129" i="1"/>
  <c r="E129" i="1"/>
  <c r="O123" i="1"/>
  <c r="N123" i="1"/>
  <c r="M123" i="1"/>
  <c r="L123" i="1"/>
  <c r="K123" i="1"/>
  <c r="J123" i="1"/>
  <c r="I123" i="1"/>
  <c r="H123" i="1"/>
  <c r="G123" i="1"/>
  <c r="F123" i="1"/>
  <c r="E123" i="1"/>
  <c r="N119" i="1"/>
  <c r="M119" i="1"/>
  <c r="L119" i="1"/>
  <c r="K119" i="1"/>
  <c r="J119" i="1"/>
  <c r="O118" i="1"/>
  <c r="N118" i="1"/>
  <c r="M118" i="1"/>
  <c r="L118" i="1"/>
  <c r="K118" i="1"/>
  <c r="J118" i="1"/>
  <c r="I118" i="1"/>
  <c r="F118" i="1"/>
  <c r="O117" i="1"/>
  <c r="N117" i="1"/>
  <c r="M117" i="1"/>
  <c r="L117" i="1"/>
  <c r="K117" i="1"/>
  <c r="J117" i="1"/>
  <c r="I117" i="1"/>
  <c r="H117" i="1"/>
  <c r="G117" i="1"/>
  <c r="F117" i="1"/>
  <c r="E117" i="1"/>
  <c r="O111" i="1"/>
  <c r="N111" i="1"/>
  <c r="M111" i="1"/>
  <c r="L111" i="1"/>
  <c r="K111" i="1"/>
  <c r="J111" i="1"/>
  <c r="I111" i="1"/>
  <c r="H111" i="1"/>
  <c r="G111" i="1"/>
  <c r="G118" i="1" s="1"/>
  <c r="F111" i="1"/>
  <c r="E111" i="1"/>
  <c r="O105" i="1"/>
  <c r="O119" i="1" s="1"/>
  <c r="N105" i="1"/>
  <c r="M105" i="1"/>
  <c r="L105" i="1"/>
  <c r="K105" i="1"/>
  <c r="J105" i="1"/>
  <c r="I105" i="1"/>
  <c r="H105" i="1"/>
  <c r="G105" i="1"/>
  <c r="F105" i="1"/>
  <c r="F119" i="1" s="1"/>
  <c r="E105" i="1"/>
  <c r="H95" i="1"/>
  <c r="H255" i="1" s="1"/>
  <c r="H259" i="1" s="1"/>
  <c r="G95" i="1"/>
  <c r="G255" i="1" s="1"/>
  <c r="G259" i="1" s="1"/>
  <c r="F95" i="1"/>
  <c r="F255" i="1" s="1"/>
  <c r="F259" i="1" s="1"/>
  <c r="M94" i="1"/>
  <c r="J94" i="1"/>
  <c r="I94" i="1"/>
  <c r="H94" i="1"/>
  <c r="G94" i="1"/>
  <c r="F94" i="1"/>
  <c r="O93" i="1"/>
  <c r="O94" i="1" s="1"/>
  <c r="N93" i="1"/>
  <c r="M93" i="1"/>
  <c r="L93" i="1"/>
  <c r="L94" i="1" s="1"/>
  <c r="K93" i="1"/>
  <c r="J93" i="1"/>
  <c r="I93" i="1"/>
  <c r="H93" i="1"/>
  <c r="G93" i="1"/>
  <c r="F93" i="1"/>
  <c r="E93" i="1"/>
  <c r="E94" i="1" s="1"/>
  <c r="O92" i="1"/>
  <c r="N92" i="1"/>
  <c r="M92" i="1"/>
  <c r="L92" i="1"/>
  <c r="K92" i="1"/>
  <c r="J92" i="1"/>
  <c r="I92" i="1"/>
  <c r="H92" i="1"/>
  <c r="G92" i="1"/>
  <c r="F92" i="1"/>
  <c r="E92" i="1"/>
  <c r="O91" i="1"/>
  <c r="O256" i="1" s="1"/>
  <c r="O258" i="1" s="1"/>
  <c r="N91" i="1"/>
  <c r="N256" i="1" s="1"/>
  <c r="M91" i="1"/>
  <c r="M256" i="1" s="1"/>
  <c r="M258" i="1" s="1"/>
  <c r="L91" i="1"/>
  <c r="L256" i="1" s="1"/>
  <c r="L258" i="1" s="1"/>
  <c r="K91" i="1"/>
  <c r="K256" i="1" s="1"/>
  <c r="K258" i="1" s="1"/>
  <c r="J91" i="1"/>
  <c r="J256" i="1" s="1"/>
  <c r="J258" i="1" s="1"/>
  <c r="I91" i="1"/>
  <c r="I256" i="1" s="1"/>
  <c r="I258" i="1" s="1"/>
  <c r="H91" i="1"/>
  <c r="H256" i="1" s="1"/>
  <c r="H258" i="1" s="1"/>
  <c r="G91" i="1"/>
  <c r="G256" i="1" s="1"/>
  <c r="G258" i="1" s="1"/>
  <c r="F91" i="1"/>
  <c r="F256" i="1" s="1"/>
  <c r="F258" i="1" s="1"/>
  <c r="E91" i="1"/>
  <c r="E256" i="1" s="1"/>
  <c r="E258" i="1" s="1"/>
  <c r="O90" i="1"/>
  <c r="N90" i="1"/>
  <c r="M90" i="1"/>
  <c r="L90" i="1"/>
  <c r="K90" i="1"/>
  <c r="J90" i="1"/>
  <c r="I90" i="1"/>
  <c r="I95" i="1" s="1"/>
  <c r="I255" i="1" s="1"/>
  <c r="I259" i="1" s="1"/>
  <c r="H90" i="1"/>
  <c r="G90" i="1"/>
  <c r="F90" i="1"/>
  <c r="E90" i="1"/>
  <c r="O89" i="1"/>
  <c r="N89" i="1"/>
  <c r="M89" i="1"/>
  <c r="L89" i="1"/>
  <c r="K89" i="1"/>
  <c r="I89" i="1"/>
  <c r="H89" i="1"/>
  <c r="F89" i="1"/>
  <c r="E89" i="1"/>
  <c r="O88" i="1"/>
  <c r="N88" i="1"/>
  <c r="M88" i="1"/>
  <c r="L88" i="1"/>
  <c r="K88" i="1"/>
  <c r="J88" i="1"/>
  <c r="J89" i="1" s="1"/>
  <c r="I88" i="1"/>
  <c r="H88" i="1"/>
  <c r="G88" i="1"/>
  <c r="G89" i="1" s="1"/>
  <c r="F88" i="1"/>
  <c r="E88" i="1"/>
  <c r="O83" i="1"/>
  <c r="N83" i="1"/>
  <c r="M83" i="1"/>
  <c r="L83" i="1"/>
  <c r="K83" i="1"/>
  <c r="J83" i="1"/>
  <c r="I83" i="1"/>
  <c r="H83" i="1"/>
  <c r="G83" i="1"/>
  <c r="F83" i="1"/>
  <c r="E83" i="1"/>
  <c r="O77" i="1"/>
  <c r="N77" i="1"/>
  <c r="M77" i="1"/>
  <c r="L77" i="1"/>
  <c r="K77" i="1"/>
  <c r="J77" i="1"/>
  <c r="I77" i="1"/>
  <c r="H77" i="1"/>
  <c r="F77" i="1"/>
  <c r="E77" i="1"/>
  <c r="O76" i="1"/>
  <c r="N76" i="1"/>
  <c r="M76" i="1"/>
  <c r="L76" i="1"/>
  <c r="K76" i="1"/>
  <c r="J76" i="1"/>
  <c r="I76" i="1"/>
  <c r="H76" i="1"/>
  <c r="G76" i="1"/>
  <c r="G77" i="1" s="1"/>
  <c r="F76" i="1"/>
  <c r="E76" i="1"/>
  <c r="O71" i="1"/>
  <c r="N71" i="1"/>
  <c r="M71" i="1"/>
  <c r="L71" i="1"/>
  <c r="K71" i="1"/>
  <c r="J71" i="1"/>
  <c r="I71" i="1"/>
  <c r="H71" i="1"/>
  <c r="G71" i="1"/>
  <c r="F71" i="1"/>
  <c r="E71" i="1"/>
  <c r="O62" i="1"/>
  <c r="N62" i="1"/>
  <c r="M62" i="1"/>
  <c r="L62" i="1"/>
  <c r="K62" i="1"/>
  <c r="J62" i="1"/>
  <c r="I62" i="1"/>
  <c r="H62" i="1"/>
  <c r="G62" i="1"/>
  <c r="F62" i="1"/>
  <c r="E62" i="1"/>
  <c r="G60" i="1"/>
  <c r="O59" i="1"/>
  <c r="H59" i="1"/>
  <c r="G59" i="1"/>
  <c r="O58" i="1"/>
  <c r="O60" i="1" s="1"/>
  <c r="N58" i="1"/>
  <c r="H58" i="1"/>
  <c r="H249" i="1" s="1"/>
  <c r="G58" i="1"/>
  <c r="G249" i="1" s="1"/>
  <c r="E58" i="1"/>
  <c r="E59" i="1" s="1"/>
  <c r="O47" i="1"/>
  <c r="N47" i="1"/>
  <c r="M47" i="1"/>
  <c r="K47" i="1"/>
  <c r="J47" i="1"/>
  <c r="H47" i="1"/>
  <c r="G47" i="1"/>
  <c r="F47" i="1"/>
  <c r="E47" i="1"/>
  <c r="O46" i="1"/>
  <c r="N46" i="1"/>
  <c r="M46" i="1"/>
  <c r="L46" i="1"/>
  <c r="L47" i="1" s="1"/>
  <c r="K46" i="1"/>
  <c r="J46" i="1"/>
  <c r="I46" i="1"/>
  <c r="I47" i="1" s="1"/>
  <c r="H46" i="1"/>
  <c r="G46" i="1"/>
  <c r="F46" i="1"/>
  <c r="E46" i="1"/>
  <c r="O45" i="1"/>
  <c r="N45" i="1"/>
  <c r="M45" i="1"/>
  <c r="L45" i="1"/>
  <c r="K45" i="1"/>
  <c r="J45" i="1"/>
  <c r="I45" i="1"/>
  <c r="H45" i="1"/>
  <c r="G45" i="1"/>
  <c r="F45" i="1"/>
  <c r="E45" i="1"/>
  <c r="O42" i="1"/>
  <c r="N42" i="1"/>
  <c r="M42" i="1"/>
  <c r="L42" i="1"/>
  <c r="K42" i="1"/>
  <c r="J42" i="1"/>
  <c r="H42" i="1"/>
  <c r="G42" i="1"/>
  <c r="O41" i="1"/>
  <c r="N41" i="1"/>
  <c r="M41" i="1"/>
  <c r="M58" i="1" s="1"/>
  <c r="L41" i="1"/>
  <c r="L58" i="1" s="1"/>
  <c r="K41" i="1"/>
  <c r="K58" i="1" s="1"/>
  <c r="J41" i="1"/>
  <c r="J58" i="1" s="1"/>
  <c r="I41" i="1"/>
  <c r="H41" i="1"/>
  <c r="G41" i="1"/>
  <c r="F41" i="1"/>
  <c r="F42" i="1" s="1"/>
  <c r="E41" i="1"/>
  <c r="E42" i="1" s="1"/>
  <c r="O40" i="1"/>
  <c r="N40" i="1"/>
  <c r="M40" i="1"/>
  <c r="L40" i="1"/>
  <c r="K40" i="1"/>
  <c r="J40" i="1"/>
  <c r="I40" i="1"/>
  <c r="H40" i="1"/>
  <c r="G40" i="1"/>
  <c r="F40" i="1"/>
  <c r="E40" i="1"/>
  <c r="O38" i="1"/>
  <c r="N38" i="1"/>
  <c r="M38" i="1"/>
  <c r="L38" i="1"/>
  <c r="K38" i="1"/>
  <c r="J38" i="1"/>
  <c r="I38" i="1"/>
  <c r="H38" i="1"/>
  <c r="G38" i="1"/>
  <c r="F38" i="1"/>
  <c r="E38" i="1"/>
  <c r="O34" i="1"/>
  <c r="N34" i="1"/>
  <c r="M34" i="1"/>
  <c r="L34" i="1"/>
  <c r="K34" i="1"/>
  <c r="J34" i="1"/>
  <c r="I34" i="1"/>
  <c r="H34" i="1"/>
  <c r="G34" i="1"/>
  <c r="F34" i="1"/>
  <c r="E34" i="1"/>
  <c r="O32" i="1"/>
  <c r="N32" i="1"/>
  <c r="M32" i="1"/>
  <c r="L32" i="1"/>
  <c r="K32" i="1"/>
  <c r="J32" i="1"/>
  <c r="I32" i="1"/>
  <c r="H32" i="1"/>
  <c r="G32" i="1"/>
  <c r="F32" i="1"/>
  <c r="E32" i="1"/>
  <c r="O30" i="1"/>
  <c r="N30" i="1"/>
  <c r="M30" i="1"/>
  <c r="L30" i="1"/>
  <c r="K30" i="1"/>
  <c r="J30" i="1"/>
  <c r="I30" i="1"/>
  <c r="H30" i="1"/>
  <c r="G30" i="1"/>
  <c r="F30" i="1"/>
  <c r="E30" i="1"/>
  <c r="O25" i="1"/>
  <c r="G25" i="1"/>
  <c r="F25" i="1"/>
  <c r="O24" i="1"/>
  <c r="N24" i="1"/>
  <c r="N25" i="1" s="1"/>
  <c r="G24" i="1"/>
  <c r="F24" i="1"/>
  <c r="O22" i="1"/>
  <c r="N22" i="1"/>
  <c r="M22" i="1"/>
  <c r="M24" i="1" s="1"/>
  <c r="M25" i="1" s="1"/>
  <c r="J22" i="1"/>
  <c r="J24" i="1" s="1"/>
  <c r="J25" i="1" s="1"/>
  <c r="G22" i="1"/>
  <c r="F22" i="1"/>
  <c r="O21" i="1"/>
  <c r="N21" i="1"/>
  <c r="M21" i="1"/>
  <c r="L21" i="1"/>
  <c r="L22" i="1" s="1"/>
  <c r="L24" i="1" s="1"/>
  <c r="L25" i="1" s="1"/>
  <c r="K21" i="1"/>
  <c r="J21" i="1"/>
  <c r="I21" i="1"/>
  <c r="I22" i="1" s="1"/>
  <c r="I24" i="1" s="1"/>
  <c r="I25" i="1" s="1"/>
  <c r="H21" i="1"/>
  <c r="G21" i="1"/>
  <c r="F21" i="1"/>
  <c r="E21" i="1"/>
  <c r="O15" i="1"/>
  <c r="N15" i="1"/>
  <c r="M15" i="1"/>
  <c r="L15" i="1"/>
  <c r="K15" i="1"/>
  <c r="K22" i="1" s="1"/>
  <c r="K24" i="1" s="1"/>
  <c r="K25" i="1" s="1"/>
  <c r="J15" i="1"/>
  <c r="I15" i="1"/>
  <c r="H15" i="1"/>
  <c r="H22" i="1" s="1"/>
  <c r="G15" i="1"/>
  <c r="F15" i="1"/>
  <c r="E15" i="1"/>
  <c r="P229" i="18" l="1"/>
  <c r="E230" i="2"/>
  <c r="E243" i="2" s="1"/>
  <c r="P242" i="18"/>
  <c r="E118" i="18"/>
  <c r="E119" i="18" s="1"/>
  <c r="P15" i="18"/>
  <c r="P70" i="3"/>
  <c r="P71" i="3" s="1"/>
  <c r="E94" i="3"/>
  <c r="E95" i="3" s="1"/>
  <c r="E255" i="3" s="1"/>
  <c r="E259" i="3" s="1"/>
  <c r="P236" i="2"/>
  <c r="P216" i="2"/>
  <c r="E251" i="2"/>
  <c r="E250" i="2"/>
  <c r="P193" i="2"/>
  <c r="P82" i="2"/>
  <c r="P83" i="2" s="1"/>
  <c r="P71" i="2"/>
  <c r="P70" i="2"/>
  <c r="E94" i="2"/>
  <c r="E95" i="2" s="1"/>
  <c r="E255" i="2" s="1"/>
  <c r="E22" i="2"/>
  <c r="E24" i="2" s="1"/>
  <c r="E25" i="2" s="1"/>
  <c r="E217" i="1"/>
  <c r="E149" i="1"/>
  <c r="E118" i="1"/>
  <c r="E119" i="1" s="1"/>
  <c r="E95" i="1"/>
  <c r="E255" i="1" s="1"/>
  <c r="E259" i="1" s="1"/>
  <c r="E22" i="1"/>
  <c r="E60" i="1"/>
  <c r="E24" i="1"/>
  <c r="E25" i="1" s="1"/>
  <c r="P236" i="3"/>
  <c r="P204" i="18"/>
  <c r="I119" i="18"/>
  <c r="I250" i="18"/>
  <c r="O94" i="18"/>
  <c r="O95" i="18" s="1"/>
  <c r="O255" i="18" s="1"/>
  <c r="O259" i="18" s="1"/>
  <c r="H230" i="18"/>
  <c r="H243" i="18" s="1"/>
  <c r="H249" i="18" s="1"/>
  <c r="P70" i="18"/>
  <c r="P71" i="18" s="1"/>
  <c r="E94" i="18"/>
  <c r="E95" i="18" s="1"/>
  <c r="E255" i="18" s="1"/>
  <c r="E259" i="18" s="1"/>
  <c r="E58" i="18"/>
  <c r="E59" i="18" s="1"/>
  <c r="J250" i="18"/>
  <c r="D251" i="18"/>
  <c r="J217" i="18"/>
  <c r="K217" i="18"/>
  <c r="K250" i="18"/>
  <c r="N58" i="18"/>
  <c r="N59" i="18" s="1"/>
  <c r="M22" i="18"/>
  <c r="M24" i="18" s="1"/>
  <c r="M25" i="18" s="1"/>
  <c r="I22" i="18"/>
  <c r="I24" i="18" s="1"/>
  <c r="I25" i="18" s="1"/>
  <c r="L58" i="18"/>
  <c r="O58" i="18"/>
  <c r="O59" i="18" s="1"/>
  <c r="E217" i="18"/>
  <c r="D230" i="18"/>
  <c r="D243" i="18" s="1"/>
  <c r="L230" i="18"/>
  <c r="L243" i="18" s="1"/>
  <c r="L249" i="18" s="1"/>
  <c r="H251" i="18"/>
  <c r="J22" i="18"/>
  <c r="J24" i="18" s="1"/>
  <c r="J25" i="18" s="1"/>
  <c r="M58" i="18"/>
  <c r="M59" i="18" s="1"/>
  <c r="L94" i="18"/>
  <c r="L95" i="18" s="1"/>
  <c r="L255" i="18" s="1"/>
  <c r="L259" i="18" s="1"/>
  <c r="P139" i="18"/>
  <c r="F217" i="18"/>
  <c r="E230" i="18"/>
  <c r="E243" i="18" s="1"/>
  <c r="M230" i="18"/>
  <c r="M243" i="18" s="1"/>
  <c r="M249" i="18" s="1"/>
  <c r="I251" i="18"/>
  <c r="P117" i="18"/>
  <c r="P118" i="18" s="1"/>
  <c r="P119" i="18" s="1"/>
  <c r="H94" i="18"/>
  <c r="H95" i="18" s="1"/>
  <c r="H255" i="18" s="1"/>
  <c r="H259" i="18" s="1"/>
  <c r="G149" i="18"/>
  <c r="P193" i="18"/>
  <c r="P236" i="18"/>
  <c r="P144" i="18"/>
  <c r="F230" i="18"/>
  <c r="F243" i="18" s="1"/>
  <c r="F249" i="18" s="1"/>
  <c r="F94" i="18"/>
  <c r="F95" i="18" s="1"/>
  <c r="F255" i="18" s="1"/>
  <c r="L217" i="18"/>
  <c r="E22" i="18"/>
  <c r="E24" i="18" s="1"/>
  <c r="E25" i="18" s="1"/>
  <c r="H149" i="18"/>
  <c r="D22" i="18"/>
  <c r="D24" i="18" s="1"/>
  <c r="D25" i="18" s="1"/>
  <c r="P21" i="18"/>
  <c r="N95" i="18"/>
  <c r="N255" i="18" s="1"/>
  <c r="N259" i="18" s="1"/>
  <c r="N94" i="18"/>
  <c r="P129" i="18"/>
  <c r="G230" i="18"/>
  <c r="D95" i="18"/>
  <c r="D255" i="18" s="1"/>
  <c r="P263" i="3"/>
  <c r="P242" i="3"/>
  <c r="D149" i="3"/>
  <c r="P144" i="3"/>
  <c r="D95" i="3"/>
  <c r="D255" i="3" s="1"/>
  <c r="D259" i="3" s="1"/>
  <c r="P15" i="3"/>
  <c r="P22" i="3" s="1"/>
  <c r="P45" i="3"/>
  <c r="P263" i="2"/>
  <c r="D251" i="2"/>
  <c r="P144" i="2"/>
  <c r="D118" i="2"/>
  <c r="P94" i="2"/>
  <c r="D94" i="2"/>
  <c r="D95" i="2"/>
  <c r="D255" i="2" s="1"/>
  <c r="D58" i="2"/>
  <c r="P21" i="2"/>
  <c r="P22" i="2" s="1"/>
  <c r="P24" i="2" s="1"/>
  <c r="P25" i="2" s="1"/>
  <c r="P30" i="2"/>
  <c r="P45" i="2"/>
  <c r="P32" i="2"/>
  <c r="P47" i="2"/>
  <c r="P30" i="18"/>
  <c r="J60" i="18"/>
  <c r="J59" i="18"/>
  <c r="J249" i="18"/>
  <c r="F60" i="18"/>
  <c r="F59" i="18"/>
  <c r="M119" i="18"/>
  <c r="O60" i="18"/>
  <c r="I95" i="18"/>
  <c r="I255" i="18" s="1"/>
  <c r="I259" i="18" s="1"/>
  <c r="K58" i="18"/>
  <c r="K47" i="18"/>
  <c r="G58" i="18"/>
  <c r="G42" i="18"/>
  <c r="P45" i="18"/>
  <c r="H60" i="18"/>
  <c r="H59" i="18"/>
  <c r="F259" i="18"/>
  <c r="P216" i="18"/>
  <c r="I58" i="18"/>
  <c r="I42" i="18"/>
  <c r="H42" i="18"/>
  <c r="D58" i="18"/>
  <c r="G243" i="18"/>
  <c r="P41" i="18"/>
  <c r="P42" i="18" s="1"/>
  <c r="P46" i="18"/>
  <c r="P47" i="18" s="1"/>
  <c r="G95" i="18"/>
  <c r="G255" i="18" s="1"/>
  <c r="G119" i="18"/>
  <c r="P148" i="18"/>
  <c r="N230" i="18"/>
  <c r="N243" i="18" s="1"/>
  <c r="D250" i="18"/>
  <c r="G251" i="18"/>
  <c r="H119" i="18"/>
  <c r="D118" i="18"/>
  <c r="D119" i="18" s="1"/>
  <c r="O243" i="18"/>
  <c r="E250" i="18"/>
  <c r="P34" i="18"/>
  <c r="L59" i="18"/>
  <c r="J94" i="18"/>
  <c r="J95" i="18" s="1"/>
  <c r="J255" i="18" s="1"/>
  <c r="J259" i="18" s="1"/>
  <c r="M251" i="18"/>
  <c r="M250" i="18"/>
  <c r="M217" i="18"/>
  <c r="P38" i="18"/>
  <c r="K94" i="18"/>
  <c r="K95" i="18" s="1"/>
  <c r="K255" i="18" s="1"/>
  <c r="K259" i="18" s="1"/>
  <c r="N251" i="18"/>
  <c r="N250" i="18"/>
  <c r="N217" i="18"/>
  <c r="O249" i="18"/>
  <c r="P146" i="18"/>
  <c r="O250" i="18"/>
  <c r="O217" i="18"/>
  <c r="E251" i="18"/>
  <c r="K22" i="18"/>
  <c r="K24" i="18" s="1"/>
  <c r="K25" i="18" s="1"/>
  <c r="N60" i="18"/>
  <c r="F119" i="18"/>
  <c r="P210" i="18"/>
  <c r="F251" i="18"/>
  <c r="P256" i="18"/>
  <c r="P258" i="18" s="1"/>
  <c r="L22" i="18"/>
  <c r="L24" i="18" s="1"/>
  <c r="L25" i="18" s="1"/>
  <c r="N22" i="18"/>
  <c r="N24" i="18" s="1"/>
  <c r="N25" i="18" s="1"/>
  <c r="P62" i="18"/>
  <c r="P91" i="18"/>
  <c r="P92" i="18"/>
  <c r="P93" i="18"/>
  <c r="P94" i="18" s="1"/>
  <c r="P134" i="18"/>
  <c r="P149" i="18" s="1"/>
  <c r="P145" i="18"/>
  <c r="P223" i="18"/>
  <c r="F250" i="18"/>
  <c r="P88" i="18"/>
  <c r="O119" i="18"/>
  <c r="J42" i="18"/>
  <c r="L250" i="18"/>
  <c r="D259" i="18"/>
  <c r="L42" i="18"/>
  <c r="M42" i="18"/>
  <c r="D258" i="3"/>
  <c r="M249" i="3"/>
  <c r="M59" i="3"/>
  <c r="E230" i="3"/>
  <c r="E243" i="3" s="1"/>
  <c r="E249" i="3" s="1"/>
  <c r="E250" i="3"/>
  <c r="P62" i="3"/>
  <c r="P46" i="3"/>
  <c r="P47" i="3" s="1"/>
  <c r="H95" i="3"/>
  <c r="H255" i="3" s="1"/>
  <c r="H259" i="3" s="1"/>
  <c r="I119" i="3"/>
  <c r="O119" i="3"/>
  <c r="H250" i="3"/>
  <c r="O59" i="3"/>
  <c r="O60" i="3"/>
  <c r="K95" i="3"/>
  <c r="K255" i="3" s="1"/>
  <c r="E60" i="3"/>
  <c r="G230" i="3"/>
  <c r="G243" i="3" s="1"/>
  <c r="G251" i="3"/>
  <c r="H230" i="3"/>
  <c r="H243" i="3" s="1"/>
  <c r="H249" i="3" s="1"/>
  <c r="M60" i="3"/>
  <c r="P24" i="3"/>
  <c r="P25" i="3" s="1"/>
  <c r="H60" i="3"/>
  <c r="H59" i="3"/>
  <c r="P91" i="3"/>
  <c r="G256" i="3"/>
  <c r="G258" i="3" s="1"/>
  <c r="P118" i="3"/>
  <c r="P30" i="3"/>
  <c r="J58" i="3"/>
  <c r="J42" i="3"/>
  <c r="P41" i="3"/>
  <c r="P42" i="3" s="1"/>
  <c r="I59" i="3"/>
  <c r="I60" i="3"/>
  <c r="I249" i="3"/>
  <c r="P88" i="3"/>
  <c r="I95" i="3"/>
  <c r="I255" i="3" s="1"/>
  <c r="I259" i="3"/>
  <c r="J119" i="3"/>
  <c r="P193" i="3"/>
  <c r="L59" i="3"/>
  <c r="L249" i="3"/>
  <c r="K259" i="3"/>
  <c r="F230" i="3"/>
  <c r="F243" i="3" s="1"/>
  <c r="F249" i="3" s="1"/>
  <c r="F251" i="3"/>
  <c r="P119" i="3"/>
  <c r="F60" i="3"/>
  <c r="P229" i="3"/>
  <c r="F59" i="3"/>
  <c r="G94" i="3"/>
  <c r="G95" i="3" s="1"/>
  <c r="G255" i="3" s="1"/>
  <c r="N58" i="3"/>
  <c r="J256" i="3"/>
  <c r="J258" i="3" s="1"/>
  <c r="J95" i="3"/>
  <c r="J255" i="3" s="1"/>
  <c r="J259" i="3"/>
  <c r="P77" i="3"/>
  <c r="K94" i="3"/>
  <c r="D119" i="3"/>
  <c r="P204" i="3"/>
  <c r="L94" i="3"/>
  <c r="L95" i="3" s="1"/>
  <c r="L255" i="3" s="1"/>
  <c r="L259" i="3" s="1"/>
  <c r="E119" i="3"/>
  <c r="M251" i="3"/>
  <c r="M250" i="3"/>
  <c r="K243" i="3"/>
  <c r="D58" i="3"/>
  <c r="D42" i="3"/>
  <c r="E47" i="3"/>
  <c r="N251" i="3"/>
  <c r="N250" i="3"/>
  <c r="N217" i="3"/>
  <c r="M217" i="3"/>
  <c r="P147" i="3"/>
  <c r="M22" i="3"/>
  <c r="M24" i="3" s="1"/>
  <c r="M25" i="3" s="1"/>
  <c r="F42" i="3"/>
  <c r="H119" i="3"/>
  <c r="P148" i="3"/>
  <c r="P210" i="3"/>
  <c r="N22" i="3"/>
  <c r="N24" i="3" s="1"/>
  <c r="N25" i="3" s="1"/>
  <c r="P92" i="3"/>
  <c r="P93" i="3"/>
  <c r="E118" i="3"/>
  <c r="P129" i="3"/>
  <c r="E217" i="3"/>
  <c r="E251" i="3"/>
  <c r="D250" i="3"/>
  <c r="H42" i="3"/>
  <c r="G60" i="3"/>
  <c r="G249" i="3"/>
  <c r="P89" i="3"/>
  <c r="P134" i="3"/>
  <c r="P145" i="3"/>
  <c r="F217" i="3"/>
  <c r="F250" i="3"/>
  <c r="O230" i="3"/>
  <c r="O243" i="3" s="1"/>
  <c r="O249" i="3" s="1"/>
  <c r="F94" i="3"/>
  <c r="F95" i="3" s="1"/>
  <c r="F255" i="3" s="1"/>
  <c r="F259" i="3" s="1"/>
  <c r="K119" i="3"/>
  <c r="D243" i="3"/>
  <c r="P223" i="3"/>
  <c r="K58" i="3"/>
  <c r="O217" i="3"/>
  <c r="L42" i="3"/>
  <c r="M42" i="3"/>
  <c r="K119" i="2"/>
  <c r="J59" i="2"/>
  <c r="J249" i="2"/>
  <c r="J149" i="2"/>
  <c r="L59" i="2"/>
  <c r="L249" i="2"/>
  <c r="P38" i="2"/>
  <c r="M249" i="2"/>
  <c r="O249" i="2"/>
  <c r="O60" i="2"/>
  <c r="P146" i="2"/>
  <c r="P129" i="2"/>
  <c r="P149" i="2" s="1"/>
  <c r="M59" i="2"/>
  <c r="J22" i="2"/>
  <c r="J24" i="2" s="1"/>
  <c r="J25" i="2" s="1"/>
  <c r="P41" i="2"/>
  <c r="P42" i="2" s="1"/>
  <c r="N59" i="2"/>
  <c r="E58" i="2"/>
  <c r="E42" i="2"/>
  <c r="P91" i="2"/>
  <c r="F59" i="2"/>
  <c r="F60" i="2"/>
  <c r="L60" i="2"/>
  <c r="M60" i="2"/>
  <c r="F259" i="2"/>
  <c r="D119" i="2"/>
  <c r="M251" i="2"/>
  <c r="M250" i="2"/>
  <c r="M217" i="2"/>
  <c r="P148" i="2"/>
  <c r="M119" i="2"/>
  <c r="K22" i="2"/>
  <c r="K24" i="2" s="1"/>
  <c r="K25" i="2" s="1"/>
  <c r="N119" i="2"/>
  <c r="E259" i="2"/>
  <c r="P204" i="2"/>
  <c r="H60" i="2"/>
  <c r="H59" i="2"/>
  <c r="H249" i="2"/>
  <c r="N60" i="2"/>
  <c r="G256" i="2"/>
  <c r="G258" i="2" s="1"/>
  <c r="G95" i="2"/>
  <c r="G255" i="2" s="1"/>
  <c r="G259" i="2" s="1"/>
  <c r="G94" i="2"/>
  <c r="E119" i="2"/>
  <c r="N251" i="2"/>
  <c r="N250" i="2"/>
  <c r="N217" i="2"/>
  <c r="F249" i="2"/>
  <c r="L95" i="2"/>
  <c r="L255" i="2" s="1"/>
  <c r="L259" i="2" s="1"/>
  <c r="P40" i="2"/>
  <c r="O259" i="2"/>
  <c r="O59" i="2"/>
  <c r="K60" i="2"/>
  <c r="K59" i="2"/>
  <c r="K249" i="2"/>
  <c r="P119" i="2"/>
  <c r="I60" i="2"/>
  <c r="I59" i="2"/>
  <c r="I249" i="2"/>
  <c r="P62" i="2"/>
  <c r="H94" i="2"/>
  <c r="H95" i="2" s="1"/>
  <c r="H255" i="2" s="1"/>
  <c r="H259" i="2" s="1"/>
  <c r="F119" i="2"/>
  <c r="O250" i="2"/>
  <c r="O217" i="2"/>
  <c r="D243" i="2"/>
  <c r="P223" i="2"/>
  <c r="P243" i="2" s="1"/>
  <c r="D250" i="2"/>
  <c r="P210" i="2"/>
  <c r="H42" i="2"/>
  <c r="D47" i="2"/>
  <c r="P88" i="2"/>
  <c r="O119" i="2"/>
  <c r="I42" i="2"/>
  <c r="K250" i="2"/>
  <c r="G58" i="2"/>
  <c r="J42" i="2"/>
  <c r="L250" i="2"/>
  <c r="D259" i="2"/>
  <c r="F42" i="2"/>
  <c r="L42" i="2"/>
  <c r="M42" i="2"/>
  <c r="M59" i="1"/>
  <c r="M60" i="1"/>
  <c r="M249" i="1"/>
  <c r="K217" i="1"/>
  <c r="K250" i="1"/>
  <c r="L217" i="1"/>
  <c r="L95" i="1"/>
  <c r="L255" i="1" s="1"/>
  <c r="L259" i="1" s="1"/>
  <c r="N94" i="1"/>
  <c r="M95" i="1"/>
  <c r="M255" i="1" s="1"/>
  <c r="M259" i="1" s="1"/>
  <c r="N95" i="1"/>
  <c r="N255" i="1" s="1"/>
  <c r="N259" i="1" s="1"/>
  <c r="G119" i="1"/>
  <c r="H118" i="1"/>
  <c r="H119" i="1" s="1"/>
  <c r="O95" i="1"/>
  <c r="O255" i="1" s="1"/>
  <c r="O259" i="1" s="1"/>
  <c r="I119" i="1"/>
  <c r="L59" i="1"/>
  <c r="L60" i="1"/>
  <c r="L249" i="1"/>
  <c r="I42" i="1"/>
  <c r="I58" i="1"/>
  <c r="J59" i="1"/>
  <c r="J60" i="1"/>
  <c r="J249" i="1"/>
  <c r="K251" i="1"/>
  <c r="H24" i="1"/>
  <c r="H25" i="1" s="1"/>
  <c r="H60" i="1"/>
  <c r="K59" i="1"/>
  <c r="K60" i="1"/>
  <c r="K249" i="1"/>
  <c r="N59" i="1"/>
  <c r="N60" i="1"/>
  <c r="N249" i="1"/>
  <c r="O230" i="1"/>
  <c r="O243" i="1" s="1"/>
  <c r="O249" i="1" s="1"/>
  <c r="E243" i="1"/>
  <c r="E249" i="1" s="1"/>
  <c r="O250" i="1"/>
  <c r="L251" i="1"/>
  <c r="L250" i="1"/>
  <c r="M251" i="1"/>
  <c r="N251" i="1"/>
  <c r="F58" i="1"/>
  <c r="J95" i="1"/>
  <c r="J255" i="1" s="1"/>
  <c r="J259" i="1" s="1"/>
  <c r="E251" i="1"/>
  <c r="K94" i="1"/>
  <c r="K95" i="1" s="1"/>
  <c r="K255" i="1" s="1"/>
  <c r="K259" i="1" s="1"/>
  <c r="H217" i="1"/>
  <c r="F251" i="1"/>
  <c r="I217" i="1"/>
  <c r="H251" i="1"/>
  <c r="I251" i="1"/>
  <c r="P230" i="2" l="1"/>
  <c r="E249" i="18"/>
  <c r="P22" i="18"/>
  <c r="P24" i="18" s="1"/>
  <c r="P25" i="18" s="1"/>
  <c r="P243" i="3"/>
  <c r="P95" i="2"/>
  <c r="P230" i="18"/>
  <c r="L60" i="18"/>
  <c r="E60" i="18"/>
  <c r="M60" i="18"/>
  <c r="N249" i="18"/>
  <c r="D249" i="2"/>
  <c r="D59" i="2"/>
  <c r="D60" i="2"/>
  <c r="P255" i="18"/>
  <c r="P259" i="18" s="1"/>
  <c r="G60" i="18"/>
  <c r="G59" i="18"/>
  <c r="G249" i="18"/>
  <c r="P95" i="18"/>
  <c r="P217" i="18"/>
  <c r="P250" i="18"/>
  <c r="P251" i="18"/>
  <c r="G259" i="18"/>
  <c r="I60" i="18"/>
  <c r="I59" i="18"/>
  <c r="I249" i="18"/>
  <c r="P243" i="18"/>
  <c r="K60" i="18"/>
  <c r="K59" i="18"/>
  <c r="K249" i="18"/>
  <c r="D249" i="18"/>
  <c r="P58" i="18"/>
  <c r="D59" i="18"/>
  <c r="D60" i="18"/>
  <c r="G259" i="3"/>
  <c r="P255" i="3"/>
  <c r="P259" i="3"/>
  <c r="K60" i="3"/>
  <c r="K59" i="3"/>
  <c r="K249" i="3"/>
  <c r="P217" i="3"/>
  <c r="P250" i="3"/>
  <c r="P251" i="3"/>
  <c r="D249" i="3"/>
  <c r="P58" i="3"/>
  <c r="D60" i="3"/>
  <c r="D59" i="3"/>
  <c r="P230" i="3"/>
  <c r="N249" i="3"/>
  <c r="N60" i="3"/>
  <c r="N59" i="3"/>
  <c r="J60" i="3"/>
  <c r="J59" i="3"/>
  <c r="J249" i="3"/>
  <c r="P149" i="3"/>
  <c r="P94" i="3"/>
  <c r="P95" i="3" s="1"/>
  <c r="P256" i="3"/>
  <c r="P258" i="3" s="1"/>
  <c r="E59" i="2"/>
  <c r="E60" i="2"/>
  <c r="E249" i="2"/>
  <c r="J60" i="2"/>
  <c r="P58" i="2"/>
  <c r="P217" i="2"/>
  <c r="P251" i="2"/>
  <c r="P250" i="2"/>
  <c r="P255" i="2"/>
  <c r="P259" i="2" s="1"/>
  <c r="P256" i="2"/>
  <c r="P258" i="2" s="1"/>
  <c r="G60" i="2"/>
  <c r="G59" i="2"/>
  <c r="G249" i="2"/>
  <c r="I59" i="1"/>
  <c r="I60" i="1"/>
  <c r="I249" i="1"/>
  <c r="F249" i="1"/>
  <c r="F60" i="1"/>
  <c r="F59" i="1"/>
  <c r="P249" i="18" l="1"/>
  <c r="P60" i="18"/>
  <c r="P59" i="18"/>
  <c r="P249" i="3"/>
  <c r="P59" i="3"/>
  <c r="P60" i="3"/>
  <c r="P249" i="2"/>
  <c r="P60" i="2"/>
  <c r="P59" i="2"/>
  <c r="D263" i="1" l="1"/>
  <c r="P262" i="1"/>
  <c r="P261" i="1"/>
  <c r="P257" i="1"/>
  <c r="P254" i="1"/>
  <c r="P253" i="1"/>
  <c r="D247" i="1"/>
  <c r="P246" i="1"/>
  <c r="P245" i="1"/>
  <c r="P247" i="1" s="1"/>
  <c r="D242" i="1"/>
  <c r="P241" i="1"/>
  <c r="P240" i="1"/>
  <c r="P239" i="1"/>
  <c r="P238" i="1"/>
  <c r="D236" i="1"/>
  <c r="P235" i="1"/>
  <c r="P234" i="1"/>
  <c r="P233" i="1"/>
  <c r="P232" i="1"/>
  <c r="D229" i="1"/>
  <c r="P228" i="1"/>
  <c r="P227" i="1"/>
  <c r="P226" i="1"/>
  <c r="P225" i="1"/>
  <c r="D223" i="1"/>
  <c r="P222" i="1"/>
  <c r="P221" i="1"/>
  <c r="P220" i="1"/>
  <c r="P219" i="1"/>
  <c r="D216" i="1"/>
  <c r="P215" i="1"/>
  <c r="P214" i="1"/>
  <c r="P213" i="1"/>
  <c r="P212" i="1"/>
  <c r="D210" i="1"/>
  <c r="P209" i="1"/>
  <c r="P208" i="1"/>
  <c r="P207" i="1"/>
  <c r="P206" i="1"/>
  <c r="D204" i="1"/>
  <c r="P203" i="1"/>
  <c r="P202" i="1"/>
  <c r="P201" i="1"/>
  <c r="P200" i="1"/>
  <c r="P199" i="1"/>
  <c r="P197" i="1"/>
  <c r="P196" i="1"/>
  <c r="P195" i="1"/>
  <c r="P194" i="1"/>
  <c r="D193" i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D148" i="1"/>
  <c r="D147" i="1"/>
  <c r="D146" i="1"/>
  <c r="D145" i="1"/>
  <c r="D144" i="1"/>
  <c r="P143" i="1"/>
  <c r="P142" i="1"/>
  <c r="P141" i="1"/>
  <c r="P140" i="1"/>
  <c r="D139" i="1"/>
  <c r="P138" i="1"/>
  <c r="P137" i="1"/>
  <c r="P136" i="1"/>
  <c r="P135" i="1"/>
  <c r="D134" i="1"/>
  <c r="P133" i="1"/>
  <c r="P132" i="1"/>
  <c r="P131" i="1"/>
  <c r="P130" i="1"/>
  <c r="D129" i="1"/>
  <c r="P128" i="1"/>
  <c r="P127" i="1"/>
  <c r="P126" i="1"/>
  <c r="P125" i="1"/>
  <c r="D123" i="1"/>
  <c r="P122" i="1"/>
  <c r="P123" i="1" s="1"/>
  <c r="P121" i="1"/>
  <c r="D117" i="1"/>
  <c r="P116" i="1"/>
  <c r="P115" i="1"/>
  <c r="P114" i="1"/>
  <c r="P113" i="1"/>
  <c r="P117" i="1" s="1"/>
  <c r="D111" i="1"/>
  <c r="P110" i="1"/>
  <c r="P109" i="1"/>
  <c r="P108" i="1"/>
  <c r="P107" i="1"/>
  <c r="D105" i="1"/>
  <c r="P104" i="1"/>
  <c r="P103" i="1"/>
  <c r="P102" i="1"/>
  <c r="P101" i="1"/>
  <c r="P98" i="1"/>
  <c r="D93" i="1"/>
  <c r="D92" i="1"/>
  <c r="D91" i="1"/>
  <c r="D90" i="1"/>
  <c r="P90" i="1" s="1"/>
  <c r="D88" i="1"/>
  <c r="P87" i="1"/>
  <c r="P86" i="1"/>
  <c r="P85" i="1"/>
  <c r="P84" i="1"/>
  <c r="D83" i="1"/>
  <c r="P81" i="1"/>
  <c r="P80" i="1"/>
  <c r="P79" i="1"/>
  <c r="P78" i="1"/>
  <c r="D76" i="1"/>
  <c r="D77" i="1" s="1"/>
  <c r="P75" i="1"/>
  <c r="P74" i="1"/>
  <c r="P76" i="1" s="1"/>
  <c r="P73" i="1"/>
  <c r="P72" i="1"/>
  <c r="D71" i="1"/>
  <c r="P69" i="1"/>
  <c r="P68" i="1"/>
  <c r="P67" i="1"/>
  <c r="P66" i="1"/>
  <c r="P63" i="1"/>
  <c r="D62" i="1"/>
  <c r="P61" i="1"/>
  <c r="P56" i="1"/>
  <c r="P55" i="1"/>
  <c r="P54" i="1"/>
  <c r="P52" i="1"/>
  <c r="P51" i="1"/>
  <c r="P50" i="1"/>
  <c r="P49" i="1"/>
  <c r="D46" i="1"/>
  <c r="D47" i="1" s="1"/>
  <c r="D45" i="1"/>
  <c r="P44" i="1"/>
  <c r="D41" i="1"/>
  <c r="D42" i="1" s="1"/>
  <c r="D40" i="1"/>
  <c r="P39" i="1"/>
  <c r="D38" i="1"/>
  <c r="P37" i="1"/>
  <c r="D34" i="1"/>
  <c r="P33" i="1"/>
  <c r="D32" i="1"/>
  <c r="P31" i="1"/>
  <c r="D30" i="1"/>
  <c r="P29" i="1"/>
  <c r="D21" i="1"/>
  <c r="P20" i="1"/>
  <c r="P19" i="1"/>
  <c r="P18" i="1"/>
  <c r="P17" i="1"/>
  <c r="D15" i="1"/>
  <c r="P14" i="1"/>
  <c r="P13" i="1"/>
  <c r="P12" i="1"/>
  <c r="P11" i="1"/>
  <c r="P9" i="1"/>
  <c r="P38" i="1" s="1"/>
  <c r="P70" i="1" l="1"/>
  <c r="P139" i="1"/>
  <c r="P148" i="1"/>
  <c r="D230" i="1"/>
  <c r="D149" i="1"/>
  <c r="P111" i="1"/>
  <c r="P118" i="1" s="1"/>
  <c r="P77" i="1"/>
  <c r="P71" i="1"/>
  <c r="P144" i="1"/>
  <c r="P91" i="1"/>
  <c r="P40" i="1"/>
  <c r="P45" i="1"/>
  <c r="P242" i="1"/>
  <c r="P83" i="1"/>
  <c r="P30" i="1"/>
  <c r="P32" i="1"/>
  <c r="P263" i="1"/>
  <c r="P236" i="1"/>
  <c r="D118" i="1"/>
  <c r="D119" i="1" s="1"/>
  <c r="D256" i="1"/>
  <c r="P21" i="1"/>
  <c r="P15" i="1"/>
  <c r="D243" i="1"/>
  <c r="P223" i="1"/>
  <c r="P93" i="1"/>
  <c r="P92" i="1"/>
  <c r="P216" i="1"/>
  <c r="D94" i="1"/>
  <c r="D95" i="1" s="1"/>
  <c r="D255" i="1" s="1"/>
  <c r="P46" i="1"/>
  <c r="P47" i="1" s="1"/>
  <c r="P204" i="1"/>
  <c r="D22" i="1"/>
  <c r="D24" i="1" s="1"/>
  <c r="D25" i="1" s="1"/>
  <c r="D58" i="1"/>
  <c r="P88" i="1"/>
  <c r="P145" i="1"/>
  <c r="P129" i="1"/>
  <c r="P146" i="1"/>
  <c r="P193" i="1"/>
  <c r="D250" i="1"/>
  <c r="D217" i="1"/>
  <c r="D251" i="1"/>
  <c r="P210" i="1"/>
  <c r="P41" i="1"/>
  <c r="P42" i="1" s="1"/>
  <c r="P62" i="1"/>
  <c r="P147" i="1"/>
  <c r="P34" i="1"/>
  <c r="P89" i="1"/>
  <c r="P134" i="1"/>
  <c r="P229" i="1"/>
  <c r="D89" i="1"/>
  <c r="P105" i="1"/>
  <c r="P119" i="1" s="1"/>
  <c r="P230" i="1" l="1"/>
  <c r="P22" i="1"/>
  <c r="P24" i="1" s="1"/>
  <c r="P25" i="1" s="1"/>
  <c r="D258" i="1"/>
  <c r="P256" i="1"/>
  <c r="P258" i="1" s="1"/>
  <c r="P94" i="1"/>
  <c r="P95" i="1" s="1"/>
  <c r="P217" i="1"/>
  <c r="P250" i="1"/>
  <c r="P251" i="1"/>
  <c r="D60" i="1"/>
  <c r="D249" i="1"/>
  <c r="D59" i="1"/>
  <c r="P58" i="1"/>
  <c r="P255" i="1"/>
  <c r="P259" i="1" s="1"/>
  <c r="P243" i="1"/>
  <c r="D259" i="1"/>
  <c r="P149" i="1"/>
  <c r="P249" i="1" l="1"/>
  <c r="P59" i="1"/>
  <c r="P60" i="1"/>
  <c r="D209" i="16"/>
  <c r="M209" i="11" l="1"/>
  <c r="J12" i="11" l="1"/>
  <c r="J13" i="11"/>
  <c r="J14" i="11"/>
  <c r="G262" i="13" l="1"/>
  <c r="G261" i="13"/>
  <c r="G257" i="13"/>
  <c r="G254" i="13"/>
  <c r="G253" i="13"/>
  <c r="G246" i="13"/>
  <c r="G245" i="13"/>
  <c r="G241" i="13"/>
  <c r="G240" i="13"/>
  <c r="G239" i="13"/>
  <c r="G238" i="13"/>
  <c r="G235" i="13"/>
  <c r="G234" i="13"/>
  <c r="G233" i="13"/>
  <c r="G232" i="13"/>
  <c r="G228" i="13"/>
  <c r="G227" i="13"/>
  <c r="G226" i="13"/>
  <c r="G225" i="13"/>
  <c r="G222" i="13"/>
  <c r="G221" i="13"/>
  <c r="G220" i="13"/>
  <c r="G219" i="13"/>
  <c r="G215" i="13"/>
  <c r="G214" i="13"/>
  <c r="G213" i="13"/>
  <c r="G212" i="13"/>
  <c r="G209" i="13"/>
  <c r="G208" i="13"/>
  <c r="G207" i="13"/>
  <c r="G206" i="13"/>
  <c r="G203" i="13"/>
  <c r="G202" i="13"/>
  <c r="G201" i="13"/>
  <c r="G200" i="13"/>
  <c r="G199" i="13"/>
  <c r="G197" i="13"/>
  <c r="G196" i="13"/>
  <c r="G195" i="13"/>
  <c r="G194" i="13"/>
  <c r="G192" i="13"/>
  <c r="G191" i="13"/>
  <c r="G190" i="13"/>
  <c r="G189" i="13"/>
  <c r="G188" i="13"/>
  <c r="H188" i="13" s="1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H176" i="13" s="1"/>
  <c r="G175" i="13"/>
  <c r="G174" i="13"/>
  <c r="G173" i="13"/>
  <c r="G172" i="13"/>
  <c r="G171" i="13"/>
  <c r="G170" i="13"/>
  <c r="G169" i="13"/>
  <c r="G168" i="13"/>
  <c r="G167" i="13"/>
  <c r="G166" i="13"/>
  <c r="H166" i="13" s="1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43" i="13"/>
  <c r="G142" i="13"/>
  <c r="G141" i="13"/>
  <c r="G140" i="13"/>
  <c r="G138" i="13"/>
  <c r="G137" i="13"/>
  <c r="G136" i="13"/>
  <c r="G135" i="13"/>
  <c r="G133" i="13"/>
  <c r="G132" i="13"/>
  <c r="G131" i="13"/>
  <c r="G130" i="13"/>
  <c r="G128" i="13"/>
  <c r="G127" i="13"/>
  <c r="G126" i="13"/>
  <c r="G125" i="13"/>
  <c r="G122" i="13"/>
  <c r="G121" i="13"/>
  <c r="G116" i="13"/>
  <c r="G115" i="13"/>
  <c r="G114" i="13"/>
  <c r="G113" i="13"/>
  <c r="G110" i="13"/>
  <c r="G109" i="13"/>
  <c r="G108" i="13"/>
  <c r="G107" i="13"/>
  <c r="G104" i="13"/>
  <c r="G103" i="13"/>
  <c r="G102" i="13"/>
  <c r="G101" i="13"/>
  <c r="G98" i="13"/>
  <c r="G72" i="13"/>
  <c r="G87" i="13"/>
  <c r="G86" i="13"/>
  <c r="G88" i="13" s="1"/>
  <c r="G85" i="13"/>
  <c r="G84" i="13"/>
  <c r="G81" i="13"/>
  <c r="G80" i="13"/>
  <c r="G79" i="13"/>
  <c r="G78" i="13"/>
  <c r="G75" i="13"/>
  <c r="G74" i="13"/>
  <c r="G73" i="13"/>
  <c r="G69" i="13"/>
  <c r="G68" i="13"/>
  <c r="G67" i="13"/>
  <c r="G66" i="13"/>
  <c r="D63" i="13"/>
  <c r="E63" i="13"/>
  <c r="F63" i="13"/>
  <c r="G63" i="13"/>
  <c r="G61" i="13"/>
  <c r="G56" i="13"/>
  <c r="G55" i="13"/>
  <c r="G54" i="13"/>
  <c r="G51" i="13"/>
  <c r="G50" i="13"/>
  <c r="G49" i="13"/>
  <c r="G46" i="13"/>
  <c r="G44" i="13"/>
  <c r="G39" i="13"/>
  <c r="G37" i="13"/>
  <c r="G36" i="13"/>
  <c r="G35" i="13"/>
  <c r="G33" i="13"/>
  <c r="G31" i="13"/>
  <c r="G29" i="13"/>
  <c r="G20" i="13"/>
  <c r="G19" i="13"/>
  <c r="G18" i="13"/>
  <c r="G17" i="13"/>
  <c r="G14" i="13"/>
  <c r="G13" i="13"/>
  <c r="G12" i="13"/>
  <c r="G11" i="13"/>
  <c r="G9" i="13"/>
  <c r="H263" i="13"/>
  <c r="H183" i="13"/>
  <c r="G76" i="13" l="1"/>
  <c r="G77" i="13" s="1"/>
  <c r="G89" i="13"/>
  <c r="G82" i="13"/>
  <c r="H63" i="13"/>
  <c r="G83" i="13" l="1"/>
  <c r="H263" i="14"/>
  <c r="G63" i="14"/>
  <c r="G61" i="14"/>
  <c r="G56" i="14"/>
  <c r="G55" i="14"/>
  <c r="G54" i="14"/>
  <c r="G52" i="14"/>
  <c r="G51" i="14"/>
  <c r="G50" i="14"/>
  <c r="G49" i="14"/>
  <c r="G46" i="14"/>
  <c r="G44" i="14"/>
  <c r="G39" i="14"/>
  <c r="G37" i="14"/>
  <c r="G36" i="14"/>
  <c r="G35" i="14"/>
  <c r="G31" i="14"/>
  <c r="G29" i="14"/>
  <c r="G17" i="14"/>
  <c r="G14" i="14"/>
  <c r="G13" i="14"/>
  <c r="G12" i="14"/>
  <c r="G11" i="14"/>
  <c r="G9" i="14"/>
  <c r="G262" i="14"/>
  <c r="G261" i="14"/>
  <c r="G257" i="14"/>
  <c r="G254" i="14"/>
  <c r="G253" i="14"/>
  <c r="G246" i="14"/>
  <c r="G245" i="14"/>
  <c r="G241" i="14"/>
  <c r="G240" i="14"/>
  <c r="G239" i="14"/>
  <c r="G238" i="14"/>
  <c r="G235" i="14"/>
  <c r="G234" i="14"/>
  <c r="G233" i="14"/>
  <c r="G232" i="14"/>
  <c r="G228" i="14"/>
  <c r="G227" i="14"/>
  <c r="G226" i="14"/>
  <c r="G225" i="14"/>
  <c r="G222" i="14"/>
  <c r="G221" i="14"/>
  <c r="G220" i="14"/>
  <c r="G219" i="14"/>
  <c r="G215" i="14"/>
  <c r="G214" i="14"/>
  <c r="G213" i="14"/>
  <c r="G212" i="14"/>
  <c r="G209" i="14"/>
  <c r="G208" i="14"/>
  <c r="G207" i="14"/>
  <c r="G206" i="14"/>
  <c r="G203" i="14"/>
  <c r="G202" i="14"/>
  <c r="G201" i="14"/>
  <c r="G200" i="14"/>
  <c r="G199" i="14"/>
  <c r="G197" i="14"/>
  <c r="G196" i="14"/>
  <c r="G195" i="14"/>
  <c r="G194" i="14"/>
  <c r="G192" i="14"/>
  <c r="G191" i="14"/>
  <c r="G190" i="14"/>
  <c r="G189" i="14"/>
  <c r="G188" i="14"/>
  <c r="H188" i="14" s="1"/>
  <c r="G187" i="14"/>
  <c r="G186" i="14"/>
  <c r="G185" i="14"/>
  <c r="G184" i="14"/>
  <c r="G183" i="14"/>
  <c r="H183" i="14" s="1"/>
  <c r="G182" i="14"/>
  <c r="G181" i="14"/>
  <c r="G180" i="14"/>
  <c r="G179" i="14"/>
  <c r="G178" i="14"/>
  <c r="G177" i="14"/>
  <c r="G176" i="14"/>
  <c r="H176" i="14" s="1"/>
  <c r="G175" i="14"/>
  <c r="G174" i="14"/>
  <c r="G173" i="14"/>
  <c r="G172" i="14"/>
  <c r="G171" i="14"/>
  <c r="G170" i="14"/>
  <c r="G169" i="14"/>
  <c r="G168" i="14"/>
  <c r="G167" i="14"/>
  <c r="G166" i="14"/>
  <c r="H166" i="14" s="1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43" i="14"/>
  <c r="G142" i="14"/>
  <c r="G141" i="14"/>
  <c r="G140" i="14"/>
  <c r="G138" i="14"/>
  <c r="G137" i="14"/>
  <c r="G136" i="14"/>
  <c r="G135" i="14"/>
  <c r="G133" i="14"/>
  <c r="G132" i="14"/>
  <c r="G131" i="14"/>
  <c r="G130" i="14"/>
  <c r="G134" i="14" s="1"/>
  <c r="G128" i="14"/>
  <c r="G127" i="14"/>
  <c r="G126" i="14"/>
  <c r="G125" i="14"/>
  <c r="G122" i="14"/>
  <c r="G123" i="14" s="1"/>
  <c r="G121" i="14"/>
  <c r="G116" i="14"/>
  <c r="G115" i="14"/>
  <c r="G114" i="14"/>
  <c r="G113" i="14"/>
  <c r="G117" i="14" s="1"/>
  <c r="G110" i="14"/>
  <c r="G109" i="14"/>
  <c r="G108" i="14"/>
  <c r="G107" i="14"/>
  <c r="G104" i="14"/>
  <c r="G103" i="14"/>
  <c r="G102" i="14"/>
  <c r="G101" i="14"/>
  <c r="G98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6" i="14"/>
  <c r="G75" i="14"/>
  <c r="G74" i="14"/>
  <c r="G73" i="14"/>
  <c r="G72" i="14"/>
  <c r="G69" i="14"/>
  <c r="G68" i="14"/>
  <c r="G67" i="14"/>
  <c r="G66" i="14"/>
  <c r="G33" i="14"/>
  <c r="G20" i="14"/>
  <c r="G19" i="14"/>
  <c r="G18" i="14"/>
  <c r="F9" i="11"/>
  <c r="G47" i="14" l="1"/>
  <c r="G30" i="14"/>
  <c r="G210" i="14"/>
  <c r="G139" i="14"/>
  <c r="G91" i="14"/>
  <c r="G105" i="14"/>
  <c r="G145" i="14"/>
  <c r="G92" i="14"/>
  <c r="G93" i="14"/>
  <c r="G94" i="14" s="1"/>
  <c r="G148" i="14"/>
  <c r="G144" i="14"/>
  <c r="G111" i="14"/>
  <c r="G118" i="14" s="1"/>
  <c r="G119" i="14" s="1"/>
  <c r="G223" i="14"/>
  <c r="G251" i="14" s="1"/>
  <c r="G229" i="14"/>
  <c r="G263" i="14"/>
  <c r="G247" i="14"/>
  <c r="G242" i="14"/>
  <c r="G216" i="14"/>
  <c r="G217" i="14" s="1"/>
  <c r="G204" i="14"/>
  <c r="G193" i="14"/>
  <c r="G146" i="14"/>
  <c r="G147" i="14"/>
  <c r="G77" i="14"/>
  <c r="G21" i="14"/>
  <c r="G45" i="14"/>
  <c r="G15" i="14"/>
  <c r="G62" i="14"/>
  <c r="G41" i="14"/>
  <c r="G42" i="14" s="1"/>
  <c r="G129" i="14"/>
  <c r="G90" i="14"/>
  <c r="G15" i="13"/>
  <c r="G21" i="13"/>
  <c r="G30" i="13"/>
  <c r="G41" i="13"/>
  <c r="G45" i="13"/>
  <c r="G47" i="13"/>
  <c r="G52" i="13"/>
  <c r="G62" i="13"/>
  <c r="G90" i="13"/>
  <c r="G91" i="13"/>
  <c r="G93" i="13"/>
  <c r="G105" i="13"/>
  <c r="G111" i="13"/>
  <c r="G117" i="13"/>
  <c r="G123" i="13"/>
  <c r="G129" i="13"/>
  <c r="G134" i="13"/>
  <c r="G147" i="13"/>
  <c r="G139" i="13"/>
  <c r="G148" i="13"/>
  <c r="G144" i="13"/>
  <c r="G146" i="13"/>
  <c r="G193" i="13"/>
  <c r="G204" i="13"/>
  <c r="G210" i="13"/>
  <c r="G216" i="13"/>
  <c r="G223" i="13"/>
  <c r="G229" i="13"/>
  <c r="G242" i="13"/>
  <c r="G247" i="13"/>
  <c r="G263" i="13"/>
  <c r="G262" i="12"/>
  <c r="G261" i="12"/>
  <c r="G257" i="12"/>
  <c r="G256" i="12"/>
  <c r="G255" i="12"/>
  <c r="G254" i="12"/>
  <c r="G253" i="12"/>
  <c r="G246" i="12"/>
  <c r="G245" i="12"/>
  <c r="G241" i="12"/>
  <c r="G240" i="12"/>
  <c r="G239" i="12"/>
  <c r="G238" i="12"/>
  <c r="G235" i="12"/>
  <c r="G234" i="12"/>
  <c r="G233" i="12"/>
  <c r="G232" i="12"/>
  <c r="G228" i="12"/>
  <c r="G227" i="12"/>
  <c r="G226" i="12"/>
  <c r="G225" i="12"/>
  <c r="G222" i="12"/>
  <c r="G221" i="12"/>
  <c r="G220" i="12"/>
  <c r="G219" i="12"/>
  <c r="G215" i="12"/>
  <c r="G214" i="12"/>
  <c r="G213" i="12"/>
  <c r="G212" i="12"/>
  <c r="G209" i="12"/>
  <c r="G208" i="12"/>
  <c r="G207" i="12"/>
  <c r="G206" i="12"/>
  <c r="G203" i="12"/>
  <c r="G202" i="12"/>
  <c r="G201" i="12"/>
  <c r="G200" i="12"/>
  <c r="G199" i="12"/>
  <c r="G197" i="12"/>
  <c r="G196" i="12"/>
  <c r="G195" i="12"/>
  <c r="G194" i="12"/>
  <c r="G192" i="12"/>
  <c r="G191" i="12"/>
  <c r="G190" i="12"/>
  <c r="G189" i="12"/>
  <c r="G188" i="12"/>
  <c r="H188" i="12" s="1"/>
  <c r="G187" i="12"/>
  <c r="G186" i="12"/>
  <c r="G185" i="12"/>
  <c r="G184" i="12"/>
  <c r="G183" i="12"/>
  <c r="H183" i="12" s="1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H166" i="12" s="1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43" i="12"/>
  <c r="G142" i="12"/>
  <c r="G141" i="12"/>
  <c r="G140" i="12"/>
  <c r="G138" i="12"/>
  <c r="G137" i="12"/>
  <c r="G136" i="12"/>
  <c r="G135" i="12"/>
  <c r="G133" i="12"/>
  <c r="G132" i="12"/>
  <c r="G131" i="12"/>
  <c r="G130" i="12"/>
  <c r="G128" i="12"/>
  <c r="G127" i="12"/>
  <c r="G126" i="12"/>
  <c r="G125" i="12"/>
  <c r="G122" i="12"/>
  <c r="G121" i="12"/>
  <c r="G123" i="12" s="1"/>
  <c r="G116" i="12"/>
  <c r="G115" i="12"/>
  <c r="G114" i="12"/>
  <c r="G113" i="12"/>
  <c r="G110" i="12"/>
  <c r="G109" i="12"/>
  <c r="G108" i="12"/>
  <c r="G107" i="12"/>
  <c r="G104" i="12"/>
  <c r="G103" i="12"/>
  <c r="G102" i="12"/>
  <c r="G101" i="12"/>
  <c r="G98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6" i="12"/>
  <c r="G75" i="12"/>
  <c r="G74" i="12"/>
  <c r="G73" i="12"/>
  <c r="G72" i="12"/>
  <c r="G70" i="12"/>
  <c r="G69" i="12"/>
  <c r="G68" i="12"/>
  <c r="G67" i="12"/>
  <c r="G66" i="12"/>
  <c r="G63" i="12"/>
  <c r="G61" i="12"/>
  <c r="G56" i="12"/>
  <c r="G55" i="12"/>
  <c r="G54" i="12"/>
  <c r="G52" i="12"/>
  <c r="G51" i="12"/>
  <c r="G50" i="12"/>
  <c r="G49" i="12"/>
  <c r="G46" i="12"/>
  <c r="G44" i="12"/>
  <c r="G40" i="12"/>
  <c r="G39" i="12"/>
  <c r="G38" i="12"/>
  <c r="G37" i="12"/>
  <c r="G36" i="12"/>
  <c r="G35" i="12"/>
  <c r="G34" i="12"/>
  <c r="G33" i="12"/>
  <c r="G31" i="12"/>
  <c r="G32" i="12"/>
  <c r="G29" i="12"/>
  <c r="G20" i="12"/>
  <c r="G19" i="12"/>
  <c r="G18" i="12"/>
  <c r="G17" i="12"/>
  <c r="G14" i="12"/>
  <c r="G13" i="12"/>
  <c r="G12" i="12"/>
  <c r="G11" i="12"/>
  <c r="H263" i="12"/>
  <c r="H176" i="12"/>
  <c r="G9" i="12"/>
  <c r="D9" i="12"/>
  <c r="E9" i="12"/>
  <c r="F9" i="12"/>
  <c r="D11" i="12"/>
  <c r="E11" i="12"/>
  <c r="F11" i="12"/>
  <c r="D12" i="12"/>
  <c r="E12" i="12"/>
  <c r="F12" i="12"/>
  <c r="D13" i="12"/>
  <c r="E13" i="12"/>
  <c r="F13" i="12"/>
  <c r="D14" i="12"/>
  <c r="E14" i="12"/>
  <c r="F14" i="12"/>
  <c r="D17" i="12"/>
  <c r="E17" i="12"/>
  <c r="F17" i="12"/>
  <c r="D18" i="12"/>
  <c r="E18" i="12"/>
  <c r="F18" i="12"/>
  <c r="D19" i="12"/>
  <c r="E19" i="12"/>
  <c r="F19" i="12"/>
  <c r="D20" i="12"/>
  <c r="E20" i="12"/>
  <c r="F20" i="12"/>
  <c r="D29" i="12"/>
  <c r="E29" i="12"/>
  <c r="F29" i="12"/>
  <c r="D31" i="12"/>
  <c r="E31" i="12"/>
  <c r="F31" i="12"/>
  <c r="D33" i="12"/>
  <c r="E33" i="12"/>
  <c r="F33" i="12"/>
  <c r="D35" i="12"/>
  <c r="E35" i="12"/>
  <c r="F35" i="12"/>
  <c r="D37" i="12"/>
  <c r="E37" i="12"/>
  <c r="F37" i="12"/>
  <c r="D39" i="12"/>
  <c r="E39" i="12"/>
  <c r="F39" i="12"/>
  <c r="D44" i="12"/>
  <c r="E44" i="12"/>
  <c r="F44" i="12"/>
  <c r="D46" i="12"/>
  <c r="F46" i="12"/>
  <c r="D49" i="12"/>
  <c r="E49" i="12"/>
  <c r="F49" i="12"/>
  <c r="D50" i="12"/>
  <c r="E50" i="12"/>
  <c r="F50" i="12"/>
  <c r="D51" i="12"/>
  <c r="E51" i="12"/>
  <c r="F51" i="12"/>
  <c r="D52" i="12"/>
  <c r="E52" i="12"/>
  <c r="F52" i="12"/>
  <c r="D54" i="12"/>
  <c r="E54" i="12"/>
  <c r="F54" i="12"/>
  <c r="D55" i="12"/>
  <c r="E55" i="12"/>
  <c r="F55" i="12"/>
  <c r="D56" i="12"/>
  <c r="E56" i="12"/>
  <c r="F56" i="12"/>
  <c r="D61" i="12"/>
  <c r="E61" i="12"/>
  <c r="F61" i="12"/>
  <c r="D63" i="12"/>
  <c r="E63" i="12"/>
  <c r="F63" i="12"/>
  <c r="D66" i="12"/>
  <c r="E66" i="12"/>
  <c r="F66" i="12"/>
  <c r="D67" i="12"/>
  <c r="E67" i="12"/>
  <c r="F67" i="12"/>
  <c r="D68" i="12"/>
  <c r="E68" i="12"/>
  <c r="F68" i="12"/>
  <c r="D69" i="12"/>
  <c r="E69" i="12"/>
  <c r="F69" i="12"/>
  <c r="D72" i="12"/>
  <c r="E72" i="12"/>
  <c r="F72" i="12"/>
  <c r="D73" i="12"/>
  <c r="E73" i="12"/>
  <c r="F73" i="12"/>
  <c r="D74" i="12"/>
  <c r="E74" i="12"/>
  <c r="F74" i="12"/>
  <c r="D75" i="12"/>
  <c r="E75" i="12"/>
  <c r="F75" i="12"/>
  <c r="D78" i="12"/>
  <c r="E78" i="12"/>
  <c r="F78" i="12"/>
  <c r="D79" i="12"/>
  <c r="E79" i="12"/>
  <c r="F79" i="12"/>
  <c r="D80" i="12"/>
  <c r="E80" i="12"/>
  <c r="F80" i="12"/>
  <c r="D81" i="12"/>
  <c r="E81" i="12"/>
  <c r="F81" i="12"/>
  <c r="D84" i="12"/>
  <c r="E84" i="12"/>
  <c r="F84" i="12"/>
  <c r="F90" i="12" s="1"/>
  <c r="D85" i="12"/>
  <c r="E85" i="12"/>
  <c r="F85" i="12"/>
  <c r="D86" i="12"/>
  <c r="E86" i="12"/>
  <c r="F86" i="12"/>
  <c r="D87" i="12"/>
  <c r="E87" i="12"/>
  <c r="F87" i="12"/>
  <c r="D98" i="12"/>
  <c r="E98" i="12"/>
  <c r="F98" i="12"/>
  <c r="D101" i="12"/>
  <c r="E101" i="12"/>
  <c r="F101" i="12"/>
  <c r="D102" i="12"/>
  <c r="E102" i="12"/>
  <c r="F102" i="12"/>
  <c r="D103" i="12"/>
  <c r="E103" i="12"/>
  <c r="F103" i="12"/>
  <c r="D104" i="12"/>
  <c r="E104" i="12"/>
  <c r="F104" i="12"/>
  <c r="D107" i="12"/>
  <c r="E107" i="12"/>
  <c r="F107" i="12"/>
  <c r="D108" i="12"/>
  <c r="E108" i="12"/>
  <c r="F108" i="12"/>
  <c r="D109" i="12"/>
  <c r="E109" i="12"/>
  <c r="F109" i="12"/>
  <c r="D110" i="12"/>
  <c r="E110" i="12"/>
  <c r="F110" i="12"/>
  <c r="D113" i="12"/>
  <c r="E113" i="12"/>
  <c r="F113" i="12"/>
  <c r="D114" i="12"/>
  <c r="E114" i="12"/>
  <c r="F114" i="12"/>
  <c r="D115" i="12"/>
  <c r="E115" i="12"/>
  <c r="F115" i="12"/>
  <c r="D116" i="12"/>
  <c r="E116" i="12"/>
  <c r="F116" i="12"/>
  <c r="D121" i="12"/>
  <c r="E121" i="12"/>
  <c r="F121" i="12"/>
  <c r="D122" i="12"/>
  <c r="E122" i="12"/>
  <c r="F122" i="12"/>
  <c r="D125" i="12"/>
  <c r="H125" i="12" s="1"/>
  <c r="E125" i="12"/>
  <c r="F125" i="12"/>
  <c r="D126" i="12"/>
  <c r="E126" i="12"/>
  <c r="F126" i="12"/>
  <c r="D127" i="12"/>
  <c r="E127" i="12"/>
  <c r="F127" i="12"/>
  <c r="D128" i="12"/>
  <c r="E128" i="12"/>
  <c r="F128" i="12"/>
  <c r="D130" i="12"/>
  <c r="H130" i="12" s="1"/>
  <c r="E130" i="12"/>
  <c r="F130" i="12"/>
  <c r="D131" i="12"/>
  <c r="E131" i="12"/>
  <c r="F131" i="12"/>
  <c r="D132" i="12"/>
  <c r="E132" i="12"/>
  <c r="F132" i="12"/>
  <c r="D133" i="12"/>
  <c r="E133" i="12"/>
  <c r="F133" i="12"/>
  <c r="D135" i="12"/>
  <c r="H135" i="12" s="1"/>
  <c r="E135" i="12"/>
  <c r="F135" i="12"/>
  <c r="D136" i="12"/>
  <c r="E136" i="12"/>
  <c r="F136" i="12"/>
  <c r="D137" i="12"/>
  <c r="E137" i="12"/>
  <c r="F137" i="12"/>
  <c r="D138" i="12"/>
  <c r="E138" i="12"/>
  <c r="F138" i="12"/>
  <c r="D140" i="12"/>
  <c r="H140" i="12" s="1"/>
  <c r="E140" i="12"/>
  <c r="F140" i="12"/>
  <c r="D141" i="12"/>
  <c r="E141" i="12"/>
  <c r="F141" i="12"/>
  <c r="F146" i="12" s="1"/>
  <c r="D142" i="12"/>
  <c r="E142" i="12"/>
  <c r="F142" i="12"/>
  <c r="F147" i="12" s="1"/>
  <c r="D143" i="12"/>
  <c r="E143" i="12"/>
  <c r="F143" i="12"/>
  <c r="D153" i="12"/>
  <c r="E153" i="12"/>
  <c r="F153" i="12"/>
  <c r="D154" i="12"/>
  <c r="E154" i="12"/>
  <c r="F154" i="12"/>
  <c r="D155" i="12"/>
  <c r="E155" i="12"/>
  <c r="F155" i="12"/>
  <c r="D156" i="12"/>
  <c r="E156" i="12"/>
  <c r="F156" i="12"/>
  <c r="D157" i="12"/>
  <c r="E157" i="12"/>
  <c r="F157" i="12"/>
  <c r="D158" i="12"/>
  <c r="E158" i="12"/>
  <c r="F158" i="12"/>
  <c r="D159" i="12"/>
  <c r="E159" i="12"/>
  <c r="F159" i="12"/>
  <c r="D160" i="12"/>
  <c r="E160" i="12"/>
  <c r="F160" i="12"/>
  <c r="D161" i="12"/>
  <c r="E161" i="12"/>
  <c r="F161" i="12"/>
  <c r="D162" i="12"/>
  <c r="E162" i="12"/>
  <c r="F162" i="12"/>
  <c r="D163" i="12"/>
  <c r="E163" i="12"/>
  <c r="F163" i="12"/>
  <c r="D164" i="12"/>
  <c r="E164" i="12"/>
  <c r="F164" i="12"/>
  <c r="D165" i="12"/>
  <c r="E165" i="12"/>
  <c r="F165" i="12"/>
  <c r="D167" i="12"/>
  <c r="E167" i="12"/>
  <c r="F167" i="12"/>
  <c r="D168" i="12"/>
  <c r="E168" i="12"/>
  <c r="F168" i="12"/>
  <c r="D169" i="12"/>
  <c r="E169" i="12"/>
  <c r="F169" i="12"/>
  <c r="D170" i="12"/>
  <c r="E170" i="12"/>
  <c r="F170" i="12"/>
  <c r="D171" i="12"/>
  <c r="E171" i="12"/>
  <c r="F171" i="12"/>
  <c r="D172" i="12"/>
  <c r="E172" i="12"/>
  <c r="F172" i="12"/>
  <c r="D173" i="12"/>
  <c r="E173" i="12"/>
  <c r="F173" i="12"/>
  <c r="D174" i="12"/>
  <c r="E174" i="12"/>
  <c r="F174" i="12"/>
  <c r="D175" i="12"/>
  <c r="E175" i="12"/>
  <c r="F175" i="12"/>
  <c r="D177" i="12"/>
  <c r="E177" i="12"/>
  <c r="F177" i="12"/>
  <c r="D178" i="12"/>
  <c r="E178" i="12"/>
  <c r="F178" i="12"/>
  <c r="D179" i="12"/>
  <c r="E179" i="12"/>
  <c r="F179" i="12"/>
  <c r="D180" i="12"/>
  <c r="E180" i="12"/>
  <c r="F180" i="12"/>
  <c r="D181" i="12"/>
  <c r="E181" i="12"/>
  <c r="F181" i="12"/>
  <c r="D182" i="12"/>
  <c r="E182" i="12"/>
  <c r="F182" i="12"/>
  <c r="D184" i="12"/>
  <c r="E184" i="12"/>
  <c r="F184" i="12"/>
  <c r="D185" i="12"/>
  <c r="E185" i="12"/>
  <c r="F185" i="12"/>
  <c r="D186" i="12"/>
  <c r="E186" i="12"/>
  <c r="F186" i="12"/>
  <c r="D187" i="12"/>
  <c r="H187" i="12" s="1"/>
  <c r="E187" i="12"/>
  <c r="F187" i="12"/>
  <c r="D189" i="12"/>
  <c r="E189" i="12"/>
  <c r="F189" i="12"/>
  <c r="D190" i="12"/>
  <c r="E190" i="12"/>
  <c r="F190" i="12"/>
  <c r="D191" i="12"/>
  <c r="E191" i="12"/>
  <c r="F191" i="12"/>
  <c r="D192" i="12"/>
  <c r="E192" i="12"/>
  <c r="F192" i="12"/>
  <c r="D194" i="12"/>
  <c r="E194" i="12"/>
  <c r="F194" i="12"/>
  <c r="D195" i="12"/>
  <c r="E195" i="12"/>
  <c r="F195" i="12"/>
  <c r="D196" i="12"/>
  <c r="E196" i="12"/>
  <c r="F196" i="12"/>
  <c r="D197" i="12"/>
  <c r="E197" i="12"/>
  <c r="F197" i="12"/>
  <c r="D199" i="12"/>
  <c r="E199" i="12"/>
  <c r="F199" i="12"/>
  <c r="D200" i="12"/>
  <c r="E200" i="12"/>
  <c r="F200" i="12"/>
  <c r="D201" i="12"/>
  <c r="E201" i="12"/>
  <c r="F201" i="12"/>
  <c r="D202" i="12"/>
  <c r="E202" i="12"/>
  <c r="F202" i="12"/>
  <c r="D203" i="12"/>
  <c r="E203" i="12"/>
  <c r="F203" i="12"/>
  <c r="D206" i="12"/>
  <c r="E206" i="12"/>
  <c r="F206" i="12"/>
  <c r="D207" i="12"/>
  <c r="E207" i="12"/>
  <c r="F207" i="12"/>
  <c r="D208" i="12"/>
  <c r="E208" i="12"/>
  <c r="F208" i="12"/>
  <c r="D209" i="12"/>
  <c r="E209" i="12"/>
  <c r="F209" i="12"/>
  <c r="D212" i="12"/>
  <c r="E212" i="12"/>
  <c r="F212" i="12"/>
  <c r="D213" i="12"/>
  <c r="E213" i="12"/>
  <c r="F213" i="12"/>
  <c r="D214" i="12"/>
  <c r="E214" i="12"/>
  <c r="F214" i="12"/>
  <c r="D215" i="12"/>
  <c r="E215" i="12"/>
  <c r="F215" i="12"/>
  <c r="D219" i="12"/>
  <c r="E219" i="12"/>
  <c r="F219" i="12"/>
  <c r="D220" i="12"/>
  <c r="E220" i="12"/>
  <c r="F220" i="12"/>
  <c r="D221" i="12"/>
  <c r="E221" i="12"/>
  <c r="F221" i="12"/>
  <c r="D222" i="12"/>
  <c r="E222" i="12"/>
  <c r="F222" i="12"/>
  <c r="D225" i="12"/>
  <c r="E225" i="12"/>
  <c r="F225" i="12"/>
  <c r="D226" i="12"/>
  <c r="E226" i="12"/>
  <c r="F226" i="12"/>
  <c r="D227" i="12"/>
  <c r="E227" i="12"/>
  <c r="F227" i="12"/>
  <c r="D228" i="12"/>
  <c r="E228" i="12"/>
  <c r="F228" i="12"/>
  <c r="D232" i="12"/>
  <c r="E232" i="12"/>
  <c r="F232" i="12"/>
  <c r="D233" i="12"/>
  <c r="E233" i="12"/>
  <c r="F233" i="12"/>
  <c r="D234" i="12"/>
  <c r="E234" i="12"/>
  <c r="F234" i="12"/>
  <c r="D235" i="12"/>
  <c r="E235" i="12"/>
  <c r="F235" i="12"/>
  <c r="D238" i="12"/>
  <c r="E238" i="12"/>
  <c r="F238" i="12"/>
  <c r="D239" i="12"/>
  <c r="E239" i="12"/>
  <c r="F239" i="12"/>
  <c r="D240" i="12"/>
  <c r="E240" i="12"/>
  <c r="F240" i="12"/>
  <c r="D241" i="12"/>
  <c r="E241" i="12"/>
  <c r="F241" i="12"/>
  <c r="D245" i="12"/>
  <c r="E245" i="12"/>
  <c r="F245" i="12"/>
  <c r="D246" i="12"/>
  <c r="E246" i="12"/>
  <c r="F246" i="12"/>
  <c r="D253" i="12"/>
  <c r="E253" i="12"/>
  <c r="F253" i="12"/>
  <c r="D254" i="12"/>
  <c r="E254" i="12"/>
  <c r="F254" i="12"/>
  <c r="D257" i="12"/>
  <c r="E257" i="12"/>
  <c r="F257" i="12"/>
  <c r="D261" i="12"/>
  <c r="E261" i="12"/>
  <c r="F261" i="12"/>
  <c r="D262" i="12"/>
  <c r="E262" i="12"/>
  <c r="F262" i="12"/>
  <c r="M9" i="11"/>
  <c r="M11" i="11"/>
  <c r="M12" i="11"/>
  <c r="M13" i="11"/>
  <c r="M14" i="11"/>
  <c r="M17" i="11"/>
  <c r="M18" i="11"/>
  <c r="M19" i="11"/>
  <c r="M20" i="11"/>
  <c r="M29" i="11"/>
  <c r="M31" i="11"/>
  <c r="M33" i="11"/>
  <c r="M35" i="11"/>
  <c r="M37" i="11"/>
  <c r="M39" i="11"/>
  <c r="M44" i="11"/>
  <c r="M46" i="11"/>
  <c r="M49" i="11"/>
  <c r="M50" i="11"/>
  <c r="M51" i="11"/>
  <c r="M52" i="11"/>
  <c r="M54" i="11"/>
  <c r="M55" i="11"/>
  <c r="M56" i="11"/>
  <c r="M61" i="11"/>
  <c r="M63" i="11"/>
  <c r="M66" i="11"/>
  <c r="M67" i="11"/>
  <c r="M68" i="11"/>
  <c r="M69" i="11"/>
  <c r="M72" i="11"/>
  <c r="M73" i="11"/>
  <c r="M74" i="11"/>
  <c r="M75" i="11"/>
  <c r="M78" i="11"/>
  <c r="M79" i="11"/>
  <c r="M80" i="11"/>
  <c r="M81" i="11"/>
  <c r="M84" i="11"/>
  <c r="M85" i="11"/>
  <c r="M86" i="11"/>
  <c r="M87" i="11"/>
  <c r="M96" i="11"/>
  <c r="M98" i="11"/>
  <c r="M101" i="11"/>
  <c r="M102" i="11"/>
  <c r="M103" i="11"/>
  <c r="M104" i="11"/>
  <c r="M107" i="11"/>
  <c r="M108" i="11"/>
  <c r="M109" i="11"/>
  <c r="M110" i="11"/>
  <c r="M113" i="11"/>
  <c r="M114" i="11"/>
  <c r="M115" i="11"/>
  <c r="M116" i="11"/>
  <c r="M121" i="11"/>
  <c r="M122" i="11"/>
  <c r="M125" i="11"/>
  <c r="M126" i="11"/>
  <c r="M127" i="11"/>
  <c r="M128" i="11"/>
  <c r="M130" i="11"/>
  <c r="M131" i="11"/>
  <c r="M132" i="11"/>
  <c r="M133" i="11"/>
  <c r="M135" i="11"/>
  <c r="M136" i="11"/>
  <c r="M137" i="11"/>
  <c r="M138" i="11"/>
  <c r="M140" i="11"/>
  <c r="M141" i="11"/>
  <c r="M142" i="11"/>
  <c r="M143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4" i="11"/>
  <c r="M195" i="11"/>
  <c r="M196" i="11"/>
  <c r="M197" i="11"/>
  <c r="M199" i="11"/>
  <c r="M200" i="11"/>
  <c r="M201" i="11"/>
  <c r="M202" i="11"/>
  <c r="M203" i="11"/>
  <c r="M206" i="11"/>
  <c r="M207" i="11"/>
  <c r="M208" i="11"/>
  <c r="M212" i="11"/>
  <c r="M213" i="11"/>
  <c r="M214" i="11"/>
  <c r="M215" i="11"/>
  <c r="M219" i="11"/>
  <c r="M220" i="11"/>
  <c r="M221" i="11"/>
  <c r="M222" i="11"/>
  <c r="M225" i="11"/>
  <c r="M226" i="11"/>
  <c r="M227" i="11"/>
  <c r="M228" i="11"/>
  <c r="M232" i="11"/>
  <c r="M233" i="11"/>
  <c r="M234" i="11"/>
  <c r="M235" i="11"/>
  <c r="M238" i="11"/>
  <c r="M239" i="11"/>
  <c r="M240" i="11"/>
  <c r="M241" i="11"/>
  <c r="M245" i="11"/>
  <c r="M246" i="11"/>
  <c r="M253" i="11"/>
  <c r="M254" i="11"/>
  <c r="M257" i="11"/>
  <c r="M261" i="11"/>
  <c r="M262" i="11"/>
  <c r="L262" i="11"/>
  <c r="L261" i="11"/>
  <c r="L257" i="11"/>
  <c r="L254" i="11"/>
  <c r="L253" i="11"/>
  <c r="L246" i="11"/>
  <c r="L245" i="11"/>
  <c r="L241" i="11"/>
  <c r="L240" i="11"/>
  <c r="L239" i="11"/>
  <c r="L238" i="11"/>
  <c r="L235" i="11"/>
  <c r="L234" i="11"/>
  <c r="L233" i="11"/>
  <c r="L232" i="11"/>
  <c r="L228" i="11"/>
  <c r="L227" i="11"/>
  <c r="L226" i="11"/>
  <c r="L225" i="11"/>
  <c r="L222" i="11"/>
  <c r="L221" i="11"/>
  <c r="L220" i="11"/>
  <c r="L219" i="11"/>
  <c r="L215" i="11"/>
  <c r="L214" i="11"/>
  <c r="L213" i="11"/>
  <c r="L212" i="11"/>
  <c r="L209" i="11"/>
  <c r="L208" i="11"/>
  <c r="L207" i="11"/>
  <c r="L206" i="11"/>
  <c r="L203" i="11"/>
  <c r="L202" i="11"/>
  <c r="L201" i="11"/>
  <c r="L200" i="11"/>
  <c r="L199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43" i="11"/>
  <c r="L142" i="11"/>
  <c r="L141" i="11"/>
  <c r="L140" i="11"/>
  <c r="L138" i="11"/>
  <c r="L137" i="11"/>
  <c r="L136" i="11"/>
  <c r="L135" i="11"/>
  <c r="L133" i="11"/>
  <c r="L132" i="11"/>
  <c r="L131" i="11"/>
  <c r="L130" i="11"/>
  <c r="L128" i="11"/>
  <c r="L127" i="11"/>
  <c r="L126" i="11"/>
  <c r="L125" i="11"/>
  <c r="L122" i="11"/>
  <c r="L121" i="11"/>
  <c r="L116" i="11"/>
  <c r="L115" i="11"/>
  <c r="L114" i="11"/>
  <c r="L113" i="11"/>
  <c r="L110" i="11"/>
  <c r="L109" i="11"/>
  <c r="L108" i="11"/>
  <c r="L107" i="11"/>
  <c r="L104" i="11"/>
  <c r="L103" i="11"/>
  <c r="L102" i="11"/>
  <c r="L101" i="11"/>
  <c r="L98" i="11"/>
  <c r="L87" i="11"/>
  <c r="L86" i="11"/>
  <c r="L85" i="11"/>
  <c r="L84" i="11"/>
  <c r="L81" i="11"/>
  <c r="L80" i="11"/>
  <c r="L79" i="11"/>
  <c r="L78" i="11"/>
  <c r="L75" i="11"/>
  <c r="L74" i="11"/>
  <c r="L73" i="11"/>
  <c r="L72" i="11"/>
  <c r="L69" i="11"/>
  <c r="L68" i="11"/>
  <c r="L67" i="11"/>
  <c r="L66" i="11"/>
  <c r="L63" i="11"/>
  <c r="L61" i="11"/>
  <c r="L56" i="11"/>
  <c r="L55" i="11"/>
  <c r="L54" i="11"/>
  <c r="L52" i="11"/>
  <c r="L51" i="11"/>
  <c r="L50" i="11"/>
  <c r="L49" i="11"/>
  <c r="L46" i="11"/>
  <c r="L44" i="11"/>
  <c r="L39" i="11"/>
  <c r="L37" i="11"/>
  <c r="L36" i="11"/>
  <c r="L35" i="11"/>
  <c r="L33" i="11"/>
  <c r="L31" i="11"/>
  <c r="L29" i="11"/>
  <c r="L20" i="11"/>
  <c r="L19" i="11"/>
  <c r="L18" i="11"/>
  <c r="L17" i="11"/>
  <c r="L14" i="11"/>
  <c r="L13" i="11"/>
  <c r="L12" i="11"/>
  <c r="L11" i="11"/>
  <c r="L9" i="11"/>
  <c r="K262" i="11"/>
  <c r="K261" i="11"/>
  <c r="K257" i="11"/>
  <c r="K254" i="11"/>
  <c r="K253" i="11"/>
  <c r="K246" i="11"/>
  <c r="K245" i="11"/>
  <c r="K241" i="11"/>
  <c r="K240" i="11"/>
  <c r="K239" i="11"/>
  <c r="K238" i="11"/>
  <c r="K235" i="11"/>
  <c r="K234" i="11"/>
  <c r="K233" i="11"/>
  <c r="K232" i="11"/>
  <c r="K228" i="11"/>
  <c r="K227" i="11"/>
  <c r="K226" i="11"/>
  <c r="K225" i="11"/>
  <c r="K222" i="11"/>
  <c r="K221" i="11"/>
  <c r="K220" i="11"/>
  <c r="K219" i="11"/>
  <c r="K215" i="11"/>
  <c r="K214" i="11"/>
  <c r="K213" i="11"/>
  <c r="K212" i="11"/>
  <c r="K209" i="11"/>
  <c r="K208" i="11"/>
  <c r="K207" i="11"/>
  <c r="K206" i="11"/>
  <c r="K203" i="11"/>
  <c r="K202" i="11"/>
  <c r="K201" i="11"/>
  <c r="K200" i="11"/>
  <c r="K199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43" i="11"/>
  <c r="K142" i="11"/>
  <c r="K141" i="11"/>
  <c r="K140" i="11"/>
  <c r="K138" i="11"/>
  <c r="K137" i="11"/>
  <c r="K136" i="11"/>
  <c r="K135" i="11"/>
  <c r="K133" i="11"/>
  <c r="K132" i="11"/>
  <c r="K131" i="11"/>
  <c r="K130" i="11"/>
  <c r="K128" i="11"/>
  <c r="K127" i="11"/>
  <c r="K126" i="11"/>
  <c r="K125" i="11"/>
  <c r="K122" i="11"/>
  <c r="K121" i="11"/>
  <c r="K116" i="11"/>
  <c r="K115" i="11"/>
  <c r="K114" i="11"/>
  <c r="K113" i="11"/>
  <c r="K110" i="11"/>
  <c r="K109" i="11"/>
  <c r="K108" i="11"/>
  <c r="K107" i="11"/>
  <c r="K104" i="11"/>
  <c r="K103" i="11"/>
  <c r="K102" i="11"/>
  <c r="K101" i="11"/>
  <c r="K98" i="11"/>
  <c r="K87" i="11"/>
  <c r="K86" i="11"/>
  <c r="K85" i="11"/>
  <c r="K84" i="11"/>
  <c r="K81" i="11"/>
  <c r="K80" i="11"/>
  <c r="K79" i="11"/>
  <c r="K78" i="11"/>
  <c r="K75" i="11"/>
  <c r="K74" i="11"/>
  <c r="K73" i="11"/>
  <c r="K72" i="11"/>
  <c r="K69" i="11"/>
  <c r="K68" i="11"/>
  <c r="K67" i="11"/>
  <c r="K66" i="11"/>
  <c r="K63" i="11"/>
  <c r="K61" i="11"/>
  <c r="K56" i="11"/>
  <c r="K55" i="11"/>
  <c r="K54" i="11"/>
  <c r="K52" i="11"/>
  <c r="K51" i="11"/>
  <c r="K50" i="11"/>
  <c r="K49" i="11"/>
  <c r="K46" i="11"/>
  <c r="K44" i="11"/>
  <c r="K39" i="11"/>
  <c r="K37" i="11"/>
  <c r="K36" i="11"/>
  <c r="K35" i="11"/>
  <c r="K33" i="11"/>
  <c r="K31" i="11"/>
  <c r="K29" i="11"/>
  <c r="K20" i="11"/>
  <c r="K19" i="11"/>
  <c r="K18" i="11"/>
  <c r="K17" i="11"/>
  <c r="K14" i="11"/>
  <c r="K13" i="11"/>
  <c r="K12" i="11"/>
  <c r="K11" i="11"/>
  <c r="K9" i="11"/>
  <c r="J262" i="11"/>
  <c r="J261" i="11"/>
  <c r="J257" i="11"/>
  <c r="J254" i="11"/>
  <c r="J253" i="11"/>
  <c r="J246" i="11"/>
  <c r="J245" i="11"/>
  <c r="J241" i="11"/>
  <c r="J240" i="11"/>
  <c r="J239" i="11"/>
  <c r="J238" i="11"/>
  <c r="J235" i="11"/>
  <c r="J234" i="11"/>
  <c r="J233" i="11"/>
  <c r="J232" i="11"/>
  <c r="J228" i="11"/>
  <c r="J227" i="11"/>
  <c r="J226" i="11"/>
  <c r="J225" i="11"/>
  <c r="J222" i="11"/>
  <c r="J221" i="11"/>
  <c r="J220" i="11"/>
  <c r="J219" i="11"/>
  <c r="J215" i="11"/>
  <c r="J214" i="11"/>
  <c r="J213" i="11"/>
  <c r="J212" i="11"/>
  <c r="J209" i="11"/>
  <c r="J208" i="11"/>
  <c r="J207" i="11"/>
  <c r="J206" i="11"/>
  <c r="J203" i="11"/>
  <c r="J202" i="11"/>
  <c r="J201" i="11"/>
  <c r="J200" i="11"/>
  <c r="J199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43" i="11"/>
  <c r="J142" i="11"/>
  <c r="J141" i="11"/>
  <c r="J140" i="11"/>
  <c r="J138" i="11"/>
  <c r="J137" i="11"/>
  <c r="J136" i="11"/>
  <c r="J135" i="11"/>
  <c r="J133" i="11"/>
  <c r="J132" i="11"/>
  <c r="J131" i="11"/>
  <c r="J130" i="11"/>
  <c r="J128" i="11"/>
  <c r="J127" i="11"/>
  <c r="J126" i="11"/>
  <c r="J125" i="11"/>
  <c r="J122" i="11"/>
  <c r="J121" i="11"/>
  <c r="J116" i="11"/>
  <c r="J115" i="11"/>
  <c r="J114" i="11"/>
  <c r="J113" i="11"/>
  <c r="J110" i="11"/>
  <c r="J109" i="11"/>
  <c r="J108" i="11"/>
  <c r="J107" i="11"/>
  <c r="J104" i="11"/>
  <c r="J103" i="11"/>
  <c r="J102" i="11"/>
  <c r="J101" i="11"/>
  <c r="J98" i="11"/>
  <c r="J87" i="11"/>
  <c r="J86" i="11"/>
  <c r="J85" i="11"/>
  <c r="J84" i="11"/>
  <c r="J81" i="11"/>
  <c r="J80" i="11"/>
  <c r="J79" i="11"/>
  <c r="J78" i="11"/>
  <c r="J76" i="11"/>
  <c r="J75" i="11"/>
  <c r="J74" i="11"/>
  <c r="J73" i="11"/>
  <c r="J72" i="11"/>
  <c r="J69" i="11"/>
  <c r="J68" i="11"/>
  <c r="J67" i="11"/>
  <c r="J66" i="11"/>
  <c r="J63" i="11"/>
  <c r="J61" i="11"/>
  <c r="J56" i="11"/>
  <c r="J55" i="11"/>
  <c r="J54" i="11"/>
  <c r="J52" i="11"/>
  <c r="J51" i="11"/>
  <c r="J50" i="11"/>
  <c r="J49" i="11"/>
  <c r="J46" i="11"/>
  <c r="J44" i="11"/>
  <c r="J39" i="11"/>
  <c r="J37" i="11"/>
  <c r="J36" i="11"/>
  <c r="J35" i="11"/>
  <c r="J33" i="11"/>
  <c r="J31" i="11"/>
  <c r="J29" i="11"/>
  <c r="J20" i="11"/>
  <c r="J19" i="11"/>
  <c r="J18" i="11"/>
  <c r="J17" i="11"/>
  <c r="J11" i="11"/>
  <c r="J9" i="11"/>
  <c r="I262" i="11"/>
  <c r="I261" i="11"/>
  <c r="I257" i="11"/>
  <c r="I254" i="11"/>
  <c r="I253" i="11"/>
  <c r="I246" i="11"/>
  <c r="I245" i="11"/>
  <c r="I241" i="11"/>
  <c r="I240" i="11"/>
  <c r="I239" i="11"/>
  <c r="I238" i="11"/>
  <c r="I235" i="11"/>
  <c r="I234" i="11"/>
  <c r="I233" i="11"/>
  <c r="I232" i="11"/>
  <c r="I228" i="11"/>
  <c r="I227" i="11"/>
  <c r="I226" i="11"/>
  <c r="I225" i="11"/>
  <c r="I222" i="11"/>
  <c r="I221" i="11"/>
  <c r="I220" i="11"/>
  <c r="I219" i="11"/>
  <c r="I215" i="11"/>
  <c r="I214" i="11"/>
  <c r="I213" i="11"/>
  <c r="I212" i="11"/>
  <c r="I209" i="11"/>
  <c r="I208" i="11"/>
  <c r="I207" i="11"/>
  <c r="I206" i="11"/>
  <c r="I203" i="11"/>
  <c r="I202" i="11"/>
  <c r="I201" i="11"/>
  <c r="I200" i="11"/>
  <c r="I199" i="11"/>
  <c r="I197" i="11"/>
  <c r="I196" i="11"/>
  <c r="I195" i="11"/>
  <c r="I194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43" i="11"/>
  <c r="I142" i="11"/>
  <c r="I141" i="11"/>
  <c r="I140" i="11"/>
  <c r="I138" i="11"/>
  <c r="I137" i="11"/>
  <c r="I136" i="11"/>
  <c r="I135" i="11"/>
  <c r="I133" i="11"/>
  <c r="I132" i="11"/>
  <c r="I131" i="11"/>
  <c r="I130" i="11"/>
  <c r="I128" i="11"/>
  <c r="I127" i="11"/>
  <c r="I126" i="11"/>
  <c r="I125" i="11"/>
  <c r="I122" i="11"/>
  <c r="I121" i="11"/>
  <c r="I116" i="11"/>
  <c r="I115" i="11"/>
  <c r="I114" i="11"/>
  <c r="I113" i="11"/>
  <c r="I110" i="11"/>
  <c r="I109" i="11"/>
  <c r="I108" i="11"/>
  <c r="I107" i="11"/>
  <c r="I104" i="11"/>
  <c r="I103" i="11"/>
  <c r="I102" i="11"/>
  <c r="I101" i="11"/>
  <c r="I98" i="11"/>
  <c r="I87" i="11"/>
  <c r="I86" i="11"/>
  <c r="I85" i="11"/>
  <c r="I84" i="11"/>
  <c r="I81" i="11"/>
  <c r="I80" i="11"/>
  <c r="I79" i="11"/>
  <c r="I78" i="11"/>
  <c r="I75" i="11"/>
  <c r="I74" i="11"/>
  <c r="I73" i="11"/>
  <c r="I72" i="11"/>
  <c r="I69" i="11"/>
  <c r="I68" i="11"/>
  <c r="I67" i="11"/>
  <c r="I66" i="11"/>
  <c r="I63" i="11"/>
  <c r="I61" i="11"/>
  <c r="I56" i="11"/>
  <c r="I55" i="11"/>
  <c r="I54" i="11"/>
  <c r="I52" i="11"/>
  <c r="I51" i="11"/>
  <c r="I50" i="11"/>
  <c r="I49" i="11"/>
  <c r="I46" i="11"/>
  <c r="I44" i="11"/>
  <c r="I39" i="11"/>
  <c r="I37" i="11"/>
  <c r="I36" i="11"/>
  <c r="I35" i="11"/>
  <c r="I33" i="11"/>
  <c r="I31" i="11"/>
  <c r="I29" i="11"/>
  <c r="I20" i="11"/>
  <c r="I19" i="11"/>
  <c r="I18" i="11"/>
  <c r="I17" i="11"/>
  <c r="I14" i="11"/>
  <c r="I13" i="11"/>
  <c r="I12" i="11"/>
  <c r="I11" i="11"/>
  <c r="I9" i="11"/>
  <c r="H262" i="11"/>
  <c r="H261" i="11"/>
  <c r="H257" i="11"/>
  <c r="H254" i="11"/>
  <c r="H253" i="11"/>
  <c r="H246" i="11"/>
  <c r="H245" i="11"/>
  <c r="H241" i="11"/>
  <c r="H240" i="11"/>
  <c r="H239" i="11"/>
  <c r="H238" i="11"/>
  <c r="H235" i="11"/>
  <c r="H234" i="11"/>
  <c r="H233" i="11"/>
  <c r="H232" i="11"/>
  <c r="H228" i="11"/>
  <c r="H227" i="11"/>
  <c r="H226" i="11"/>
  <c r="H225" i="11"/>
  <c r="H222" i="11"/>
  <c r="H221" i="11"/>
  <c r="H220" i="11"/>
  <c r="H219" i="11"/>
  <c r="H215" i="11"/>
  <c r="H214" i="11"/>
  <c r="H213" i="11"/>
  <c r="H212" i="11"/>
  <c r="H209" i="11"/>
  <c r="H208" i="11"/>
  <c r="H207" i="11"/>
  <c r="H206" i="11"/>
  <c r="H203" i="11"/>
  <c r="H202" i="11"/>
  <c r="H201" i="11"/>
  <c r="H200" i="11"/>
  <c r="H199" i="11"/>
  <c r="H197" i="11"/>
  <c r="H196" i="11"/>
  <c r="H195" i="11"/>
  <c r="H194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43" i="11"/>
  <c r="H142" i="11"/>
  <c r="H141" i="11"/>
  <c r="H140" i="11"/>
  <c r="H138" i="11"/>
  <c r="H137" i="11"/>
  <c r="H136" i="11"/>
  <c r="H135" i="11"/>
  <c r="H133" i="11"/>
  <c r="H132" i="11"/>
  <c r="H131" i="11"/>
  <c r="H130" i="11"/>
  <c r="H128" i="11"/>
  <c r="H127" i="11"/>
  <c r="H126" i="11"/>
  <c r="H125" i="11"/>
  <c r="H122" i="11"/>
  <c r="H121" i="11"/>
  <c r="H116" i="11"/>
  <c r="H115" i="11"/>
  <c r="H114" i="11"/>
  <c r="H113" i="11"/>
  <c r="H110" i="11"/>
  <c r="H109" i="11"/>
  <c r="H108" i="11"/>
  <c r="H107" i="11"/>
  <c r="H104" i="11"/>
  <c r="H103" i="11"/>
  <c r="H102" i="11"/>
  <c r="H101" i="11"/>
  <c r="H98" i="11"/>
  <c r="H87" i="11"/>
  <c r="H86" i="11"/>
  <c r="H85" i="11"/>
  <c r="H84" i="11"/>
  <c r="H81" i="11"/>
  <c r="H80" i="11"/>
  <c r="H79" i="11"/>
  <c r="H78" i="11"/>
  <c r="H75" i="11"/>
  <c r="H74" i="11"/>
  <c r="H73" i="11"/>
  <c r="H72" i="11"/>
  <c r="H69" i="11"/>
  <c r="H68" i="11"/>
  <c r="H67" i="11"/>
  <c r="H66" i="11"/>
  <c r="H63" i="11"/>
  <c r="H61" i="11"/>
  <c r="H56" i="11"/>
  <c r="H55" i="11"/>
  <c r="H54" i="11"/>
  <c r="H52" i="11"/>
  <c r="H51" i="11"/>
  <c r="H50" i="11"/>
  <c r="H49" i="11"/>
  <c r="H46" i="11"/>
  <c r="H44" i="11"/>
  <c r="H39" i="11"/>
  <c r="H37" i="11"/>
  <c r="H36" i="11"/>
  <c r="H35" i="11"/>
  <c r="H33" i="11"/>
  <c r="H31" i="11"/>
  <c r="H29" i="11"/>
  <c r="H20" i="11"/>
  <c r="H19" i="11"/>
  <c r="H18" i="11"/>
  <c r="H17" i="11"/>
  <c r="H14" i="11"/>
  <c r="H13" i="11"/>
  <c r="H12" i="11"/>
  <c r="H11" i="11"/>
  <c r="H9" i="11"/>
  <c r="G262" i="11"/>
  <c r="G261" i="11"/>
  <c r="G257" i="11"/>
  <c r="G254" i="11"/>
  <c r="G253" i="11"/>
  <c r="G246" i="11"/>
  <c r="G245" i="11"/>
  <c r="G241" i="11"/>
  <c r="G240" i="11"/>
  <c r="G239" i="11"/>
  <c r="G238" i="11"/>
  <c r="G235" i="11"/>
  <c r="G234" i="11"/>
  <c r="G233" i="11"/>
  <c r="G232" i="11"/>
  <c r="G228" i="11"/>
  <c r="G227" i="11"/>
  <c r="G226" i="11"/>
  <c r="G225" i="11"/>
  <c r="G222" i="11"/>
  <c r="G221" i="11"/>
  <c r="G220" i="11"/>
  <c r="G219" i="11"/>
  <c r="G215" i="11"/>
  <c r="G214" i="11"/>
  <c r="G213" i="11"/>
  <c r="G212" i="11"/>
  <c r="G209" i="11"/>
  <c r="G208" i="11"/>
  <c r="G207" i="11"/>
  <c r="G206" i="11"/>
  <c r="G203" i="11"/>
  <c r="G202" i="11"/>
  <c r="G201" i="11"/>
  <c r="G200" i="11"/>
  <c r="G199" i="11"/>
  <c r="G197" i="11"/>
  <c r="G196" i="11"/>
  <c r="G195" i="11"/>
  <c r="G194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43" i="11"/>
  <c r="G142" i="11"/>
  <c r="G141" i="11"/>
  <c r="G140" i="11"/>
  <c r="G138" i="11"/>
  <c r="G137" i="11"/>
  <c r="G136" i="11"/>
  <c r="G135" i="11"/>
  <c r="G133" i="11"/>
  <c r="G132" i="11"/>
  <c r="G131" i="11"/>
  <c r="G130" i="11"/>
  <c r="G128" i="11"/>
  <c r="G127" i="11"/>
  <c r="G126" i="11"/>
  <c r="G125" i="11"/>
  <c r="G122" i="11"/>
  <c r="G121" i="11"/>
  <c r="G116" i="11"/>
  <c r="G115" i="11"/>
  <c r="G114" i="11"/>
  <c r="G113" i="11"/>
  <c r="G110" i="11"/>
  <c r="G109" i="11"/>
  <c r="G108" i="11"/>
  <c r="G107" i="11"/>
  <c r="G104" i="11"/>
  <c r="G103" i="11"/>
  <c r="G102" i="11"/>
  <c r="G101" i="11"/>
  <c r="G98" i="11"/>
  <c r="G87" i="11"/>
  <c r="G86" i="11"/>
  <c r="G85" i="11"/>
  <c r="G84" i="11"/>
  <c r="G81" i="11"/>
  <c r="G80" i="11"/>
  <c r="G79" i="11"/>
  <c r="G78" i="11"/>
  <c r="G75" i="11"/>
  <c r="G74" i="11"/>
  <c r="G73" i="11"/>
  <c r="G72" i="11"/>
  <c r="G69" i="11"/>
  <c r="G68" i="11"/>
  <c r="G67" i="11"/>
  <c r="G66" i="11"/>
  <c r="G63" i="11"/>
  <c r="G61" i="11"/>
  <c r="G56" i="11"/>
  <c r="G55" i="11"/>
  <c r="G54" i="11"/>
  <c r="G52" i="11"/>
  <c r="G51" i="11"/>
  <c r="G50" i="11"/>
  <c r="G49" i="11"/>
  <c r="G46" i="11"/>
  <c r="G44" i="11"/>
  <c r="G39" i="11"/>
  <c r="G37" i="11"/>
  <c r="G36" i="11"/>
  <c r="G35" i="11"/>
  <c r="G33" i="11"/>
  <c r="G31" i="11"/>
  <c r="G29" i="11"/>
  <c r="G20" i="11"/>
  <c r="G19" i="11"/>
  <c r="G18" i="11"/>
  <c r="G17" i="11"/>
  <c r="G14" i="11"/>
  <c r="G13" i="11"/>
  <c r="G12" i="11"/>
  <c r="G11" i="11"/>
  <c r="G9" i="11"/>
  <c r="F262" i="11"/>
  <c r="F261" i="11"/>
  <c r="F257" i="11"/>
  <c r="F254" i="11"/>
  <c r="F253" i="11"/>
  <c r="F246" i="11"/>
  <c r="F245" i="11"/>
  <c r="F241" i="11"/>
  <c r="F240" i="11"/>
  <c r="F239" i="11"/>
  <c r="F238" i="11"/>
  <c r="F235" i="11"/>
  <c r="F234" i="11"/>
  <c r="F233" i="11"/>
  <c r="F232" i="11"/>
  <c r="F228" i="11"/>
  <c r="F227" i="11"/>
  <c r="F226" i="11"/>
  <c r="F225" i="11"/>
  <c r="F222" i="11"/>
  <c r="F221" i="11"/>
  <c r="F220" i="11"/>
  <c r="F219" i="11"/>
  <c r="F215" i="11"/>
  <c r="F214" i="11"/>
  <c r="F213" i="11"/>
  <c r="F212" i="11"/>
  <c r="F209" i="11"/>
  <c r="F208" i="11"/>
  <c r="F207" i="11"/>
  <c r="F206" i="11"/>
  <c r="F203" i="11"/>
  <c r="F202" i="11"/>
  <c r="F201" i="11"/>
  <c r="F200" i="11"/>
  <c r="F199" i="11"/>
  <c r="F197" i="11"/>
  <c r="F196" i="11"/>
  <c r="F195" i="11"/>
  <c r="F194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43" i="11"/>
  <c r="F142" i="11"/>
  <c r="F141" i="11"/>
  <c r="F140" i="11"/>
  <c r="F138" i="11"/>
  <c r="F137" i="11"/>
  <c r="F136" i="11"/>
  <c r="F135" i="11"/>
  <c r="F133" i="11"/>
  <c r="F132" i="11"/>
  <c r="F131" i="11"/>
  <c r="F130" i="11"/>
  <c r="F128" i="11"/>
  <c r="F127" i="11"/>
  <c r="F126" i="11"/>
  <c r="F125" i="11"/>
  <c r="F122" i="11"/>
  <c r="F121" i="11"/>
  <c r="F116" i="11"/>
  <c r="F115" i="11"/>
  <c r="F114" i="11"/>
  <c r="F113" i="11"/>
  <c r="F110" i="11"/>
  <c r="F109" i="11"/>
  <c r="F108" i="11"/>
  <c r="F107" i="11"/>
  <c r="F104" i="11"/>
  <c r="F103" i="11"/>
  <c r="F102" i="11"/>
  <c r="F101" i="11"/>
  <c r="F98" i="11"/>
  <c r="F87" i="11"/>
  <c r="F86" i="11"/>
  <c r="F85" i="11"/>
  <c r="F84" i="11"/>
  <c r="F81" i="11"/>
  <c r="F80" i="11"/>
  <c r="F79" i="11"/>
  <c r="F78" i="11"/>
  <c r="F75" i="11"/>
  <c r="F74" i="11"/>
  <c r="F73" i="11"/>
  <c r="F72" i="11"/>
  <c r="F69" i="11"/>
  <c r="F68" i="11"/>
  <c r="F67" i="11"/>
  <c r="F66" i="11"/>
  <c r="F63" i="11"/>
  <c r="F61" i="11"/>
  <c r="F56" i="11"/>
  <c r="F55" i="11"/>
  <c r="F54" i="11"/>
  <c r="F52" i="11"/>
  <c r="F51" i="11"/>
  <c r="F50" i="11"/>
  <c r="F49" i="11"/>
  <c r="F44" i="11"/>
  <c r="F39" i="11"/>
  <c r="F37" i="11"/>
  <c r="F36" i="11"/>
  <c r="F35" i="11"/>
  <c r="F33" i="11"/>
  <c r="F31" i="11"/>
  <c r="F29" i="11"/>
  <c r="F20" i="11"/>
  <c r="F19" i="11"/>
  <c r="F18" i="11"/>
  <c r="F17" i="11"/>
  <c r="F14" i="11"/>
  <c r="F13" i="11"/>
  <c r="F12" i="11"/>
  <c r="F11" i="11"/>
  <c r="E262" i="11"/>
  <c r="E261" i="11"/>
  <c r="E257" i="11"/>
  <c r="E254" i="11"/>
  <c r="E253" i="11"/>
  <c r="E246" i="11"/>
  <c r="E245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5" i="11"/>
  <c r="E214" i="11"/>
  <c r="E213" i="11"/>
  <c r="E212" i="11"/>
  <c r="E209" i="11"/>
  <c r="E208" i="11"/>
  <c r="E207" i="11"/>
  <c r="E206" i="11"/>
  <c r="E203" i="11"/>
  <c r="E202" i="11"/>
  <c r="E201" i="11"/>
  <c r="E200" i="11"/>
  <c r="E199" i="11"/>
  <c r="E197" i="11"/>
  <c r="E196" i="11"/>
  <c r="E195" i="11"/>
  <c r="E194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43" i="11"/>
  <c r="E142" i="11"/>
  <c r="E141" i="11"/>
  <c r="E140" i="11"/>
  <c r="E138" i="11"/>
  <c r="E137" i="11"/>
  <c r="E136" i="11"/>
  <c r="E135" i="11"/>
  <c r="E133" i="11"/>
  <c r="E132" i="11"/>
  <c r="E131" i="11"/>
  <c r="E130" i="11"/>
  <c r="E128" i="11"/>
  <c r="E127" i="11"/>
  <c r="E126" i="11"/>
  <c r="E125" i="11"/>
  <c r="E122" i="11"/>
  <c r="E121" i="11"/>
  <c r="E116" i="11"/>
  <c r="E115" i="11"/>
  <c r="E114" i="11"/>
  <c r="E113" i="11"/>
  <c r="E110" i="11"/>
  <c r="E109" i="11"/>
  <c r="E108" i="11"/>
  <c r="E107" i="11"/>
  <c r="E104" i="11"/>
  <c r="E103" i="11"/>
  <c r="E102" i="11"/>
  <c r="E101" i="11"/>
  <c r="E98" i="11"/>
  <c r="E87" i="11"/>
  <c r="E86" i="11"/>
  <c r="E85" i="11"/>
  <c r="E84" i="11"/>
  <c r="E81" i="11"/>
  <c r="E80" i="11"/>
  <c r="E79" i="11"/>
  <c r="E78" i="11"/>
  <c r="E75" i="11"/>
  <c r="E74" i="11"/>
  <c r="E73" i="11"/>
  <c r="E72" i="11"/>
  <c r="E69" i="11"/>
  <c r="E68" i="11"/>
  <c r="E67" i="11"/>
  <c r="E66" i="11"/>
  <c r="E63" i="11"/>
  <c r="E61" i="11"/>
  <c r="E56" i="11"/>
  <c r="E55" i="11"/>
  <c r="E54" i="11"/>
  <c r="E52" i="11"/>
  <c r="E51" i="11"/>
  <c r="E50" i="11"/>
  <c r="E49" i="11"/>
  <c r="E44" i="11"/>
  <c r="E39" i="11"/>
  <c r="E37" i="11"/>
  <c r="E36" i="11"/>
  <c r="E35" i="11"/>
  <c r="E33" i="11"/>
  <c r="E31" i="11"/>
  <c r="E29" i="11"/>
  <c r="E20" i="11"/>
  <c r="E19" i="11"/>
  <c r="E18" i="11"/>
  <c r="E17" i="11"/>
  <c r="E14" i="11"/>
  <c r="E13" i="11"/>
  <c r="E12" i="11"/>
  <c r="E11" i="11"/>
  <c r="E9" i="11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7" i="11"/>
  <c r="D196" i="11"/>
  <c r="D195" i="11"/>
  <c r="D194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1" i="11"/>
  <c r="D50" i="11"/>
  <c r="D49" i="11"/>
  <c r="D44" i="11"/>
  <c r="D39" i="11"/>
  <c r="D37" i="11"/>
  <c r="D36" i="11"/>
  <c r="D35" i="11"/>
  <c r="D33" i="11"/>
  <c r="D31" i="11"/>
  <c r="D29" i="11"/>
  <c r="D20" i="11"/>
  <c r="D19" i="11"/>
  <c r="D18" i="11"/>
  <c r="D17" i="11"/>
  <c r="D14" i="11"/>
  <c r="D13" i="11"/>
  <c r="D12" i="11"/>
  <c r="D11" i="11"/>
  <c r="D9" i="11"/>
  <c r="F46" i="11"/>
  <c r="E46" i="11"/>
  <c r="G216" i="12" l="1"/>
  <c r="G15" i="12"/>
  <c r="G229" i="12"/>
  <c r="G247" i="12"/>
  <c r="G92" i="12"/>
  <c r="G147" i="12"/>
  <c r="G259" i="12"/>
  <c r="G210" i="12"/>
  <c r="G217" i="12" s="1"/>
  <c r="G129" i="12"/>
  <c r="F111" i="12"/>
  <c r="F30" i="12"/>
  <c r="F62" i="12"/>
  <c r="D30" i="12"/>
  <c r="G230" i="14"/>
  <c r="G243" i="14" s="1"/>
  <c r="G117" i="12"/>
  <c r="G111" i="12"/>
  <c r="G118" i="12" s="1"/>
  <c r="H132" i="12"/>
  <c r="H37" i="12"/>
  <c r="H137" i="12"/>
  <c r="H50" i="12"/>
  <c r="H127" i="12"/>
  <c r="H110" i="12"/>
  <c r="F32" i="12"/>
  <c r="G204" i="11"/>
  <c r="H142" i="12"/>
  <c r="F123" i="12"/>
  <c r="H113" i="12"/>
  <c r="F36" i="12"/>
  <c r="F47" i="12"/>
  <c r="F45" i="12"/>
  <c r="F34" i="12"/>
  <c r="F263" i="11"/>
  <c r="D123" i="12"/>
  <c r="D34" i="12"/>
  <c r="G242" i="12"/>
  <c r="G258" i="12"/>
  <c r="G146" i="12"/>
  <c r="G93" i="12"/>
  <c r="G47" i="12"/>
  <c r="G41" i="12"/>
  <c r="G58" i="12" s="1"/>
  <c r="G30" i="12"/>
  <c r="G45" i="12"/>
  <c r="F223" i="12"/>
  <c r="H98" i="12"/>
  <c r="F15" i="12"/>
  <c r="H78" i="12"/>
  <c r="E45" i="12"/>
  <c r="E30" i="12"/>
  <c r="H241" i="12"/>
  <c r="D40" i="12"/>
  <c r="H235" i="12"/>
  <c r="H228" i="12"/>
  <c r="G90" i="12"/>
  <c r="L263" i="11"/>
  <c r="G263" i="12"/>
  <c r="G250" i="14"/>
  <c r="G21" i="12"/>
  <c r="G22" i="12" s="1"/>
  <c r="G22" i="14"/>
  <c r="G24" i="14" s="1"/>
  <c r="G25" i="14" s="1"/>
  <c r="G148" i="12"/>
  <c r="G223" i="12"/>
  <c r="G251" i="12" s="1"/>
  <c r="H55" i="12"/>
  <c r="H254" i="12"/>
  <c r="G134" i="12"/>
  <c r="F148" i="12"/>
  <c r="H221" i="12"/>
  <c r="H122" i="12"/>
  <c r="H114" i="12"/>
  <c r="F92" i="12"/>
  <c r="H74" i="12"/>
  <c r="H68" i="12"/>
  <c r="H52" i="12"/>
  <c r="F247" i="12"/>
  <c r="F242" i="12"/>
  <c r="F91" i="12"/>
  <c r="F256" i="12" s="1"/>
  <c r="F258" i="12" s="1"/>
  <c r="H257" i="12"/>
  <c r="H245" i="12"/>
  <c r="H238" i="12"/>
  <c r="H232" i="12"/>
  <c r="H225" i="12"/>
  <c r="H56" i="12"/>
  <c r="F40" i="12"/>
  <c r="H14" i="12"/>
  <c r="F216" i="11"/>
  <c r="H222" i="12"/>
  <c r="H203" i="12"/>
  <c r="F134" i="12"/>
  <c r="F41" i="12"/>
  <c r="F42" i="12" s="1"/>
  <c r="F263" i="12"/>
  <c r="F88" i="12"/>
  <c r="F76" i="12"/>
  <c r="F77" i="12" s="1"/>
  <c r="F70" i="12"/>
  <c r="F71" i="12" s="1"/>
  <c r="F38" i="12"/>
  <c r="H31" i="12"/>
  <c r="H11" i="12"/>
  <c r="E34" i="12"/>
  <c r="H143" i="12"/>
  <c r="H128" i="12"/>
  <c r="L105" i="11"/>
  <c r="L216" i="11"/>
  <c r="H115" i="12"/>
  <c r="D41" i="12"/>
  <c r="D58" i="12" s="1"/>
  <c r="D247" i="12"/>
  <c r="D91" i="12"/>
  <c r="D256" i="12" s="1"/>
  <c r="D258" i="12" s="1"/>
  <c r="D93" i="12"/>
  <c r="D76" i="12"/>
  <c r="D77" i="12" s="1"/>
  <c r="D15" i="12"/>
  <c r="H186" i="12"/>
  <c r="H141" i="12"/>
  <c r="H136" i="12"/>
  <c r="H131" i="12"/>
  <c r="H116" i="12"/>
  <c r="H33" i="12"/>
  <c r="H20" i="12"/>
  <c r="K263" i="11"/>
  <c r="M123" i="11"/>
  <c r="E123" i="11"/>
  <c r="M139" i="11"/>
  <c r="H145" i="12"/>
  <c r="E15" i="11"/>
  <c r="H204" i="11"/>
  <c r="I111" i="11"/>
  <c r="J21" i="11"/>
  <c r="H219" i="12"/>
  <c r="H212" i="12"/>
  <c r="H206" i="12"/>
  <c r="H195" i="12"/>
  <c r="H190" i="12"/>
  <c r="H175" i="12"/>
  <c r="H171" i="12"/>
  <c r="H167" i="12"/>
  <c r="H162" i="12"/>
  <c r="H158" i="12"/>
  <c r="H154" i="12"/>
  <c r="H107" i="12"/>
  <c r="H79" i="12"/>
  <c r="D36" i="12"/>
  <c r="H17" i="12"/>
  <c r="H215" i="12"/>
  <c r="H194" i="12"/>
  <c r="H179" i="12"/>
  <c r="H165" i="12"/>
  <c r="H253" i="12"/>
  <c r="H164" i="12"/>
  <c r="H202" i="12"/>
  <c r="H240" i="12"/>
  <c r="H199" i="12"/>
  <c r="H189" i="12"/>
  <c r="H184" i="12"/>
  <c r="H170" i="12"/>
  <c r="H157" i="12"/>
  <c r="H234" i="12"/>
  <c r="D134" i="12"/>
  <c r="D62" i="12"/>
  <c r="H185" i="12"/>
  <c r="H174" i="12"/>
  <c r="H214" i="12"/>
  <c r="H208" i="12"/>
  <c r="H197" i="12"/>
  <c r="H192" i="12"/>
  <c r="H182" i="12"/>
  <c r="H178" i="12"/>
  <c r="H173" i="12"/>
  <c r="H160" i="12"/>
  <c r="H109" i="12"/>
  <c r="H103" i="12"/>
  <c r="H81" i="12"/>
  <c r="H19" i="12"/>
  <c r="H138" i="12"/>
  <c r="H133" i="12"/>
  <c r="H69" i="12"/>
  <c r="H54" i="12"/>
  <c r="H49" i="12"/>
  <c r="H13" i="12"/>
  <c r="H239" i="12"/>
  <c r="H226" i="12"/>
  <c r="F204" i="12"/>
  <c r="H220" i="12"/>
  <c r="H213" i="12"/>
  <c r="H207" i="12"/>
  <c r="H201" i="12"/>
  <c r="H191" i="12"/>
  <c r="H181" i="12"/>
  <c r="H168" i="12"/>
  <c r="H163" i="12"/>
  <c r="H159" i="12"/>
  <c r="H155" i="12"/>
  <c r="H108" i="12"/>
  <c r="H102" i="12"/>
  <c r="H86" i="12"/>
  <c r="H80" i="12"/>
  <c r="H18" i="12"/>
  <c r="H12" i="12"/>
  <c r="G149" i="14"/>
  <c r="G95" i="14"/>
  <c r="M247" i="11"/>
  <c r="M134" i="11"/>
  <c r="M223" i="11"/>
  <c r="M15" i="11"/>
  <c r="M204" i="11"/>
  <c r="M111" i="11"/>
  <c r="M263" i="11"/>
  <c r="M129" i="11"/>
  <c r="H51" i="12"/>
  <c r="H72" i="12"/>
  <c r="H177" i="12"/>
  <c r="M148" i="11"/>
  <c r="E139" i="11"/>
  <c r="M236" i="11"/>
  <c r="M216" i="11"/>
  <c r="E40" i="12"/>
  <c r="H87" i="12"/>
  <c r="E223" i="11"/>
  <c r="K134" i="11"/>
  <c r="E88" i="12"/>
  <c r="E82" i="12"/>
  <c r="E83" i="12" s="1"/>
  <c r="E146" i="11"/>
  <c r="E242" i="11"/>
  <c r="E111" i="11"/>
  <c r="G139" i="11"/>
  <c r="H105" i="11"/>
  <c r="I144" i="11"/>
  <c r="I204" i="11"/>
  <c r="J134" i="11"/>
  <c r="E247" i="12"/>
  <c r="I216" i="11"/>
  <c r="E236" i="12"/>
  <c r="E144" i="11"/>
  <c r="E204" i="11"/>
  <c r="F15" i="11"/>
  <c r="J147" i="11"/>
  <c r="M229" i="11"/>
  <c r="I148" i="11"/>
  <c r="E15" i="12"/>
  <c r="L147" i="11"/>
  <c r="H75" i="12"/>
  <c r="F204" i="11"/>
  <c r="L144" i="11"/>
  <c r="M105" i="11"/>
  <c r="E93" i="12"/>
  <c r="M146" i="11"/>
  <c r="M145" i="11"/>
  <c r="H180" i="12"/>
  <c r="F144" i="11"/>
  <c r="F146" i="11"/>
  <c r="F223" i="11"/>
  <c r="F242" i="11"/>
  <c r="K144" i="11"/>
  <c r="L204" i="11"/>
  <c r="M242" i="11"/>
  <c r="H39" i="12"/>
  <c r="H61" i="12"/>
  <c r="F145" i="11"/>
  <c r="K148" i="11"/>
  <c r="E216" i="11"/>
  <c r="E263" i="11"/>
  <c r="F111" i="11"/>
  <c r="J144" i="11"/>
  <c r="K146" i="11"/>
  <c r="E263" i="12"/>
  <c r="H63" i="12"/>
  <c r="E91" i="12"/>
  <c r="E256" i="12" s="1"/>
  <c r="H85" i="12"/>
  <c r="M117" i="11"/>
  <c r="L210" i="11"/>
  <c r="M21" i="11"/>
  <c r="M210" i="11"/>
  <c r="E210" i="12"/>
  <c r="H209" i="12"/>
  <c r="F105" i="11"/>
  <c r="K216" i="11"/>
  <c r="M144" i="11"/>
  <c r="M147" i="11"/>
  <c r="H84" i="12"/>
  <c r="E236" i="11"/>
  <c r="E145" i="11"/>
  <c r="F147" i="11"/>
  <c r="H227" i="12"/>
  <c r="H146" i="11"/>
  <c r="F123" i="11"/>
  <c r="H73" i="12"/>
  <c r="E147" i="11"/>
  <c r="I146" i="11"/>
  <c r="J148" i="11"/>
  <c r="L148" i="11"/>
  <c r="H246" i="12"/>
  <c r="L146" i="11"/>
  <c r="H169" i="12"/>
  <c r="E117" i="11"/>
  <c r="E210" i="11"/>
  <c r="F134" i="11"/>
  <c r="I134" i="11"/>
  <c r="J117" i="11"/>
  <c r="L242" i="11"/>
  <c r="G146" i="11"/>
  <c r="E148" i="11"/>
  <c r="E229" i="11"/>
  <c r="E247" i="11"/>
  <c r="E123" i="12"/>
  <c r="H29" i="12"/>
  <c r="H67" i="12"/>
  <c r="H121" i="12"/>
  <c r="H233" i="12"/>
  <c r="H44" i="12"/>
  <c r="H172" i="12"/>
  <c r="E129" i="11"/>
  <c r="H139" i="11"/>
  <c r="I139" i="11"/>
  <c r="J146" i="11"/>
  <c r="H153" i="12"/>
  <c r="H123" i="11"/>
  <c r="K147" i="11"/>
  <c r="E36" i="12"/>
  <c r="I147" i="11"/>
  <c r="E229" i="12"/>
  <c r="E21" i="11"/>
  <c r="F117" i="11"/>
  <c r="J139" i="11"/>
  <c r="L134" i="11"/>
  <c r="E105" i="11"/>
  <c r="F148" i="11"/>
  <c r="F210" i="11"/>
  <c r="F247" i="11"/>
  <c r="G229" i="11"/>
  <c r="E146" i="12"/>
  <c r="E38" i="12"/>
  <c r="H161" i="12"/>
  <c r="F236" i="11"/>
  <c r="L145" i="11"/>
  <c r="H156" i="12"/>
  <c r="H134" i="11"/>
  <c r="F21" i="11"/>
  <c r="F139" i="11"/>
  <c r="F229" i="11"/>
  <c r="L247" i="11"/>
  <c r="E70" i="12"/>
  <c r="E71" i="12" s="1"/>
  <c r="H9" i="12"/>
  <c r="H126" i="12"/>
  <c r="H104" i="12"/>
  <c r="H200" i="12"/>
  <c r="L229" i="11"/>
  <c r="L236" i="11"/>
  <c r="L223" i="11"/>
  <c r="L129" i="11"/>
  <c r="L123" i="11"/>
  <c r="L117" i="11"/>
  <c r="L111" i="11"/>
  <c r="L21" i="11"/>
  <c r="L15" i="11"/>
  <c r="K204" i="11"/>
  <c r="K111" i="11"/>
  <c r="K247" i="11"/>
  <c r="K242" i="11"/>
  <c r="K117" i="11"/>
  <c r="K229" i="11"/>
  <c r="K236" i="11"/>
  <c r="K223" i="11"/>
  <c r="K210" i="11"/>
  <c r="K145" i="11"/>
  <c r="K123" i="11"/>
  <c r="K105" i="11"/>
  <c r="K21" i="11"/>
  <c r="K15" i="11"/>
  <c r="J247" i="11"/>
  <c r="J263" i="11"/>
  <c r="J204" i="11"/>
  <c r="J111" i="11"/>
  <c r="J15" i="11"/>
  <c r="J242" i="11"/>
  <c r="J236" i="11"/>
  <c r="J229" i="11"/>
  <c r="J223" i="11"/>
  <c r="J216" i="11"/>
  <c r="J210" i="11"/>
  <c r="J145" i="11"/>
  <c r="J123" i="11"/>
  <c r="J105" i="11"/>
  <c r="I263" i="11"/>
  <c r="I247" i="11"/>
  <c r="I229" i="11"/>
  <c r="I123" i="11"/>
  <c r="I117" i="11"/>
  <c r="I105" i="11"/>
  <c r="I21" i="11"/>
  <c r="I242" i="11"/>
  <c r="I236" i="11"/>
  <c r="I223" i="11"/>
  <c r="I210" i="11"/>
  <c r="I145" i="11"/>
  <c r="I15" i="11"/>
  <c r="H229" i="11"/>
  <c r="H117" i="11"/>
  <c r="G58" i="14"/>
  <c r="G59" i="14" s="1"/>
  <c r="H15" i="11"/>
  <c r="H111" i="11"/>
  <c r="H21" i="11"/>
  <c r="H148" i="11"/>
  <c r="H144" i="11"/>
  <c r="H263" i="11"/>
  <c r="H247" i="11"/>
  <c r="G242" i="11"/>
  <c r="H242" i="11"/>
  <c r="H236" i="11"/>
  <c r="H223" i="11"/>
  <c r="H216" i="11"/>
  <c r="G216" i="11"/>
  <c r="H210" i="11"/>
  <c r="H147" i="11"/>
  <c r="H145" i="11"/>
  <c r="G230" i="13"/>
  <c r="G243" i="13" s="1"/>
  <c r="G118" i="13"/>
  <c r="G119" i="13" s="1"/>
  <c r="G58" i="13"/>
  <c r="G42" i="13"/>
  <c r="G22" i="13"/>
  <c r="G223" i="11"/>
  <c r="G21" i="11"/>
  <c r="G263" i="11"/>
  <c r="G210" i="11"/>
  <c r="G147" i="11"/>
  <c r="G117" i="11"/>
  <c r="G111" i="11"/>
  <c r="G105" i="11"/>
  <c r="G247" i="11"/>
  <c r="G236" i="11"/>
  <c r="G144" i="11"/>
  <c r="G129" i="11"/>
  <c r="G145" i="11"/>
  <c r="G123" i="11"/>
  <c r="G15" i="11"/>
  <c r="G250" i="13"/>
  <c r="G251" i="13"/>
  <c r="G217" i="13"/>
  <c r="G92" i="13"/>
  <c r="G145" i="13"/>
  <c r="G149" i="13" s="1"/>
  <c r="G204" i="12"/>
  <c r="G193" i="12"/>
  <c r="G144" i="12"/>
  <c r="G145" i="12"/>
  <c r="G139" i="12"/>
  <c r="G105" i="12"/>
  <c r="H101" i="12"/>
  <c r="G77" i="12"/>
  <c r="H66" i="12"/>
  <c r="G71" i="12"/>
  <c r="G62" i="12"/>
  <c r="G42" i="12"/>
  <c r="F216" i="12"/>
  <c r="F117" i="12"/>
  <c r="F118" i="12" s="1"/>
  <c r="E32" i="12"/>
  <c r="F193" i="12"/>
  <c r="D148" i="12"/>
  <c r="F145" i="12"/>
  <c r="F129" i="12"/>
  <c r="E117" i="12"/>
  <c r="F93" i="12"/>
  <c r="D32" i="12"/>
  <c r="G91" i="12"/>
  <c r="D242" i="12"/>
  <c r="D236" i="12"/>
  <c r="F229" i="12"/>
  <c r="E216" i="12"/>
  <c r="E144" i="12"/>
  <c r="F139" i="12"/>
  <c r="E148" i="12"/>
  <c r="D88" i="12"/>
  <c r="E62" i="12"/>
  <c r="D45" i="12"/>
  <c r="D263" i="12"/>
  <c r="E242" i="12"/>
  <c r="F236" i="12"/>
  <c r="E223" i="12"/>
  <c r="F210" i="12"/>
  <c r="F144" i="12"/>
  <c r="E111" i="12"/>
  <c r="F82" i="12"/>
  <c r="F83" i="12" s="1"/>
  <c r="E41" i="12"/>
  <c r="F21" i="12"/>
  <c r="E204" i="12"/>
  <c r="D144" i="12"/>
  <c r="F89" i="12"/>
  <c r="D47" i="12"/>
  <c r="D38" i="12"/>
  <c r="E193" i="12"/>
  <c r="F105" i="12"/>
  <c r="E105" i="12"/>
  <c r="D21" i="12"/>
  <c r="D139" i="12"/>
  <c r="D129" i="12"/>
  <c r="D229" i="12"/>
  <c r="D210" i="12"/>
  <c r="D82" i="12"/>
  <c r="D83" i="12" s="1"/>
  <c r="E76" i="12"/>
  <c r="D223" i="12"/>
  <c r="D204" i="12"/>
  <c r="E21" i="12"/>
  <c r="D146" i="12"/>
  <c r="D111" i="12"/>
  <c r="D70" i="12"/>
  <c r="D71" i="12" s="1"/>
  <c r="E145" i="12"/>
  <c r="D117" i="12"/>
  <c r="D105" i="12"/>
  <c r="E90" i="12"/>
  <c r="D193" i="12"/>
  <c r="E147" i="12"/>
  <c r="D145" i="12"/>
  <c r="E92" i="12"/>
  <c r="D90" i="12"/>
  <c r="E134" i="12"/>
  <c r="D147" i="12"/>
  <c r="D92" i="12"/>
  <c r="D216" i="12"/>
  <c r="E139" i="12"/>
  <c r="E129" i="12"/>
  <c r="L139" i="11"/>
  <c r="K139" i="11"/>
  <c r="K129" i="11"/>
  <c r="J129" i="11"/>
  <c r="I129" i="11"/>
  <c r="H129" i="11"/>
  <c r="G148" i="11"/>
  <c r="G134" i="11"/>
  <c r="F129" i="11"/>
  <c r="E134" i="11"/>
  <c r="J118" i="11" l="1"/>
  <c r="G94" i="12"/>
  <c r="G95" i="12" s="1"/>
  <c r="G60" i="14"/>
  <c r="H147" i="12"/>
  <c r="D42" i="12"/>
  <c r="F149" i="12"/>
  <c r="H134" i="12"/>
  <c r="H22" i="11"/>
  <c r="H24" i="11" s="1"/>
  <c r="H25" i="11" s="1"/>
  <c r="K250" i="11"/>
  <c r="H247" i="12"/>
  <c r="H123" i="12"/>
  <c r="F251" i="12"/>
  <c r="F230" i="12"/>
  <c r="F243" i="12" s="1"/>
  <c r="H93" i="12"/>
  <c r="F22" i="12"/>
  <c r="F24" i="12" s="1"/>
  <c r="F25" i="12" s="1"/>
  <c r="G149" i="12"/>
  <c r="F94" i="12"/>
  <c r="F95" i="12" s="1"/>
  <c r="F255" i="12" s="1"/>
  <c r="F259" i="12" s="1"/>
  <c r="H216" i="12"/>
  <c r="D22" i="12"/>
  <c r="D24" i="12" s="1"/>
  <c r="D25" i="12" s="1"/>
  <c r="G230" i="12"/>
  <c r="G243" i="12" s="1"/>
  <c r="G249" i="12" s="1"/>
  <c r="G249" i="14"/>
  <c r="G250" i="12"/>
  <c r="J217" i="11"/>
  <c r="H144" i="12"/>
  <c r="I118" i="11"/>
  <c r="I119" i="11" s="1"/>
  <c r="H242" i="12"/>
  <c r="E250" i="11"/>
  <c r="K251" i="11"/>
  <c r="F58" i="12"/>
  <c r="H41" i="12"/>
  <c r="H42" i="12" s="1"/>
  <c r="H229" i="12"/>
  <c r="H117" i="12"/>
  <c r="H118" i="12" s="1"/>
  <c r="H119" i="12" s="1"/>
  <c r="H111" i="12"/>
  <c r="H217" i="11"/>
  <c r="L217" i="11"/>
  <c r="H148" i="12"/>
  <c r="H139" i="12"/>
  <c r="H146" i="12"/>
  <c r="H236" i="12"/>
  <c r="H15" i="12"/>
  <c r="H92" i="12"/>
  <c r="H70" i="12"/>
  <c r="H71" i="12" s="1"/>
  <c r="E217" i="11"/>
  <c r="H118" i="11"/>
  <c r="H119" i="11" s="1"/>
  <c r="H90" i="12"/>
  <c r="E251" i="11"/>
  <c r="J22" i="11"/>
  <c r="J24" i="11" s="1"/>
  <c r="J25" i="11" s="1"/>
  <c r="I230" i="11"/>
  <c r="I243" i="11" s="1"/>
  <c r="E22" i="11"/>
  <c r="E24" i="11" s="1"/>
  <c r="E25" i="11" s="1"/>
  <c r="I251" i="11"/>
  <c r="F118" i="11"/>
  <c r="F119" i="11" s="1"/>
  <c r="E230" i="11"/>
  <c r="E243" i="11" s="1"/>
  <c r="H105" i="12"/>
  <c r="F217" i="12"/>
  <c r="H204" i="12"/>
  <c r="G22" i="11"/>
  <c r="G24" i="11" s="1"/>
  <c r="G25" i="11" s="1"/>
  <c r="F250" i="12"/>
  <c r="H62" i="12"/>
  <c r="H210" i="12"/>
  <c r="H88" i="12"/>
  <c r="H89" i="12" s="1"/>
  <c r="M118" i="11"/>
  <c r="M119" i="11" s="1"/>
  <c r="M230" i="11"/>
  <c r="M243" i="11" s="1"/>
  <c r="M22" i="11"/>
  <c r="M24" i="11" s="1"/>
  <c r="M25" i="11" s="1"/>
  <c r="M217" i="11"/>
  <c r="L250" i="11"/>
  <c r="L149" i="11"/>
  <c r="M149" i="11"/>
  <c r="H40" i="12"/>
  <c r="E89" i="12"/>
  <c r="H30" i="12"/>
  <c r="E118" i="11"/>
  <c r="E119" i="11" s="1"/>
  <c r="F230" i="11"/>
  <c r="F243" i="11" s="1"/>
  <c r="H38" i="12"/>
  <c r="H91" i="12"/>
  <c r="E149" i="11"/>
  <c r="L251" i="11"/>
  <c r="E22" i="12"/>
  <c r="E24" i="12" s="1"/>
  <c r="E25" i="12" s="1"/>
  <c r="K217" i="11"/>
  <c r="H34" i="12"/>
  <c r="F250" i="11"/>
  <c r="H193" i="12"/>
  <c r="E217" i="12"/>
  <c r="G230" i="11"/>
  <c r="G243" i="11" s="1"/>
  <c r="J119" i="11"/>
  <c r="F22" i="11"/>
  <c r="F24" i="11" s="1"/>
  <c r="F25" i="11" s="1"/>
  <c r="F149" i="11"/>
  <c r="E77" i="12"/>
  <c r="H76" i="12"/>
  <c r="H77" i="12" s="1"/>
  <c r="H149" i="11"/>
  <c r="H82" i="12"/>
  <c r="H83" i="12" s="1"/>
  <c r="L22" i="11"/>
  <c r="L24" i="11" s="1"/>
  <c r="L25" i="11" s="1"/>
  <c r="F251" i="11"/>
  <c r="E230" i="12"/>
  <c r="H223" i="12"/>
  <c r="K149" i="11"/>
  <c r="L118" i="11"/>
  <c r="L119" i="11" s="1"/>
  <c r="H21" i="12"/>
  <c r="F217" i="11"/>
  <c r="H45" i="12"/>
  <c r="M251" i="11"/>
  <c r="M250" i="11"/>
  <c r="I149" i="11"/>
  <c r="J149" i="11"/>
  <c r="E118" i="12"/>
  <c r="E119" i="12" s="1"/>
  <c r="G251" i="11"/>
  <c r="H32" i="12"/>
  <c r="E258" i="12"/>
  <c r="H256" i="12"/>
  <c r="H258" i="12" s="1"/>
  <c r="H129" i="12"/>
  <c r="L230" i="11"/>
  <c r="L243" i="11" s="1"/>
  <c r="K118" i="11"/>
  <c r="K119" i="11" s="1"/>
  <c r="K230" i="11"/>
  <c r="K243" i="11" s="1"/>
  <c r="K22" i="11"/>
  <c r="K24" i="11" s="1"/>
  <c r="K25" i="11" s="1"/>
  <c r="J230" i="11"/>
  <c r="J243" i="11" s="1"/>
  <c r="J250" i="11"/>
  <c r="J251" i="11"/>
  <c r="I22" i="11"/>
  <c r="I24" i="11" s="1"/>
  <c r="I25" i="11" s="1"/>
  <c r="I250" i="11"/>
  <c r="I217" i="11"/>
  <c r="G60" i="13"/>
  <c r="G249" i="13"/>
  <c r="H250" i="11"/>
  <c r="H230" i="11"/>
  <c r="H243" i="11" s="1"/>
  <c r="H251" i="11"/>
  <c r="G217" i="11"/>
  <c r="G250" i="11"/>
  <c r="G94" i="13"/>
  <c r="G59" i="13"/>
  <c r="G24" i="13"/>
  <c r="G25" i="13" s="1"/>
  <c r="G149" i="11"/>
  <c r="G118" i="11"/>
  <c r="G119" i="11" s="1"/>
  <c r="G119" i="12"/>
  <c r="G24" i="12"/>
  <c r="G25" i="12" s="1"/>
  <c r="D59" i="12"/>
  <c r="G60" i="12"/>
  <c r="G59" i="12"/>
  <c r="D149" i="12"/>
  <c r="E42" i="12"/>
  <c r="E250" i="12"/>
  <c r="D89" i="12"/>
  <c r="E251" i="12"/>
  <c r="F119" i="12"/>
  <c r="D230" i="12"/>
  <c r="D94" i="12"/>
  <c r="D95" i="12" s="1"/>
  <c r="D255" i="12" s="1"/>
  <c r="D118" i="12"/>
  <c r="E149" i="12"/>
  <c r="D250" i="12"/>
  <c r="D217" i="12"/>
  <c r="D251" i="12"/>
  <c r="E94" i="12"/>
  <c r="E95" i="12" s="1"/>
  <c r="E255" i="12" s="1"/>
  <c r="G40" i="13"/>
  <c r="G38" i="13"/>
  <c r="G38" i="14"/>
  <c r="G32" i="13"/>
  <c r="I193" i="11"/>
  <c r="H193" i="11"/>
  <c r="G193" i="11"/>
  <c r="F193" i="11"/>
  <c r="E193" i="11"/>
  <c r="D193" i="11"/>
  <c r="F93" i="11"/>
  <c r="F92" i="11"/>
  <c r="E92" i="11"/>
  <c r="D92" i="11"/>
  <c r="F90" i="11"/>
  <c r="E90" i="11"/>
  <c r="J88" i="11"/>
  <c r="F88" i="11"/>
  <c r="F83" i="11"/>
  <c r="E83" i="11"/>
  <c r="F82" i="11"/>
  <c r="E82" i="11"/>
  <c r="L76" i="11"/>
  <c r="D76" i="11"/>
  <c r="F62" i="11"/>
  <c r="E62" i="11"/>
  <c r="F47" i="11"/>
  <c r="E47" i="11"/>
  <c r="M45" i="11"/>
  <c r="F45" i="11"/>
  <c r="E45" i="11"/>
  <c r="D45" i="11"/>
  <c r="F40" i="11"/>
  <c r="E40" i="11"/>
  <c r="D40" i="11"/>
  <c r="M38" i="11"/>
  <c r="F38" i="11"/>
  <c r="E38" i="11"/>
  <c r="D38" i="11"/>
  <c r="F34" i="11"/>
  <c r="E34" i="11"/>
  <c r="D34" i="11"/>
  <c r="F32" i="11"/>
  <c r="E32" i="11"/>
  <c r="D32" i="11"/>
  <c r="F30" i="11"/>
  <c r="E30" i="11"/>
  <c r="D30" i="11"/>
  <c r="I92" i="11"/>
  <c r="K76" i="11"/>
  <c r="J34" i="11"/>
  <c r="H149" i="12" l="1"/>
  <c r="F249" i="12"/>
  <c r="F41" i="11"/>
  <c r="F58" i="11" s="1"/>
  <c r="F59" i="11" s="1"/>
  <c r="M41" i="11"/>
  <c r="M58" i="11" s="1"/>
  <c r="H217" i="12"/>
  <c r="D60" i="12"/>
  <c r="F59" i="12"/>
  <c r="F60" i="12"/>
  <c r="H243" i="12"/>
  <c r="G70" i="14"/>
  <c r="G71" i="14" s="1"/>
  <c r="G258" i="14"/>
  <c r="G256" i="14"/>
  <c r="M40" i="11"/>
  <c r="M47" i="11"/>
  <c r="M193" i="11"/>
  <c r="M82" i="11"/>
  <c r="M92" i="11"/>
  <c r="M30" i="11"/>
  <c r="M32" i="11"/>
  <c r="M34" i="11"/>
  <c r="M62" i="11"/>
  <c r="L32" i="11"/>
  <c r="L93" i="11"/>
  <c r="L91" i="11"/>
  <c r="L256" i="11" s="1"/>
  <c r="L30" i="11"/>
  <c r="J89" i="11"/>
  <c r="K32" i="11"/>
  <c r="H94" i="12"/>
  <c r="H95" i="12" s="1"/>
  <c r="H22" i="12"/>
  <c r="H24" i="12" s="1"/>
  <c r="H25" i="12" s="1"/>
  <c r="L34" i="11"/>
  <c r="L62" i="11"/>
  <c r="H40" i="11"/>
  <c r="G82" i="11"/>
  <c r="G90" i="11"/>
  <c r="G91" i="11"/>
  <c r="G256" i="11" s="1"/>
  <c r="G92" i="11"/>
  <c r="D83" i="11"/>
  <c r="D82" i="11"/>
  <c r="L45" i="11"/>
  <c r="E77" i="11"/>
  <c r="E76" i="11"/>
  <c r="D89" i="11"/>
  <c r="D88" i="11"/>
  <c r="M71" i="11"/>
  <c r="M70" i="11"/>
  <c r="E243" i="12"/>
  <c r="H230" i="12"/>
  <c r="D90" i="11"/>
  <c r="D94" i="11"/>
  <c r="D93" i="11"/>
  <c r="I70" i="11"/>
  <c r="E258" i="11"/>
  <c r="E91" i="11"/>
  <c r="E256" i="11" s="1"/>
  <c r="E94" i="11"/>
  <c r="E93" i="11"/>
  <c r="L40" i="11"/>
  <c r="L47" i="11"/>
  <c r="K89" i="11"/>
  <c r="K88" i="11"/>
  <c r="L77" i="11"/>
  <c r="E71" i="11"/>
  <c r="E70" i="11"/>
  <c r="L89" i="11"/>
  <c r="L88" i="11"/>
  <c r="F77" i="11"/>
  <c r="F76" i="11"/>
  <c r="E89" i="11"/>
  <c r="E88" i="11"/>
  <c r="M91" i="11"/>
  <c r="M256" i="11" s="1"/>
  <c r="M93" i="11"/>
  <c r="I47" i="11"/>
  <c r="L38" i="11"/>
  <c r="M83" i="11"/>
  <c r="D71" i="11"/>
  <c r="D70" i="11"/>
  <c r="M77" i="11"/>
  <c r="M76" i="11"/>
  <c r="G32" i="11"/>
  <c r="F71" i="11"/>
  <c r="F70" i="11"/>
  <c r="H82" i="11"/>
  <c r="M89" i="11"/>
  <c r="M88" i="11"/>
  <c r="H251" i="12"/>
  <c r="L83" i="11"/>
  <c r="L82" i="11"/>
  <c r="M90" i="11"/>
  <c r="H76" i="11"/>
  <c r="G88" i="11"/>
  <c r="D258" i="11"/>
  <c r="D91" i="11"/>
  <c r="L258" i="11"/>
  <c r="E46" i="12"/>
  <c r="D46" i="11"/>
  <c r="F258" i="11"/>
  <c r="F91" i="11"/>
  <c r="F256" i="11" s="1"/>
  <c r="H83" i="11"/>
  <c r="I32" i="11"/>
  <c r="G34" i="11"/>
  <c r="G62" i="11"/>
  <c r="D77" i="11"/>
  <c r="F89" i="11"/>
  <c r="H77" i="11"/>
  <c r="H250" i="12"/>
  <c r="I76" i="11"/>
  <c r="E259" i="12"/>
  <c r="H255" i="12"/>
  <c r="H259" i="12" s="1"/>
  <c r="L90" i="11"/>
  <c r="L92" i="11"/>
  <c r="L71" i="11"/>
  <c r="L70" i="11"/>
  <c r="G34" i="13"/>
  <c r="K45" i="11"/>
  <c r="K90" i="11"/>
  <c r="K91" i="11"/>
  <c r="K256" i="11" s="1"/>
  <c r="K70" i="11"/>
  <c r="K34" i="11"/>
  <c r="K38" i="11"/>
  <c r="K40" i="11"/>
  <c r="K62" i="11"/>
  <c r="K47" i="11"/>
  <c r="K30" i="11"/>
  <c r="K83" i="11"/>
  <c r="K82" i="11"/>
  <c r="K77" i="11"/>
  <c r="K92" i="11"/>
  <c r="K258" i="11"/>
  <c r="K71" i="11"/>
  <c r="K93" i="11"/>
  <c r="J77" i="11"/>
  <c r="J38" i="11"/>
  <c r="J71" i="11"/>
  <c r="J70" i="11"/>
  <c r="J62" i="11"/>
  <c r="J40" i="11"/>
  <c r="J45" i="11"/>
  <c r="J47" i="11"/>
  <c r="J93" i="11"/>
  <c r="J30" i="11"/>
  <c r="J32" i="11"/>
  <c r="J83" i="11"/>
  <c r="J82" i="11"/>
  <c r="J258" i="11"/>
  <c r="J91" i="11"/>
  <c r="J256" i="11" s="1"/>
  <c r="J90" i="11"/>
  <c r="J92" i="11"/>
  <c r="I88" i="11"/>
  <c r="I89" i="11"/>
  <c r="I77" i="11"/>
  <c r="I93" i="11"/>
  <c r="I83" i="11"/>
  <c r="I82" i="11"/>
  <c r="I90" i="11"/>
  <c r="I30" i="11"/>
  <c r="G32" i="14"/>
  <c r="I34" i="11"/>
  <c r="I71" i="11"/>
  <c r="I62" i="11"/>
  <c r="I45" i="11"/>
  <c r="I38" i="11"/>
  <c r="I40" i="11"/>
  <c r="I258" i="11"/>
  <c r="I91" i="11"/>
  <c r="I256" i="11" s="1"/>
  <c r="G70" i="13"/>
  <c r="G71" i="13" s="1"/>
  <c r="G256" i="13"/>
  <c r="G258" i="13" s="1"/>
  <c r="G40" i="14"/>
  <c r="H34" i="11"/>
  <c r="H45" i="11"/>
  <c r="G34" i="14"/>
  <c r="H93" i="11"/>
  <c r="H62" i="11"/>
  <c r="H32" i="11"/>
  <c r="H92" i="11"/>
  <c r="H30" i="11"/>
  <c r="H47" i="11"/>
  <c r="H38" i="11"/>
  <c r="H89" i="11"/>
  <c r="H88" i="11"/>
  <c r="H91" i="11"/>
  <c r="H256" i="11" s="1"/>
  <c r="H70" i="11"/>
  <c r="H90" i="11"/>
  <c r="G95" i="13"/>
  <c r="G76" i="11"/>
  <c r="G77" i="11"/>
  <c r="G40" i="11"/>
  <c r="G30" i="11"/>
  <c r="G45" i="11"/>
  <c r="G47" i="11"/>
  <c r="G38" i="11"/>
  <c r="G89" i="11"/>
  <c r="G83" i="11"/>
  <c r="G71" i="11"/>
  <c r="G70" i="11"/>
  <c r="G93" i="11"/>
  <c r="D119" i="12"/>
  <c r="D243" i="12"/>
  <c r="D249" i="12" s="1"/>
  <c r="D259" i="12"/>
  <c r="F94" i="11"/>
  <c r="D47" i="11"/>
  <c r="G258" i="11"/>
  <c r="O258" i="11"/>
  <c r="E41" i="11"/>
  <c r="E58" i="11" s="1"/>
  <c r="G191" i="17"/>
  <c r="G190" i="17"/>
  <c r="G189" i="17"/>
  <c r="G187" i="17"/>
  <c r="G186" i="17"/>
  <c r="G185" i="17"/>
  <c r="G184" i="17"/>
  <c r="F187" i="17"/>
  <c r="F186" i="17"/>
  <c r="F185" i="17"/>
  <c r="F184" i="17"/>
  <c r="E187" i="17"/>
  <c r="E186" i="17"/>
  <c r="E185" i="17"/>
  <c r="E184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40" i="17"/>
  <c r="G39" i="17"/>
  <c r="G38" i="17"/>
  <c r="G37" i="17"/>
  <c r="G36" i="17"/>
  <c r="G35" i="17"/>
  <c r="G34" i="17"/>
  <c r="G33" i="17"/>
  <c r="G32" i="17"/>
  <c r="G31" i="17"/>
  <c r="O262" i="11"/>
  <c r="O261" i="11"/>
  <c r="O257" i="11"/>
  <c r="O254" i="11"/>
  <c r="O253" i="11"/>
  <c r="O246" i="11"/>
  <c r="O245" i="11"/>
  <c r="O241" i="11"/>
  <c r="O240" i="11"/>
  <c r="O239" i="11"/>
  <c r="O238" i="11"/>
  <c r="O235" i="11"/>
  <c r="O234" i="11"/>
  <c r="O233" i="11"/>
  <c r="O232" i="11"/>
  <c r="O228" i="11"/>
  <c r="O227" i="11"/>
  <c r="O226" i="11"/>
  <c r="O225" i="11"/>
  <c r="O222" i="11"/>
  <c r="O221" i="11"/>
  <c r="O220" i="11"/>
  <c r="O219" i="11"/>
  <c r="O215" i="11"/>
  <c r="O214" i="11"/>
  <c r="O213" i="11"/>
  <c r="O212" i="11"/>
  <c r="O209" i="11"/>
  <c r="O208" i="11"/>
  <c r="O207" i="11"/>
  <c r="O206" i="11"/>
  <c r="O203" i="11"/>
  <c r="O202" i="11"/>
  <c r="O201" i="11"/>
  <c r="O200" i="11"/>
  <c r="O199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43" i="11"/>
  <c r="O142" i="11"/>
  <c r="O141" i="11"/>
  <c r="O140" i="11"/>
  <c r="O138" i="11"/>
  <c r="O137" i="11"/>
  <c r="O136" i="11"/>
  <c r="O135" i="11"/>
  <c r="O133" i="11"/>
  <c r="O132" i="11"/>
  <c r="O131" i="11"/>
  <c r="O130" i="11"/>
  <c r="O128" i="11"/>
  <c r="O127" i="11"/>
  <c r="O126" i="11"/>
  <c r="O125" i="11"/>
  <c r="O122" i="11"/>
  <c r="O121" i="11"/>
  <c r="O116" i="11"/>
  <c r="O115" i="11"/>
  <c r="O114" i="11"/>
  <c r="O113" i="11"/>
  <c r="O110" i="11"/>
  <c r="O109" i="11"/>
  <c r="O108" i="11"/>
  <c r="O107" i="11"/>
  <c r="O104" i="11"/>
  <c r="O103" i="11"/>
  <c r="O102" i="11"/>
  <c r="O101" i="11"/>
  <c r="O98" i="11"/>
  <c r="O96" i="11"/>
  <c r="O94" i="11"/>
  <c r="O93" i="11"/>
  <c r="O92" i="11"/>
  <c r="O91" i="11"/>
  <c r="O256" i="11" s="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3" i="11"/>
  <c r="O62" i="11"/>
  <c r="O61" i="11"/>
  <c r="O56" i="11"/>
  <c r="O55" i="11"/>
  <c r="O54" i="11"/>
  <c r="O52" i="11"/>
  <c r="O51" i="11"/>
  <c r="O50" i="11"/>
  <c r="O49" i="11"/>
  <c r="O47" i="11"/>
  <c r="O46" i="11"/>
  <c r="O45" i="11"/>
  <c r="O44" i="11"/>
  <c r="O40" i="11"/>
  <c r="O39" i="11"/>
  <c r="O38" i="11"/>
  <c r="O37" i="11"/>
  <c r="O35" i="11"/>
  <c r="O34" i="11"/>
  <c r="O33" i="11"/>
  <c r="O32" i="11"/>
  <c r="O31" i="11"/>
  <c r="O30" i="11"/>
  <c r="O29" i="11"/>
  <c r="O20" i="11"/>
  <c r="O19" i="11"/>
  <c r="O18" i="11"/>
  <c r="O17" i="11"/>
  <c r="O14" i="11"/>
  <c r="O13" i="11"/>
  <c r="O12" i="11"/>
  <c r="O11" i="11"/>
  <c r="O9" i="11"/>
  <c r="M42" i="11" l="1"/>
  <c r="O95" i="11"/>
  <c r="O255" i="11" s="1"/>
  <c r="O259" i="11" s="1"/>
  <c r="M258" i="11"/>
  <c r="M94" i="11"/>
  <c r="G259" i="14"/>
  <c r="G255" i="14"/>
  <c r="L94" i="11"/>
  <c r="L41" i="11"/>
  <c r="L58" i="11" s="1"/>
  <c r="L59" i="11" s="1"/>
  <c r="J94" i="11"/>
  <c r="F42" i="11"/>
  <c r="F249" i="11"/>
  <c r="F60" i="11"/>
  <c r="M249" i="11"/>
  <c r="M60" i="11"/>
  <c r="M59" i="11"/>
  <c r="D41" i="11"/>
  <c r="K41" i="11"/>
  <c r="K58" i="11" s="1"/>
  <c r="K60" i="11" s="1"/>
  <c r="H46" i="12"/>
  <c r="H47" i="12" s="1"/>
  <c r="E47" i="12"/>
  <c r="E58" i="12"/>
  <c r="L95" i="11"/>
  <c r="L255" i="11" s="1"/>
  <c r="L259" i="11" s="1"/>
  <c r="K94" i="11"/>
  <c r="J41" i="11"/>
  <c r="J58" i="11" s="1"/>
  <c r="J59" i="11" s="1"/>
  <c r="I94" i="11"/>
  <c r="I41" i="11"/>
  <c r="I58" i="11" s="1"/>
  <c r="I60" i="11" s="1"/>
  <c r="I95" i="11"/>
  <c r="I255" i="11" s="1"/>
  <c r="I259" i="11" s="1"/>
  <c r="G255" i="13"/>
  <c r="G259" i="13" s="1"/>
  <c r="H71" i="11"/>
  <c r="H94" i="11"/>
  <c r="H258" i="11"/>
  <c r="H41" i="11"/>
  <c r="H58" i="11" s="1"/>
  <c r="H249" i="11" s="1"/>
  <c r="H95" i="11"/>
  <c r="H255" i="11" s="1"/>
  <c r="H259" i="11" s="1"/>
  <c r="G94" i="11"/>
  <c r="G41" i="11"/>
  <c r="G58" i="11" s="1"/>
  <c r="G60" i="11" s="1"/>
  <c r="G95" i="11"/>
  <c r="G255" i="11" s="1"/>
  <c r="G259" i="11" s="1"/>
  <c r="E60" i="11"/>
  <c r="E59" i="11"/>
  <c r="E249" i="11"/>
  <c r="O134" i="11"/>
  <c r="O129" i="11"/>
  <c r="O41" i="11"/>
  <c r="O58" i="11" s="1"/>
  <c r="O229" i="11"/>
  <c r="O216" i="11"/>
  <c r="O15" i="11"/>
  <c r="O263" i="11"/>
  <c r="O144" i="11"/>
  <c r="O123" i="11"/>
  <c r="O147" i="11"/>
  <c r="O117" i="11"/>
  <c r="O223" i="11"/>
  <c r="O21" i="11"/>
  <c r="O111" i="11"/>
  <c r="O145" i="11"/>
  <c r="O204" i="11"/>
  <c r="O242" i="11"/>
  <c r="O105" i="11"/>
  <c r="O148" i="11"/>
  <c r="O210" i="11"/>
  <c r="O236" i="11"/>
  <c r="O247" i="11"/>
  <c r="O139" i="11"/>
  <c r="O146" i="11"/>
  <c r="O42" i="11" l="1"/>
  <c r="L60" i="11"/>
  <c r="L249" i="11"/>
  <c r="O230" i="11"/>
  <c r="O243" i="11" s="1"/>
  <c r="O249" i="11" s="1"/>
  <c r="D42" i="11"/>
  <c r="G249" i="11"/>
  <c r="K249" i="11"/>
  <c r="O251" i="11"/>
  <c r="K59" i="11"/>
  <c r="D95" i="11"/>
  <c r="H58" i="12"/>
  <c r="E59" i="12"/>
  <c r="E60" i="12"/>
  <c r="E249" i="12"/>
  <c r="E42" i="11"/>
  <c r="E95" i="11"/>
  <c r="E255" i="11" s="1"/>
  <c r="E259" i="11" s="1"/>
  <c r="L42" i="11"/>
  <c r="F95" i="11"/>
  <c r="F255" i="11" s="1"/>
  <c r="F259" i="11" s="1"/>
  <c r="M95" i="11"/>
  <c r="M255" i="11" s="1"/>
  <c r="M259" i="11" s="1"/>
  <c r="K42" i="11"/>
  <c r="K95" i="11"/>
  <c r="K255" i="11" s="1"/>
  <c r="K259" i="11" s="1"/>
  <c r="J249" i="11"/>
  <c r="J60" i="11"/>
  <c r="J42" i="11"/>
  <c r="J95" i="11"/>
  <c r="J255" i="11" s="1"/>
  <c r="J259" i="11" s="1"/>
  <c r="I42" i="11"/>
  <c r="I249" i="11"/>
  <c r="I59" i="11"/>
  <c r="H59" i="11"/>
  <c r="H60" i="11"/>
  <c r="H42" i="11"/>
  <c r="G59" i="11"/>
  <c r="G42" i="11"/>
  <c r="O22" i="11"/>
  <c r="O24" i="11" s="1"/>
  <c r="O25" i="11" s="1"/>
  <c r="O250" i="11"/>
  <c r="O149" i="11"/>
  <c r="O217" i="11"/>
  <c r="O59" i="11"/>
  <c r="O118" i="11"/>
  <c r="O119" i="11" s="1"/>
  <c r="H60" i="12" l="1"/>
  <c r="H249" i="12"/>
  <c r="H59" i="12"/>
  <c r="O60" i="11"/>
  <c r="H263" i="16"/>
  <c r="H39" i="16"/>
  <c r="H37" i="16"/>
  <c r="N262" i="11"/>
  <c r="N261" i="11"/>
  <c r="N257" i="11"/>
  <c r="N254" i="11"/>
  <c r="N253" i="11"/>
  <c r="N245" i="11"/>
  <c r="N241" i="11"/>
  <c r="N240" i="11"/>
  <c r="N239" i="11"/>
  <c r="N238" i="11"/>
  <c r="N235" i="11"/>
  <c r="N234" i="11"/>
  <c r="N233" i="11"/>
  <c r="N232" i="11"/>
  <c r="N228" i="11"/>
  <c r="N227" i="11"/>
  <c r="N226" i="11"/>
  <c r="N225" i="11"/>
  <c r="N222" i="11"/>
  <c r="N221" i="11"/>
  <c r="N220" i="11"/>
  <c r="N219" i="11"/>
  <c r="N215" i="11"/>
  <c r="N214" i="11"/>
  <c r="N213" i="11"/>
  <c r="N212" i="11"/>
  <c r="N209" i="11"/>
  <c r="N208" i="11"/>
  <c r="N207" i="11"/>
  <c r="N206" i="11"/>
  <c r="N203" i="11"/>
  <c r="N202" i="11"/>
  <c r="N201" i="11"/>
  <c r="N200" i="11"/>
  <c r="N199" i="11"/>
  <c r="N197" i="11"/>
  <c r="N196" i="11"/>
  <c r="N195" i="11"/>
  <c r="N194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43" i="11"/>
  <c r="N142" i="11"/>
  <c r="N141" i="11"/>
  <c r="N140" i="11"/>
  <c r="N138" i="11"/>
  <c r="N137" i="11"/>
  <c r="N136" i="11"/>
  <c r="N135" i="11"/>
  <c r="N133" i="11"/>
  <c r="N132" i="11"/>
  <c r="N131" i="11"/>
  <c r="N130" i="11"/>
  <c r="N128" i="11"/>
  <c r="N127" i="11"/>
  <c r="N126" i="11"/>
  <c r="N125" i="11"/>
  <c r="N122" i="11"/>
  <c r="N121" i="11"/>
  <c r="N116" i="11"/>
  <c r="N115" i="11"/>
  <c r="N114" i="11"/>
  <c r="N113" i="11"/>
  <c r="N110" i="11"/>
  <c r="N109" i="11"/>
  <c r="N108" i="11"/>
  <c r="N107" i="11"/>
  <c r="N104" i="11"/>
  <c r="N103" i="11"/>
  <c r="N102" i="11"/>
  <c r="N101" i="11"/>
  <c r="N98" i="11"/>
  <c r="N96" i="11"/>
  <c r="N87" i="11"/>
  <c r="N86" i="11"/>
  <c r="N85" i="11"/>
  <c r="N84" i="11"/>
  <c r="N81" i="11"/>
  <c r="N80" i="11"/>
  <c r="N79" i="11"/>
  <c r="N78" i="11"/>
  <c r="N75" i="11"/>
  <c r="N74" i="11"/>
  <c r="N73" i="11"/>
  <c r="N72" i="11"/>
  <c r="N69" i="11"/>
  <c r="N68" i="11"/>
  <c r="N67" i="11"/>
  <c r="N66" i="11"/>
  <c r="N63" i="11"/>
  <c r="N61" i="11"/>
  <c r="N56" i="11"/>
  <c r="N55" i="11"/>
  <c r="N54" i="11"/>
  <c r="N52" i="11"/>
  <c r="N51" i="11"/>
  <c r="N50" i="11"/>
  <c r="N49" i="11"/>
  <c r="N44" i="11"/>
  <c r="N39" i="11"/>
  <c r="N37" i="11"/>
  <c r="N35" i="11"/>
  <c r="N33" i="11"/>
  <c r="N31" i="11"/>
  <c r="N29" i="11"/>
  <c r="N20" i="11"/>
  <c r="N19" i="11"/>
  <c r="N18" i="11"/>
  <c r="N17" i="11"/>
  <c r="N14" i="11"/>
  <c r="N13" i="11"/>
  <c r="N12" i="11"/>
  <c r="N11" i="11"/>
  <c r="N9" i="11"/>
  <c r="N246" i="11"/>
  <c r="N263" i="11" l="1"/>
  <c r="N111" i="11"/>
  <c r="N216" i="11"/>
  <c r="N123" i="11"/>
  <c r="N147" i="11"/>
  <c r="N134" i="11"/>
  <c r="N144" i="11"/>
  <c r="N46" i="11"/>
  <c r="N21" i="11"/>
  <c r="N105" i="11"/>
  <c r="N139" i="11"/>
  <c r="N15" i="11"/>
  <c r="N204" i="11"/>
  <c r="N145" i="11"/>
  <c r="N146" i="11"/>
  <c r="N117" i="11"/>
  <c r="N210" i="11"/>
  <c r="N223" i="11"/>
  <c r="N247" i="11"/>
  <c r="N236" i="11"/>
  <c r="N242" i="11"/>
  <c r="N229" i="11"/>
  <c r="N148" i="11"/>
  <c r="N129" i="11"/>
  <c r="N217" i="11" l="1"/>
  <c r="N22" i="11"/>
  <c r="N24" i="11" s="1"/>
  <c r="N25" i="11" s="1"/>
  <c r="N118" i="11"/>
  <c r="N119" i="11" s="1"/>
  <c r="N149" i="11"/>
  <c r="N230" i="11"/>
  <c r="N243" i="11" s="1"/>
  <c r="N251" i="11"/>
  <c r="N250" i="11"/>
  <c r="G262" i="16"/>
  <c r="G261" i="16"/>
  <c r="G257" i="16"/>
  <c r="G256" i="16"/>
  <c r="G255" i="16"/>
  <c r="G254" i="16"/>
  <c r="G253" i="16"/>
  <c r="G246" i="16"/>
  <c r="G245" i="16"/>
  <c r="G241" i="16"/>
  <c r="G240" i="16"/>
  <c r="G239" i="16"/>
  <c r="G238" i="16"/>
  <c r="G235" i="16"/>
  <c r="G234" i="16"/>
  <c r="G233" i="16"/>
  <c r="G232" i="16"/>
  <c r="G228" i="16"/>
  <c r="G227" i="16"/>
  <c r="G226" i="16"/>
  <c r="G225" i="16"/>
  <c r="G222" i="16"/>
  <c r="G221" i="16"/>
  <c r="G220" i="16"/>
  <c r="G219" i="16"/>
  <c r="G215" i="16"/>
  <c r="G214" i="16"/>
  <c r="G213" i="16"/>
  <c r="G212" i="16"/>
  <c r="G209" i="16"/>
  <c r="G208" i="16"/>
  <c r="G207" i="16"/>
  <c r="G206" i="16"/>
  <c r="G203" i="16"/>
  <c r="G202" i="16"/>
  <c r="G201" i="16"/>
  <c r="G200" i="16"/>
  <c r="G199" i="16"/>
  <c r="G197" i="16"/>
  <c r="G196" i="16"/>
  <c r="G195" i="16"/>
  <c r="G194" i="16"/>
  <c r="G192" i="16"/>
  <c r="G191" i="16"/>
  <c r="G190" i="16"/>
  <c r="G189" i="16"/>
  <c r="G188" i="16"/>
  <c r="H188" i="16" s="1"/>
  <c r="G187" i="16"/>
  <c r="G186" i="16"/>
  <c r="G185" i="16"/>
  <c r="G184" i="16"/>
  <c r="G183" i="16"/>
  <c r="H183" i="16" s="1"/>
  <c r="G182" i="16"/>
  <c r="G181" i="16"/>
  <c r="G180" i="16"/>
  <c r="G179" i="16"/>
  <c r="G178" i="16"/>
  <c r="G177" i="16"/>
  <c r="G176" i="16"/>
  <c r="H176" i="16" s="1"/>
  <c r="G175" i="16"/>
  <c r="G174" i="16"/>
  <c r="G173" i="16"/>
  <c r="G172" i="16"/>
  <c r="G171" i="16"/>
  <c r="G170" i="16"/>
  <c r="G169" i="16"/>
  <c r="G168" i="16"/>
  <c r="G167" i="16"/>
  <c r="G166" i="16"/>
  <c r="H166" i="16" s="1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43" i="16"/>
  <c r="G142" i="16"/>
  <c r="G141" i="16"/>
  <c r="G140" i="16"/>
  <c r="G138" i="16"/>
  <c r="G137" i="16"/>
  <c r="G136" i="16"/>
  <c r="G135" i="16"/>
  <c r="G130" i="16"/>
  <c r="G133" i="16"/>
  <c r="G132" i="16"/>
  <c r="G131" i="16"/>
  <c r="G128" i="16"/>
  <c r="G127" i="16"/>
  <c r="G126" i="16"/>
  <c r="G125" i="16"/>
  <c r="G122" i="16"/>
  <c r="G121" i="16"/>
  <c r="G116" i="16"/>
  <c r="G115" i="16"/>
  <c r="G114" i="16"/>
  <c r="G113" i="16"/>
  <c r="G110" i="16"/>
  <c r="G109" i="16"/>
  <c r="G108" i="16"/>
  <c r="G107" i="16"/>
  <c r="G104" i="16"/>
  <c r="G103" i="16"/>
  <c r="G102" i="16"/>
  <c r="G101" i="16"/>
  <c r="G98" i="16"/>
  <c r="G87" i="16"/>
  <c r="G86" i="16"/>
  <c r="G85" i="16"/>
  <c r="G84" i="16"/>
  <c r="G81" i="16"/>
  <c r="G80" i="16"/>
  <c r="G79" i="16"/>
  <c r="G78" i="16"/>
  <c r="G75" i="16"/>
  <c r="G74" i="16"/>
  <c r="G73" i="16"/>
  <c r="G72" i="16"/>
  <c r="G69" i="16"/>
  <c r="G68" i="16"/>
  <c r="G67" i="16"/>
  <c r="G66" i="16"/>
  <c r="G63" i="16"/>
  <c r="H63" i="16" s="1"/>
  <c r="G61" i="16"/>
  <c r="H61" i="16" s="1"/>
  <c r="G56" i="16"/>
  <c r="G55" i="16"/>
  <c r="G54" i="16"/>
  <c r="G52" i="16"/>
  <c r="H52" i="16" s="1"/>
  <c r="G51" i="16"/>
  <c r="G50" i="16"/>
  <c r="G49" i="16"/>
  <c r="G46" i="16"/>
  <c r="G44" i="16"/>
  <c r="G29" i="16"/>
  <c r="G20" i="16"/>
  <c r="G19" i="16"/>
  <c r="G18" i="16"/>
  <c r="G17" i="16"/>
  <c r="G14" i="16"/>
  <c r="G13" i="16"/>
  <c r="G12" i="16"/>
  <c r="G11" i="16"/>
  <c r="G9" i="16"/>
  <c r="G39" i="16"/>
  <c r="G37" i="16"/>
  <c r="G36" i="16"/>
  <c r="G35" i="16"/>
  <c r="G33" i="16"/>
  <c r="G31" i="16"/>
  <c r="G146" i="16" l="1"/>
  <c r="G123" i="16"/>
  <c r="G216" i="16"/>
  <c r="G111" i="16"/>
  <c r="G263" i="16"/>
  <c r="G247" i="16"/>
  <c r="G242" i="16"/>
  <c r="G93" i="16"/>
  <c r="G15" i="16"/>
  <c r="G139" i="16"/>
  <c r="G210" i="16"/>
  <c r="G217" i="16" s="1"/>
  <c r="G21" i="16"/>
  <c r="G223" i="16"/>
  <c r="G117" i="16"/>
  <c r="G41" i="16"/>
  <c r="G42" i="16" s="1"/>
  <c r="G229" i="16"/>
  <c r="G204" i="16"/>
  <c r="G193" i="16"/>
  <c r="G91" i="16"/>
  <c r="G92" i="16"/>
  <c r="G94" i="16" s="1"/>
  <c r="G144" i="16"/>
  <c r="G147" i="16"/>
  <c r="G134" i="16"/>
  <c r="G148" i="16"/>
  <c r="G129" i="16"/>
  <c r="G145" i="16"/>
  <c r="G105" i="16"/>
  <c r="G62" i="16"/>
  <c r="G30" i="16"/>
  <c r="G45" i="16"/>
  <c r="G47" i="16"/>
  <c r="G90" i="16"/>
  <c r="G118" i="16" l="1"/>
  <c r="G119" i="16" s="1"/>
  <c r="G251" i="16"/>
  <c r="G230" i="16"/>
  <c r="G243" i="16" s="1"/>
  <c r="G250" i="16"/>
  <c r="G22" i="16"/>
  <c r="G24" i="16" s="1"/>
  <c r="G25" i="16" s="1"/>
  <c r="G149" i="16"/>
  <c r="G58" i="16"/>
  <c r="G60" i="16" s="1"/>
  <c r="G95" i="16"/>
  <c r="F221" i="15"/>
  <c r="G63" i="15"/>
  <c r="F63" i="15"/>
  <c r="E63" i="15"/>
  <c r="D63" i="15"/>
  <c r="G61" i="15"/>
  <c r="F61" i="15"/>
  <c r="E61" i="15"/>
  <c r="D61" i="15"/>
  <c r="G59" i="16" l="1"/>
  <c r="G249" i="16"/>
  <c r="H188" i="17" l="1"/>
  <c r="H183" i="17"/>
  <c r="H176" i="17"/>
  <c r="H166" i="17"/>
  <c r="G262" i="15" l="1"/>
  <c r="G261" i="15"/>
  <c r="G257" i="15"/>
  <c r="G254" i="15"/>
  <c r="G253" i="15"/>
  <c r="G246" i="15"/>
  <c r="G245" i="15"/>
  <c r="G241" i="15"/>
  <c r="G240" i="15"/>
  <c r="G239" i="15"/>
  <c r="G238" i="15"/>
  <c r="G235" i="15"/>
  <c r="G234" i="15"/>
  <c r="G233" i="15"/>
  <c r="G232" i="15"/>
  <c r="G228" i="15"/>
  <c r="G227" i="15"/>
  <c r="G226" i="15"/>
  <c r="G225" i="15"/>
  <c r="G222" i="15"/>
  <c r="G221" i="15"/>
  <c r="G220" i="15"/>
  <c r="G219" i="15"/>
  <c r="G215" i="15"/>
  <c r="G214" i="15"/>
  <c r="G213" i="15"/>
  <c r="G212" i="15"/>
  <c r="G209" i="15"/>
  <c r="G208" i="15"/>
  <c r="G207" i="15"/>
  <c r="G206" i="15"/>
  <c r="G203" i="15"/>
  <c r="G202" i="15"/>
  <c r="G201" i="15"/>
  <c r="G200" i="15"/>
  <c r="G199" i="15"/>
  <c r="G197" i="15"/>
  <c r="G196" i="15"/>
  <c r="G195" i="15"/>
  <c r="G194" i="15"/>
  <c r="G192" i="15"/>
  <c r="G191" i="15"/>
  <c r="G190" i="15"/>
  <c r="G189" i="15"/>
  <c r="G188" i="15"/>
  <c r="H188" i="15" s="1"/>
  <c r="G187" i="15"/>
  <c r="G186" i="15"/>
  <c r="G185" i="15"/>
  <c r="G184" i="15"/>
  <c r="G183" i="15"/>
  <c r="H183" i="15" s="1"/>
  <c r="G182" i="15"/>
  <c r="G181" i="15"/>
  <c r="G180" i="15"/>
  <c r="G179" i="15"/>
  <c r="G178" i="15"/>
  <c r="G177" i="15"/>
  <c r="G176" i="15"/>
  <c r="H176" i="15" s="1"/>
  <c r="G175" i="15"/>
  <c r="G174" i="15"/>
  <c r="G173" i="15"/>
  <c r="G172" i="15"/>
  <c r="G171" i="15"/>
  <c r="G170" i="15"/>
  <c r="G169" i="15"/>
  <c r="G168" i="15"/>
  <c r="G167" i="15"/>
  <c r="G166" i="15"/>
  <c r="H166" i="15" s="1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43" i="15"/>
  <c r="G142" i="15"/>
  <c r="G141" i="15"/>
  <c r="G138" i="15"/>
  <c r="G137" i="15"/>
  <c r="G136" i="15"/>
  <c r="G133" i="15"/>
  <c r="G132" i="15"/>
  <c r="G131" i="15"/>
  <c r="G128" i="15"/>
  <c r="G127" i="15"/>
  <c r="G126" i="15"/>
  <c r="G140" i="15"/>
  <c r="G135" i="15"/>
  <c r="G130" i="15"/>
  <c r="G125" i="15"/>
  <c r="G122" i="15"/>
  <c r="G121" i="15"/>
  <c r="G116" i="15"/>
  <c r="G115" i="15"/>
  <c r="G114" i="15"/>
  <c r="G113" i="15"/>
  <c r="G110" i="15"/>
  <c r="G109" i="15"/>
  <c r="G108" i="15"/>
  <c r="G107" i="15"/>
  <c r="G104" i="15"/>
  <c r="G103" i="15"/>
  <c r="G102" i="15"/>
  <c r="G101" i="15"/>
  <c r="G98" i="15"/>
  <c r="G87" i="15"/>
  <c r="G86" i="15"/>
  <c r="G85" i="15"/>
  <c r="G84" i="15"/>
  <c r="G81" i="15"/>
  <c r="G80" i="15"/>
  <c r="G79" i="15"/>
  <c r="G78" i="15"/>
  <c r="G75" i="15"/>
  <c r="G74" i="15"/>
  <c r="G73" i="15"/>
  <c r="G72" i="15"/>
  <c r="G69" i="15"/>
  <c r="G68" i="15"/>
  <c r="G67" i="15"/>
  <c r="G66" i="15"/>
  <c r="G56" i="15"/>
  <c r="G55" i="15"/>
  <c r="G54" i="15"/>
  <c r="G52" i="15"/>
  <c r="G51" i="15"/>
  <c r="G50" i="15"/>
  <c r="G49" i="15"/>
  <c r="G46" i="15"/>
  <c r="G44" i="15"/>
  <c r="G39" i="15"/>
  <c r="G37" i="15"/>
  <c r="G36" i="15"/>
  <c r="G35" i="15"/>
  <c r="G33" i="15"/>
  <c r="G31" i="15"/>
  <c r="G29" i="15"/>
  <c r="G20" i="15"/>
  <c r="G19" i="15"/>
  <c r="G18" i="15"/>
  <c r="G17" i="15"/>
  <c r="G14" i="15"/>
  <c r="G13" i="15"/>
  <c r="G12" i="15"/>
  <c r="G11" i="15"/>
  <c r="G9" i="15"/>
  <c r="G140" i="17"/>
  <c r="G135" i="17"/>
  <c r="G130" i="17"/>
  <c r="G125" i="17"/>
  <c r="G84" i="17"/>
  <c r="G78" i="17"/>
  <c r="G72" i="17"/>
  <c r="G93" i="15" l="1"/>
  <c r="G15" i="15"/>
  <c r="G146" i="15"/>
  <c r="G210" i="15"/>
  <c r="G90" i="17"/>
  <c r="G144" i="15"/>
  <c r="G229" i="15"/>
  <c r="G263" i="15"/>
  <c r="G247" i="15"/>
  <c r="G111" i="15"/>
  <c r="G123" i="15"/>
  <c r="G242" i="15"/>
  <c r="G21" i="15"/>
  <c r="G134" i="15"/>
  <c r="G204" i="15"/>
  <c r="G105" i="15"/>
  <c r="G145" i="17"/>
  <c r="G216" i="15"/>
  <c r="G223" i="15"/>
  <c r="G147" i="15"/>
  <c r="G117" i="15"/>
  <c r="G62" i="15"/>
  <c r="G193" i="15"/>
  <c r="G45" i="15"/>
  <c r="G47" i="15"/>
  <c r="G148" i="15"/>
  <c r="G145" i="15"/>
  <c r="G139" i="15"/>
  <c r="G90" i="15"/>
  <c r="G30" i="15"/>
  <c r="G92" i="15"/>
  <c r="G91" i="15"/>
  <c r="G129" i="15"/>
  <c r="G262" i="17"/>
  <c r="G261" i="17"/>
  <c r="G257" i="17"/>
  <c r="G254" i="17"/>
  <c r="G253" i="17"/>
  <c r="G246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6" i="17"/>
  <c r="G195" i="17"/>
  <c r="G194" i="17"/>
  <c r="G192" i="17"/>
  <c r="G143" i="17"/>
  <c r="G142" i="17"/>
  <c r="G141" i="17"/>
  <c r="G138" i="17"/>
  <c r="G137" i="17"/>
  <c r="G136" i="17"/>
  <c r="G133" i="17"/>
  <c r="G132" i="17"/>
  <c r="G131" i="17"/>
  <c r="G127" i="17"/>
  <c r="G122" i="17"/>
  <c r="G121" i="17"/>
  <c r="G116" i="17"/>
  <c r="G115" i="17"/>
  <c r="G114" i="17"/>
  <c r="G110" i="17"/>
  <c r="G109" i="17"/>
  <c r="G108" i="17"/>
  <c r="G107" i="17"/>
  <c r="G104" i="17"/>
  <c r="G103" i="17"/>
  <c r="G102" i="17"/>
  <c r="G101" i="17"/>
  <c r="G98" i="17"/>
  <c r="G87" i="17"/>
  <c r="G86" i="17"/>
  <c r="G85" i="17"/>
  <c r="G81" i="17"/>
  <c r="G79" i="17"/>
  <c r="G75" i="17"/>
  <c r="G74" i="17"/>
  <c r="G69" i="17"/>
  <c r="G68" i="17"/>
  <c r="G67" i="17"/>
  <c r="G63" i="17"/>
  <c r="G61" i="17"/>
  <c r="G56" i="17"/>
  <c r="G55" i="17"/>
  <c r="G54" i="17"/>
  <c r="G52" i="17"/>
  <c r="G51" i="17"/>
  <c r="G50" i="17"/>
  <c r="G49" i="17"/>
  <c r="G44" i="17"/>
  <c r="G38" i="16"/>
  <c r="G29" i="17"/>
  <c r="G20" i="17"/>
  <c r="G19" i="17"/>
  <c r="G18" i="17"/>
  <c r="G17" i="17"/>
  <c r="G14" i="17"/>
  <c r="G13" i="17"/>
  <c r="G12" i="17"/>
  <c r="G230" i="15" l="1"/>
  <c r="G243" i="15" s="1"/>
  <c r="G118" i="15"/>
  <c r="G119" i="15" s="1"/>
  <c r="G251" i="15"/>
  <c r="G250" i="15"/>
  <c r="G217" i="15"/>
  <c r="G83" i="16"/>
  <c r="G82" i="16"/>
  <c r="G258" i="16"/>
  <c r="G89" i="16"/>
  <c r="G88" i="16"/>
  <c r="G32" i="16"/>
  <c r="G34" i="16"/>
  <c r="G40" i="16"/>
  <c r="G76" i="16"/>
  <c r="G77" i="16" s="1"/>
  <c r="G70" i="16"/>
  <c r="G71" i="16" s="1"/>
  <c r="G111" i="17"/>
  <c r="G134" i="17"/>
  <c r="G22" i="15"/>
  <c r="G216" i="17"/>
  <c r="G193" i="17"/>
  <c r="G242" i="17"/>
  <c r="G223" i="17"/>
  <c r="G139" i="17"/>
  <c r="G263" i="17"/>
  <c r="G105" i="17"/>
  <c r="G123" i="17"/>
  <c r="G88" i="15"/>
  <c r="G126" i="17"/>
  <c r="G80" i="17"/>
  <c r="G92" i="17" s="1"/>
  <c r="G245" i="17"/>
  <c r="G11" i="17"/>
  <c r="G82" i="15"/>
  <c r="G21" i="17"/>
  <c r="G93" i="17"/>
  <c r="G88" i="17"/>
  <c r="G113" i="17"/>
  <c r="G144" i="17"/>
  <c r="G210" i="17"/>
  <c r="G128" i="17"/>
  <c r="G91" i="17"/>
  <c r="G204" i="17"/>
  <c r="G229" i="17"/>
  <c r="G147" i="17"/>
  <c r="G236" i="17"/>
  <c r="G149" i="15"/>
  <c r="G76" i="17"/>
  <c r="G76" i="15"/>
  <c r="G70" i="17"/>
  <c r="G70" i="15"/>
  <c r="G9" i="17"/>
  <c r="G32" i="15"/>
  <c r="G34" i="15"/>
  <c r="G40" i="15"/>
  <c r="G38" i="15"/>
  <c r="G94" i="15"/>
  <c r="G259" i="16" l="1"/>
  <c r="G256" i="17"/>
  <c r="G258" i="17" s="1"/>
  <c r="G95" i="15"/>
  <c r="G94" i="17"/>
  <c r="G95" i="17" s="1"/>
  <c r="G71" i="17"/>
  <c r="G82" i="17"/>
  <c r="G247" i="17"/>
  <c r="G77" i="15"/>
  <c r="G117" i="17"/>
  <c r="G83" i="15"/>
  <c r="G148" i="17"/>
  <c r="G89" i="15"/>
  <c r="G15" i="17"/>
  <c r="G22" i="17" s="1"/>
  <c r="G71" i="15"/>
  <c r="G230" i="17"/>
  <c r="G24" i="15"/>
  <c r="G251" i="17"/>
  <c r="G250" i="17"/>
  <c r="G146" i="17"/>
  <c r="G129" i="17"/>
  <c r="G217" i="17"/>
  <c r="G77" i="17"/>
  <c r="G256" i="15"/>
  <c r="G46" i="17"/>
  <c r="G47" i="17" s="1"/>
  <c r="G62" i="17"/>
  <c r="G30" i="17"/>
  <c r="G45" i="17"/>
  <c r="G24" i="17" l="1"/>
  <c r="G25" i="15"/>
  <c r="G83" i="17"/>
  <c r="G99" i="17"/>
  <c r="G243" i="17"/>
  <c r="G118" i="17"/>
  <c r="G255" i="17"/>
  <c r="G149" i="17"/>
  <c r="G258" i="15"/>
  <c r="G119" i="17" l="1"/>
  <c r="G259" i="17"/>
  <c r="G25" i="17"/>
  <c r="G255" i="15"/>
  <c r="G259" i="15" l="1"/>
  <c r="F187" i="14" l="1"/>
  <c r="E187" i="14"/>
  <c r="D187" i="14"/>
  <c r="F186" i="14"/>
  <c r="E186" i="14"/>
  <c r="D186" i="14"/>
  <c r="H186" i="14" s="1"/>
  <c r="F185" i="14"/>
  <c r="E185" i="14"/>
  <c r="D185" i="14"/>
  <c r="F184" i="14"/>
  <c r="E184" i="14"/>
  <c r="D184" i="14"/>
  <c r="H184" i="14" s="1"/>
  <c r="F52" i="14"/>
  <c r="E52" i="14"/>
  <c r="D52" i="14"/>
  <c r="H187" i="14" l="1"/>
  <c r="H185" i="14"/>
  <c r="H52" i="14"/>
  <c r="F192" i="16"/>
  <c r="E192" i="16"/>
  <c r="D192" i="16"/>
  <c r="F191" i="16"/>
  <c r="E191" i="16"/>
  <c r="D191" i="16"/>
  <c r="F190" i="16"/>
  <c r="E190" i="16"/>
  <c r="D190" i="16"/>
  <c r="F189" i="16"/>
  <c r="E189" i="16"/>
  <c r="D189" i="16"/>
  <c r="F187" i="16"/>
  <c r="E187" i="16"/>
  <c r="D187" i="16"/>
  <c r="H187" i="16" s="1"/>
  <c r="F186" i="16"/>
  <c r="E186" i="16"/>
  <c r="D186" i="16"/>
  <c r="F185" i="16"/>
  <c r="E185" i="16"/>
  <c r="D185" i="16"/>
  <c r="F184" i="16"/>
  <c r="E184" i="16"/>
  <c r="D184" i="16"/>
  <c r="F187" i="15"/>
  <c r="E187" i="15"/>
  <c r="D187" i="15"/>
  <c r="F186" i="15"/>
  <c r="E186" i="15"/>
  <c r="D186" i="15"/>
  <c r="F185" i="15"/>
  <c r="E185" i="15"/>
  <c r="D185" i="15"/>
  <c r="F184" i="15"/>
  <c r="E184" i="15"/>
  <c r="D184" i="15"/>
  <c r="F187" i="13"/>
  <c r="E187" i="13"/>
  <c r="D187" i="13"/>
  <c r="F186" i="13"/>
  <c r="E186" i="13"/>
  <c r="D186" i="13"/>
  <c r="F185" i="13"/>
  <c r="E185" i="13"/>
  <c r="D185" i="13"/>
  <c r="F184" i="13"/>
  <c r="E184" i="13"/>
  <c r="D184" i="13"/>
  <c r="H187" i="13" l="1"/>
  <c r="H189" i="16"/>
  <c r="H185" i="13"/>
  <c r="H186" i="13"/>
  <c r="H184" i="13"/>
  <c r="H186" i="15"/>
  <c r="H191" i="16"/>
  <c r="H185" i="16"/>
  <c r="H187" i="15"/>
  <c r="H192" i="16"/>
  <c r="H184" i="16"/>
  <c r="H184" i="15"/>
  <c r="H186" i="16"/>
  <c r="H190" i="16"/>
  <c r="H185" i="15"/>
  <c r="D187" i="17" l="1"/>
  <c r="H187" i="17" s="1"/>
  <c r="D186" i="17"/>
  <c r="H186" i="17" s="1"/>
  <c r="D185" i="17"/>
  <c r="H185" i="17" s="1"/>
  <c r="D184" i="17"/>
  <c r="H184" i="17" s="1"/>
  <c r="D246" i="16" l="1"/>
  <c r="E246" i="16"/>
  <c r="F246" i="16"/>
  <c r="F245" i="16"/>
  <c r="E245" i="16"/>
  <c r="D245" i="16"/>
  <c r="H246" i="16" l="1"/>
  <c r="H245" i="16"/>
  <c r="H247" i="16" l="1"/>
  <c r="F143" i="16"/>
  <c r="E143" i="16"/>
  <c r="D143" i="16"/>
  <c r="F142" i="16"/>
  <c r="E142" i="16"/>
  <c r="D142" i="16"/>
  <c r="F141" i="16"/>
  <c r="E141" i="16"/>
  <c r="D141" i="16"/>
  <c r="F140" i="16"/>
  <c r="E140" i="16"/>
  <c r="D140" i="16"/>
  <c r="H140" i="16" s="1"/>
  <c r="F138" i="16"/>
  <c r="E138" i="16"/>
  <c r="D138" i="16"/>
  <c r="F137" i="16"/>
  <c r="E137" i="16"/>
  <c r="D137" i="16"/>
  <c r="F136" i="16"/>
  <c r="E136" i="16"/>
  <c r="D136" i="16"/>
  <c r="F135" i="16"/>
  <c r="E135" i="16"/>
  <c r="D135" i="16"/>
  <c r="H135" i="16" s="1"/>
  <c r="F133" i="16"/>
  <c r="E133" i="16"/>
  <c r="D133" i="16"/>
  <c r="F132" i="16"/>
  <c r="E132" i="16"/>
  <c r="D132" i="16"/>
  <c r="F131" i="16"/>
  <c r="E131" i="16"/>
  <c r="D131" i="16"/>
  <c r="F130" i="16"/>
  <c r="E130" i="16"/>
  <c r="D130" i="16"/>
  <c r="H130" i="16" s="1"/>
  <c r="F128" i="16"/>
  <c r="E128" i="16"/>
  <c r="D128" i="16"/>
  <c r="F127" i="16"/>
  <c r="E127" i="16"/>
  <c r="D127" i="16"/>
  <c r="F126" i="16"/>
  <c r="E126" i="16"/>
  <c r="D126" i="16"/>
  <c r="F125" i="16"/>
  <c r="E125" i="16"/>
  <c r="D125" i="16"/>
  <c r="H125" i="16" s="1"/>
  <c r="F87" i="16"/>
  <c r="E87" i="16"/>
  <c r="D87" i="16"/>
  <c r="F86" i="16"/>
  <c r="E86" i="16"/>
  <c r="D86" i="16"/>
  <c r="F85" i="16"/>
  <c r="E85" i="16"/>
  <c r="D85" i="16"/>
  <c r="H85" i="16" s="1"/>
  <c r="F84" i="16"/>
  <c r="E84" i="16"/>
  <c r="D84" i="16"/>
  <c r="F81" i="16"/>
  <c r="E81" i="16"/>
  <c r="D81" i="16"/>
  <c r="F80" i="16"/>
  <c r="E80" i="16"/>
  <c r="D80" i="16"/>
  <c r="H80" i="16" s="1"/>
  <c r="F79" i="16"/>
  <c r="E79" i="16"/>
  <c r="D79" i="16"/>
  <c r="F78" i="16"/>
  <c r="E78" i="16"/>
  <c r="D78" i="16"/>
  <c r="F75" i="16"/>
  <c r="E75" i="16"/>
  <c r="D75" i="16"/>
  <c r="F74" i="16"/>
  <c r="E74" i="16"/>
  <c r="D74" i="16"/>
  <c r="F73" i="16"/>
  <c r="E73" i="16"/>
  <c r="D73" i="16"/>
  <c r="F72" i="16"/>
  <c r="E72" i="16"/>
  <c r="D72" i="16"/>
  <c r="F66" i="16"/>
  <c r="E66" i="16"/>
  <c r="D66" i="16"/>
  <c r="E84" i="17"/>
  <c r="E78" i="17"/>
  <c r="E72" i="17"/>
  <c r="E66" i="17"/>
  <c r="D84" i="17"/>
  <c r="D78" i="17"/>
  <c r="D72" i="17"/>
  <c r="D66" i="17"/>
  <c r="H128" i="16" l="1"/>
  <c r="H133" i="16"/>
  <c r="H138" i="16"/>
  <c r="H143" i="16"/>
  <c r="H132" i="16"/>
  <c r="H78" i="16"/>
  <c r="H126" i="16"/>
  <c r="H136" i="16"/>
  <c r="H75" i="16"/>
  <c r="H74" i="16"/>
  <c r="H86" i="16"/>
  <c r="H79" i="16"/>
  <c r="H137" i="16"/>
  <c r="H87" i="16"/>
  <c r="H73" i="16"/>
  <c r="H66" i="16"/>
  <c r="H81" i="16"/>
  <c r="H127" i="16"/>
  <c r="H72" i="16"/>
  <c r="H84" i="16"/>
  <c r="H131" i="16"/>
  <c r="H134" i="16" s="1"/>
  <c r="H142" i="16"/>
  <c r="H141" i="16"/>
  <c r="H145" i="16"/>
  <c r="D87" i="17"/>
  <c r="E88" i="16"/>
  <c r="E89" i="16" s="1"/>
  <c r="F76" i="16"/>
  <c r="F77" i="16" s="1"/>
  <c r="F88" i="16"/>
  <c r="F89" i="16" s="1"/>
  <c r="E90" i="16"/>
  <c r="F144" i="16"/>
  <c r="D76" i="16"/>
  <c r="D82" i="16"/>
  <c r="E144" i="16"/>
  <c r="E76" i="16"/>
  <c r="E77" i="16" s="1"/>
  <c r="E82" i="16"/>
  <c r="E83" i="16" s="1"/>
  <c r="D88" i="16"/>
  <c r="F82" i="16"/>
  <c r="F83" i="16" s="1"/>
  <c r="F90" i="16"/>
  <c r="D90" i="16"/>
  <c r="H148" i="16" l="1"/>
  <c r="H139" i="16"/>
  <c r="H129" i="16"/>
  <c r="H90" i="16"/>
  <c r="H144" i="16"/>
  <c r="H147" i="16"/>
  <c r="H146" i="16"/>
  <c r="D89" i="16"/>
  <c r="H88" i="16"/>
  <c r="H89" i="16" s="1"/>
  <c r="D77" i="16"/>
  <c r="H76" i="16"/>
  <c r="H77" i="16" s="1"/>
  <c r="D83" i="16"/>
  <c r="H82" i="16"/>
  <c r="H83" i="16" s="1"/>
  <c r="F122" i="16"/>
  <c r="E122" i="16"/>
  <c r="D122" i="16"/>
  <c r="F121" i="16"/>
  <c r="E121" i="16"/>
  <c r="D121" i="16"/>
  <c r="F116" i="16"/>
  <c r="E116" i="16"/>
  <c r="D116" i="16"/>
  <c r="F115" i="16"/>
  <c r="E115" i="16"/>
  <c r="D115" i="16"/>
  <c r="F114" i="16"/>
  <c r="E114" i="16"/>
  <c r="D114" i="16"/>
  <c r="F113" i="16"/>
  <c r="E113" i="16"/>
  <c r="D113" i="16"/>
  <c r="F110" i="16"/>
  <c r="E110" i="16"/>
  <c r="D110" i="16"/>
  <c r="F109" i="16"/>
  <c r="E109" i="16"/>
  <c r="D109" i="16"/>
  <c r="F108" i="16"/>
  <c r="E108" i="16"/>
  <c r="D108" i="16"/>
  <c r="F107" i="16"/>
  <c r="E107" i="16"/>
  <c r="D107" i="16"/>
  <c r="F102" i="16"/>
  <c r="F103" i="16"/>
  <c r="F104" i="16"/>
  <c r="E102" i="16"/>
  <c r="E103" i="16"/>
  <c r="E104" i="16"/>
  <c r="D102" i="16"/>
  <c r="D103" i="16"/>
  <c r="D104" i="16"/>
  <c r="F101" i="16"/>
  <c r="E101" i="16"/>
  <c r="D101" i="16"/>
  <c r="F98" i="16"/>
  <c r="E98" i="16"/>
  <c r="D98" i="16"/>
  <c r="D144" i="16"/>
  <c r="F139" i="16"/>
  <c r="E139" i="16"/>
  <c r="D139" i="16"/>
  <c r="F134" i="16"/>
  <c r="E134" i="16"/>
  <c r="D134" i="16"/>
  <c r="F148" i="16"/>
  <c r="E148" i="16"/>
  <c r="D148" i="16"/>
  <c r="F147" i="16"/>
  <c r="E147" i="16"/>
  <c r="D147" i="16"/>
  <c r="F146" i="16"/>
  <c r="E146" i="16"/>
  <c r="D146" i="16"/>
  <c r="F145" i="16"/>
  <c r="E145" i="16"/>
  <c r="D145" i="16"/>
  <c r="F257" i="16"/>
  <c r="E257" i="16"/>
  <c r="D257" i="16"/>
  <c r="F254" i="16"/>
  <c r="E254" i="16"/>
  <c r="D254" i="16"/>
  <c r="F253" i="16"/>
  <c r="E253" i="16"/>
  <c r="D253" i="16"/>
  <c r="F262" i="16"/>
  <c r="E262" i="16"/>
  <c r="D262" i="16"/>
  <c r="F261" i="16"/>
  <c r="E261" i="16"/>
  <c r="D261" i="16"/>
  <c r="F241" i="16"/>
  <c r="E241" i="16"/>
  <c r="D241" i="16"/>
  <c r="F240" i="16"/>
  <c r="E240" i="16"/>
  <c r="D240" i="16"/>
  <c r="F239" i="16"/>
  <c r="E239" i="16"/>
  <c r="D239" i="16"/>
  <c r="F238" i="16"/>
  <c r="E238" i="16"/>
  <c r="D238" i="16"/>
  <c r="F235" i="16"/>
  <c r="E235" i="16"/>
  <c r="D235" i="16"/>
  <c r="F234" i="16"/>
  <c r="E234" i="16"/>
  <c r="D234" i="16"/>
  <c r="F233" i="16"/>
  <c r="E233" i="16"/>
  <c r="D233" i="16"/>
  <c r="F232" i="16"/>
  <c r="E232" i="16"/>
  <c r="D232" i="16"/>
  <c r="F228" i="16"/>
  <c r="E228" i="16"/>
  <c r="D228" i="16"/>
  <c r="F227" i="16"/>
  <c r="E227" i="16"/>
  <c r="D227" i="16"/>
  <c r="F226" i="16"/>
  <c r="E226" i="16"/>
  <c r="D226" i="16"/>
  <c r="F225" i="16"/>
  <c r="E225" i="16"/>
  <c r="D225" i="16"/>
  <c r="F222" i="16"/>
  <c r="E222" i="16"/>
  <c r="D222" i="16"/>
  <c r="F221" i="16"/>
  <c r="E221" i="16"/>
  <c r="D221" i="16"/>
  <c r="F220" i="16"/>
  <c r="E220" i="16"/>
  <c r="D220" i="16"/>
  <c r="F219" i="16"/>
  <c r="E219" i="16"/>
  <c r="D219" i="16"/>
  <c r="F215" i="16"/>
  <c r="E215" i="16"/>
  <c r="D215" i="16"/>
  <c r="F214" i="16"/>
  <c r="E214" i="16"/>
  <c r="D214" i="16"/>
  <c r="F213" i="16"/>
  <c r="E213" i="16"/>
  <c r="D213" i="16"/>
  <c r="F212" i="16"/>
  <c r="E212" i="16"/>
  <c r="D212" i="16"/>
  <c r="F209" i="16"/>
  <c r="E209" i="16"/>
  <c r="F208" i="16"/>
  <c r="E208" i="16"/>
  <c r="D208" i="16"/>
  <c r="F207" i="16"/>
  <c r="E207" i="16"/>
  <c r="D207" i="16"/>
  <c r="F206" i="16"/>
  <c r="E206" i="16"/>
  <c r="D206" i="16"/>
  <c r="F203" i="16"/>
  <c r="E203" i="16"/>
  <c r="D203" i="16"/>
  <c r="F202" i="16"/>
  <c r="E202" i="16"/>
  <c r="D202" i="16"/>
  <c r="F201" i="16"/>
  <c r="E201" i="16"/>
  <c r="D201" i="16"/>
  <c r="F200" i="16"/>
  <c r="E200" i="16"/>
  <c r="D200" i="16"/>
  <c r="F199" i="16"/>
  <c r="E199" i="16"/>
  <c r="D199" i="16"/>
  <c r="F197" i="16"/>
  <c r="E197" i="16"/>
  <c r="D197" i="16"/>
  <c r="F196" i="16"/>
  <c r="E196" i="16"/>
  <c r="D196" i="16"/>
  <c r="F195" i="16"/>
  <c r="E195" i="16"/>
  <c r="D195" i="16"/>
  <c r="F194" i="16"/>
  <c r="E194" i="16"/>
  <c r="D194" i="16"/>
  <c r="F182" i="16"/>
  <c r="E182" i="16"/>
  <c r="D182" i="16"/>
  <c r="F181" i="16"/>
  <c r="E181" i="16"/>
  <c r="D181" i="16"/>
  <c r="F180" i="16"/>
  <c r="E180" i="16"/>
  <c r="D180" i="16"/>
  <c r="F179" i="16"/>
  <c r="E179" i="16"/>
  <c r="D179" i="16"/>
  <c r="F178" i="16"/>
  <c r="E178" i="16"/>
  <c r="D178" i="16"/>
  <c r="F177" i="16"/>
  <c r="E177" i="16"/>
  <c r="D177" i="16"/>
  <c r="F175" i="16"/>
  <c r="E175" i="16"/>
  <c r="D175" i="16"/>
  <c r="F174" i="16"/>
  <c r="E174" i="16"/>
  <c r="D174" i="16"/>
  <c r="F173" i="16"/>
  <c r="E173" i="16"/>
  <c r="D173" i="16"/>
  <c r="F172" i="16"/>
  <c r="E172" i="16"/>
  <c r="D172" i="16"/>
  <c r="F171" i="16"/>
  <c r="E171" i="16"/>
  <c r="D171" i="16"/>
  <c r="F170" i="16"/>
  <c r="E170" i="16"/>
  <c r="D170" i="16"/>
  <c r="F169" i="16"/>
  <c r="E169" i="16"/>
  <c r="D169" i="16"/>
  <c r="F168" i="16"/>
  <c r="E168" i="16"/>
  <c r="D168" i="16"/>
  <c r="F167" i="16"/>
  <c r="E167" i="16"/>
  <c r="D167" i="16"/>
  <c r="F165" i="16"/>
  <c r="E165" i="16"/>
  <c r="D165" i="16"/>
  <c r="F164" i="16"/>
  <c r="E164" i="16"/>
  <c r="D164" i="16"/>
  <c r="F163" i="16"/>
  <c r="E163" i="16"/>
  <c r="D163" i="16"/>
  <c r="F162" i="16"/>
  <c r="E162" i="16"/>
  <c r="D162" i="16"/>
  <c r="F161" i="16"/>
  <c r="E161" i="16"/>
  <c r="D161" i="16"/>
  <c r="F160" i="16"/>
  <c r="E160" i="16"/>
  <c r="D160" i="16"/>
  <c r="F159" i="16"/>
  <c r="E159" i="16"/>
  <c r="D159" i="16"/>
  <c r="F158" i="16"/>
  <c r="E158" i="16"/>
  <c r="D158" i="16"/>
  <c r="F157" i="16"/>
  <c r="E157" i="16"/>
  <c r="D157" i="16"/>
  <c r="F156" i="16"/>
  <c r="E156" i="16"/>
  <c r="D156" i="16"/>
  <c r="F155" i="16"/>
  <c r="E155" i="16"/>
  <c r="D155" i="16"/>
  <c r="F154" i="16"/>
  <c r="E154" i="16"/>
  <c r="D154" i="16"/>
  <c r="F153" i="16"/>
  <c r="E153" i="16"/>
  <c r="D153" i="16"/>
  <c r="F69" i="16"/>
  <c r="F93" i="16" s="1"/>
  <c r="E69" i="16"/>
  <c r="E93" i="16" s="1"/>
  <c r="D69" i="16"/>
  <c r="F68" i="16"/>
  <c r="F92" i="16" s="1"/>
  <c r="E68" i="16"/>
  <c r="E92" i="16" s="1"/>
  <c r="D68" i="16"/>
  <c r="F67" i="16"/>
  <c r="F91" i="16" s="1"/>
  <c r="E67" i="16"/>
  <c r="E91" i="16" s="1"/>
  <c r="D67" i="16"/>
  <c r="F56" i="16"/>
  <c r="E56" i="16"/>
  <c r="D56" i="16"/>
  <c r="F55" i="16"/>
  <c r="E55" i="16"/>
  <c r="D55" i="16"/>
  <c r="F54" i="16"/>
  <c r="E54" i="16"/>
  <c r="D54" i="16"/>
  <c r="F51" i="16"/>
  <c r="E51" i="16"/>
  <c r="D51" i="16"/>
  <c r="F50" i="16"/>
  <c r="E50" i="16"/>
  <c r="D50" i="16"/>
  <c r="F49" i="16"/>
  <c r="E49" i="16"/>
  <c r="D49" i="16"/>
  <c r="F44" i="16"/>
  <c r="E44" i="16"/>
  <c r="D44" i="16"/>
  <c r="F35" i="16"/>
  <c r="E35" i="16"/>
  <c r="D35" i="16"/>
  <c r="F33" i="16"/>
  <c r="E33" i="16"/>
  <c r="D33" i="16"/>
  <c r="F31" i="16"/>
  <c r="E31" i="16"/>
  <c r="D31" i="16"/>
  <c r="F29" i="16"/>
  <c r="E29" i="16"/>
  <c r="D29" i="16"/>
  <c r="F20" i="16"/>
  <c r="E20" i="16"/>
  <c r="F19" i="16"/>
  <c r="E19" i="16"/>
  <c r="F18" i="16"/>
  <c r="E18" i="16"/>
  <c r="F17" i="16"/>
  <c r="E17" i="16"/>
  <c r="F14" i="16"/>
  <c r="E14" i="16"/>
  <c r="F13" i="16"/>
  <c r="E13" i="16"/>
  <c r="F12" i="16"/>
  <c r="E12" i="16"/>
  <c r="F11" i="16"/>
  <c r="E11" i="16"/>
  <c r="F9" i="16"/>
  <c r="E9" i="16"/>
  <c r="H115" i="16" l="1"/>
  <c r="H162" i="16"/>
  <c r="H180" i="16"/>
  <c r="H154" i="16"/>
  <c r="H51" i="16"/>
  <c r="H171" i="16"/>
  <c r="H149" i="16"/>
  <c r="H102" i="16"/>
  <c r="H200" i="16"/>
  <c r="H212" i="16"/>
  <c r="H257" i="16"/>
  <c r="H108" i="16"/>
  <c r="H33" i="16"/>
  <c r="H56" i="16"/>
  <c r="H101" i="16"/>
  <c r="H113" i="16"/>
  <c r="H207" i="16"/>
  <c r="H164" i="16"/>
  <c r="H241" i="16"/>
  <c r="H233" i="16"/>
  <c r="H29" i="16"/>
  <c r="H31" i="16"/>
  <c r="H156" i="16"/>
  <c r="H182" i="16"/>
  <c r="H202" i="16"/>
  <c r="H214" i="16"/>
  <c r="H227" i="16"/>
  <c r="H110" i="16"/>
  <c r="H159" i="16"/>
  <c r="H122" i="16"/>
  <c r="H104" i="16"/>
  <c r="H50" i="16"/>
  <c r="H153" i="16"/>
  <c r="H161" i="16"/>
  <c r="H170" i="16"/>
  <c r="H179" i="16"/>
  <c r="H199" i="16"/>
  <c r="H209" i="16"/>
  <c r="H222" i="16"/>
  <c r="H103" i="16"/>
  <c r="H107" i="16"/>
  <c r="H121" i="16"/>
  <c r="H168" i="16"/>
  <c r="H254" i="16"/>
  <c r="H253" i="16"/>
  <c r="H239" i="16"/>
  <c r="H240" i="16"/>
  <c r="H238" i="16"/>
  <c r="H232" i="16"/>
  <c r="H235" i="16"/>
  <c r="H234" i="16"/>
  <c r="H226" i="16"/>
  <c r="H228" i="16"/>
  <c r="H225" i="16"/>
  <c r="H219" i="16"/>
  <c r="H220" i="16"/>
  <c r="H221" i="16"/>
  <c r="H163" i="16"/>
  <c r="H158" i="16"/>
  <c r="H173" i="16"/>
  <c r="H177" i="16"/>
  <c r="H114" i="16"/>
  <c r="H116" i="16"/>
  <c r="H109" i="16"/>
  <c r="H98" i="16"/>
  <c r="H54" i="16"/>
  <c r="H55" i="16"/>
  <c r="H49" i="16"/>
  <c r="H44" i="16"/>
  <c r="H155" i="16"/>
  <c r="H172" i="16"/>
  <c r="H181" i="16"/>
  <c r="H201" i="16"/>
  <c r="H213" i="16"/>
  <c r="H167" i="16"/>
  <c r="H175" i="16"/>
  <c r="H195" i="16"/>
  <c r="H206" i="16"/>
  <c r="H157" i="16"/>
  <c r="H165" i="16"/>
  <c r="H174" i="16"/>
  <c r="H194" i="16"/>
  <c r="H203" i="16"/>
  <c r="H215" i="16"/>
  <c r="H160" i="16"/>
  <c r="H169" i="16"/>
  <c r="H178" i="16"/>
  <c r="H197" i="16"/>
  <c r="H208" i="16"/>
  <c r="D92" i="16"/>
  <c r="H92" i="16" s="1"/>
  <c r="H68" i="16"/>
  <c r="D91" i="16"/>
  <c r="H91" i="16" s="1"/>
  <c r="H67" i="16"/>
  <c r="D93" i="16"/>
  <c r="H93" i="16" s="1"/>
  <c r="H69" i="16"/>
  <c r="E263" i="16"/>
  <c r="D236" i="16"/>
  <c r="F263" i="16"/>
  <c r="F236" i="16"/>
  <c r="F94" i="16"/>
  <c r="F95" i="16" s="1"/>
  <c r="E236" i="16"/>
  <c r="E94" i="16"/>
  <c r="E95" i="16" s="1"/>
  <c r="D263" i="16"/>
  <c r="D149" i="16"/>
  <c r="E149" i="16"/>
  <c r="F149" i="16"/>
  <c r="F129" i="16"/>
  <c r="D129" i="16"/>
  <c r="E129" i="16"/>
  <c r="H117" i="16" l="1"/>
  <c r="H118" i="16" s="1"/>
  <c r="H119" i="16" s="1"/>
  <c r="H105" i="16"/>
  <c r="H123" i="16"/>
  <c r="H236" i="16"/>
  <c r="H111" i="16"/>
  <c r="H193" i="16"/>
  <c r="D94" i="16"/>
  <c r="D95" i="16" s="1"/>
  <c r="P80" i="11"/>
  <c r="P75" i="11"/>
  <c r="P86" i="11"/>
  <c r="H94" i="16" l="1"/>
  <c r="H95" i="16" s="1"/>
  <c r="N88" i="11" l="1"/>
  <c r="F256" i="16" l="1"/>
  <c r="F46" i="16"/>
  <c r="F255" i="16" l="1"/>
  <c r="N92" i="11"/>
  <c r="N93" i="11"/>
  <c r="E46" i="16"/>
  <c r="E256" i="16" l="1"/>
  <c r="E255" i="16" l="1"/>
  <c r="D46" i="16" l="1"/>
  <c r="H46" i="16" s="1"/>
  <c r="F122" i="15" l="1"/>
  <c r="E122" i="15"/>
  <c r="D122" i="15"/>
  <c r="F121" i="15"/>
  <c r="E121" i="15"/>
  <c r="D121" i="15"/>
  <c r="F116" i="15"/>
  <c r="E116" i="15"/>
  <c r="D116" i="15"/>
  <c r="F115" i="15"/>
  <c r="E115" i="15"/>
  <c r="D115" i="15"/>
  <c r="F114" i="15"/>
  <c r="E114" i="15"/>
  <c r="D114" i="15"/>
  <c r="F113" i="15"/>
  <c r="E113" i="15"/>
  <c r="D113" i="15"/>
  <c r="F110" i="15"/>
  <c r="E110" i="15"/>
  <c r="D110" i="15"/>
  <c r="F109" i="15"/>
  <c r="E109" i="15"/>
  <c r="D109" i="15"/>
  <c r="F108" i="15"/>
  <c r="E108" i="15"/>
  <c r="D108" i="15"/>
  <c r="F107" i="15"/>
  <c r="E107" i="15"/>
  <c r="D107" i="15"/>
  <c r="F104" i="15"/>
  <c r="E104" i="15"/>
  <c r="D104" i="15"/>
  <c r="F103" i="15"/>
  <c r="E103" i="15"/>
  <c r="D103" i="15"/>
  <c r="F102" i="15"/>
  <c r="E102" i="15"/>
  <c r="D102" i="15"/>
  <c r="F101" i="15"/>
  <c r="E101" i="15"/>
  <c r="D101" i="15"/>
  <c r="F140" i="15"/>
  <c r="E140" i="15"/>
  <c r="D140" i="15"/>
  <c r="F135" i="15"/>
  <c r="E135" i="15"/>
  <c r="D135" i="15"/>
  <c r="F130" i="15"/>
  <c r="E130" i="15"/>
  <c r="D130" i="15"/>
  <c r="F125" i="15"/>
  <c r="E125" i="15"/>
  <c r="D125" i="15"/>
  <c r="F84" i="15"/>
  <c r="E84" i="15"/>
  <c r="D84" i="15"/>
  <c r="F78" i="15"/>
  <c r="E78" i="15"/>
  <c r="D78" i="15"/>
  <c r="F72" i="15"/>
  <c r="E72" i="15"/>
  <c r="D72" i="15"/>
  <c r="F66" i="15"/>
  <c r="E66" i="15"/>
  <c r="D66" i="15"/>
  <c r="H263" i="15"/>
  <c r="F262" i="15"/>
  <c r="E262" i="15"/>
  <c r="D262" i="15"/>
  <c r="F261" i="15"/>
  <c r="E261" i="15"/>
  <c r="D261" i="15"/>
  <c r="F257" i="15"/>
  <c r="E257" i="15"/>
  <c r="D257" i="15"/>
  <c r="F254" i="15"/>
  <c r="E254" i="15"/>
  <c r="D254" i="15"/>
  <c r="F253" i="15"/>
  <c r="E253" i="15"/>
  <c r="D253" i="15"/>
  <c r="F246" i="15"/>
  <c r="E246" i="15"/>
  <c r="D246" i="15"/>
  <c r="F245" i="15"/>
  <c r="E245" i="15"/>
  <c r="D245" i="15"/>
  <c r="F241" i="15"/>
  <c r="E241" i="15"/>
  <c r="D241" i="15"/>
  <c r="F240" i="15"/>
  <c r="E240" i="15"/>
  <c r="D240" i="15"/>
  <c r="F239" i="15"/>
  <c r="E239" i="15"/>
  <c r="D239" i="15"/>
  <c r="F238" i="15"/>
  <c r="E238" i="15"/>
  <c r="D238" i="15"/>
  <c r="F235" i="15"/>
  <c r="E235" i="15"/>
  <c r="D235" i="15"/>
  <c r="F234" i="15"/>
  <c r="E234" i="15"/>
  <c r="D234" i="15"/>
  <c r="F233" i="15"/>
  <c r="E233" i="15"/>
  <c r="D233" i="15"/>
  <c r="F232" i="15"/>
  <c r="E232" i="15"/>
  <c r="D232" i="15"/>
  <c r="F228" i="15"/>
  <c r="E228" i="15"/>
  <c r="D228" i="15"/>
  <c r="F227" i="15"/>
  <c r="E227" i="15"/>
  <c r="D227" i="15"/>
  <c r="F226" i="15"/>
  <c r="E226" i="15"/>
  <c r="D226" i="15"/>
  <c r="F225" i="15"/>
  <c r="E225" i="15"/>
  <c r="D225" i="15"/>
  <c r="F222" i="15"/>
  <c r="E222" i="15"/>
  <c r="D222" i="15"/>
  <c r="E221" i="15"/>
  <c r="D221" i="15"/>
  <c r="F220" i="15"/>
  <c r="E220" i="15"/>
  <c r="D220" i="15"/>
  <c r="F219" i="15"/>
  <c r="E219" i="15"/>
  <c r="D219" i="15"/>
  <c r="F215" i="15"/>
  <c r="E215" i="15"/>
  <c r="D215" i="15"/>
  <c r="F214" i="15"/>
  <c r="E214" i="15"/>
  <c r="D214" i="15"/>
  <c r="F213" i="15"/>
  <c r="E213" i="15"/>
  <c r="D213" i="15"/>
  <c r="F212" i="15"/>
  <c r="E212" i="15"/>
  <c r="D212" i="15"/>
  <c r="F209" i="15"/>
  <c r="E209" i="15"/>
  <c r="D209" i="15"/>
  <c r="F208" i="15"/>
  <c r="E208" i="15"/>
  <c r="D208" i="15"/>
  <c r="F207" i="15"/>
  <c r="E207" i="15"/>
  <c r="D207" i="15"/>
  <c r="F206" i="15"/>
  <c r="E206" i="15"/>
  <c r="D206" i="15"/>
  <c r="F203" i="15"/>
  <c r="E203" i="15"/>
  <c r="D203" i="15"/>
  <c r="F202" i="15"/>
  <c r="E202" i="15"/>
  <c r="D202" i="15"/>
  <c r="F201" i="15"/>
  <c r="E201" i="15"/>
  <c r="D201" i="15"/>
  <c r="F200" i="15"/>
  <c r="E200" i="15"/>
  <c r="D200" i="15"/>
  <c r="F199" i="15"/>
  <c r="E199" i="15"/>
  <c r="D199" i="15"/>
  <c r="F197" i="15"/>
  <c r="E197" i="15"/>
  <c r="D197" i="15"/>
  <c r="F196" i="15"/>
  <c r="E196" i="15"/>
  <c r="D196" i="15"/>
  <c r="F195" i="15"/>
  <c r="E195" i="15"/>
  <c r="D195" i="15"/>
  <c r="F194" i="15"/>
  <c r="E194" i="15"/>
  <c r="D194" i="15"/>
  <c r="F192" i="15"/>
  <c r="E192" i="15"/>
  <c r="D192" i="15"/>
  <c r="F191" i="15"/>
  <c r="E191" i="15"/>
  <c r="D191" i="15"/>
  <c r="F190" i="15"/>
  <c r="E190" i="15"/>
  <c r="D190" i="15"/>
  <c r="F189" i="15"/>
  <c r="E189" i="15"/>
  <c r="D189" i="15"/>
  <c r="F182" i="15"/>
  <c r="E182" i="15"/>
  <c r="D182" i="15"/>
  <c r="F181" i="15"/>
  <c r="E181" i="15"/>
  <c r="D181" i="15"/>
  <c r="F180" i="15"/>
  <c r="E180" i="15"/>
  <c r="D180" i="15"/>
  <c r="F179" i="15"/>
  <c r="E179" i="15"/>
  <c r="D179" i="15"/>
  <c r="F178" i="15"/>
  <c r="E178" i="15"/>
  <c r="D178" i="15"/>
  <c r="H178" i="15" s="1"/>
  <c r="F177" i="15"/>
  <c r="E177" i="15"/>
  <c r="D177" i="15"/>
  <c r="F175" i="15"/>
  <c r="E175" i="15"/>
  <c r="D175" i="15"/>
  <c r="F174" i="15"/>
  <c r="E174" i="15"/>
  <c r="D174" i="15"/>
  <c r="F173" i="15"/>
  <c r="E173" i="15"/>
  <c r="D173" i="15"/>
  <c r="F172" i="15"/>
  <c r="E172" i="15"/>
  <c r="D172" i="15"/>
  <c r="F171" i="15"/>
  <c r="E171" i="15"/>
  <c r="D171" i="15"/>
  <c r="F170" i="15"/>
  <c r="E170" i="15"/>
  <c r="D170" i="15"/>
  <c r="F169" i="15"/>
  <c r="E169" i="15"/>
  <c r="D169" i="15"/>
  <c r="H169" i="15" s="1"/>
  <c r="F168" i="15"/>
  <c r="E168" i="15"/>
  <c r="D168" i="15"/>
  <c r="F167" i="15"/>
  <c r="E167" i="15"/>
  <c r="D167" i="15"/>
  <c r="F165" i="15"/>
  <c r="E165" i="15"/>
  <c r="D165" i="15"/>
  <c r="F164" i="15"/>
  <c r="E164" i="15"/>
  <c r="D164" i="15"/>
  <c r="F163" i="15"/>
  <c r="E163" i="15"/>
  <c r="D163" i="15"/>
  <c r="F162" i="15"/>
  <c r="E162" i="15"/>
  <c r="D162" i="15"/>
  <c r="F161" i="15"/>
  <c r="E161" i="15"/>
  <c r="D161" i="15"/>
  <c r="F160" i="15"/>
  <c r="E160" i="15"/>
  <c r="D160" i="15"/>
  <c r="H160" i="15" s="1"/>
  <c r="F159" i="15"/>
  <c r="E159" i="15"/>
  <c r="D159" i="15"/>
  <c r="F158" i="15"/>
  <c r="E158" i="15"/>
  <c r="D158" i="15"/>
  <c r="F157" i="15"/>
  <c r="E157" i="15"/>
  <c r="D157" i="15"/>
  <c r="F156" i="15"/>
  <c r="E156" i="15"/>
  <c r="D156" i="15"/>
  <c r="F155" i="15"/>
  <c r="E155" i="15"/>
  <c r="D155" i="15"/>
  <c r="F154" i="15"/>
  <c r="E154" i="15"/>
  <c r="D154" i="15"/>
  <c r="F153" i="15"/>
  <c r="E153" i="15"/>
  <c r="D153" i="15"/>
  <c r="F143" i="15"/>
  <c r="E143" i="15"/>
  <c r="D143" i="15"/>
  <c r="F142" i="15"/>
  <c r="E142" i="15"/>
  <c r="D142" i="15"/>
  <c r="F141" i="15"/>
  <c r="E141" i="15"/>
  <c r="D141" i="15"/>
  <c r="F138" i="15"/>
  <c r="E138" i="15"/>
  <c r="D138" i="15"/>
  <c r="F137" i="15"/>
  <c r="E137" i="15"/>
  <c r="D137" i="15"/>
  <c r="F136" i="15"/>
  <c r="E136" i="15"/>
  <c r="D136" i="15"/>
  <c r="F133" i="15"/>
  <c r="E133" i="15"/>
  <c r="D133" i="15"/>
  <c r="F132" i="15"/>
  <c r="E132" i="15"/>
  <c r="D132" i="15"/>
  <c r="F131" i="15"/>
  <c r="E131" i="15"/>
  <c r="D131" i="15"/>
  <c r="F128" i="15"/>
  <c r="E128" i="15"/>
  <c r="D128" i="15"/>
  <c r="F127" i="15"/>
  <c r="E127" i="15"/>
  <c r="D127" i="15"/>
  <c r="F126" i="15"/>
  <c r="E126" i="15"/>
  <c r="D126" i="15"/>
  <c r="F98" i="15"/>
  <c r="E98" i="15"/>
  <c r="D98" i="15"/>
  <c r="F87" i="15"/>
  <c r="E87" i="15"/>
  <c r="D87" i="15"/>
  <c r="F86" i="15"/>
  <c r="E86" i="15"/>
  <c r="D86" i="15"/>
  <c r="F85" i="15"/>
  <c r="E85" i="15"/>
  <c r="D85" i="15"/>
  <c r="F81" i="15"/>
  <c r="E81" i="15"/>
  <c r="D81" i="15"/>
  <c r="H81" i="15" s="1"/>
  <c r="F80" i="15"/>
  <c r="E80" i="15"/>
  <c r="D80" i="15"/>
  <c r="F79" i="15"/>
  <c r="E79" i="15"/>
  <c r="D79" i="15"/>
  <c r="F75" i="15"/>
  <c r="E75" i="15"/>
  <c r="D75" i="15"/>
  <c r="F74" i="15"/>
  <c r="E74" i="15"/>
  <c r="D74" i="15"/>
  <c r="F73" i="15"/>
  <c r="E73" i="15"/>
  <c r="D73" i="15"/>
  <c r="F69" i="15"/>
  <c r="E69" i="15"/>
  <c r="D69" i="15"/>
  <c r="F68" i="15"/>
  <c r="E68" i="15"/>
  <c r="D68" i="15"/>
  <c r="F67" i="15"/>
  <c r="E67" i="15"/>
  <c r="D67" i="15"/>
  <c r="F56" i="15"/>
  <c r="E56" i="15"/>
  <c r="D56" i="15"/>
  <c r="F55" i="15"/>
  <c r="E55" i="15"/>
  <c r="D55" i="15"/>
  <c r="F54" i="15"/>
  <c r="E54" i="15"/>
  <c r="D54" i="15"/>
  <c r="F51" i="15"/>
  <c r="E51" i="15"/>
  <c r="D51" i="15"/>
  <c r="F50" i="15"/>
  <c r="E50" i="15"/>
  <c r="D50" i="15"/>
  <c r="F49" i="15"/>
  <c r="E49" i="15"/>
  <c r="D49" i="15"/>
  <c r="H192" i="15" l="1"/>
  <c r="H68" i="15"/>
  <c r="H85" i="15"/>
  <c r="H161" i="15"/>
  <c r="H170" i="15"/>
  <c r="H179" i="15"/>
  <c r="H234" i="15"/>
  <c r="H66" i="15"/>
  <c r="H101" i="15"/>
  <c r="H113" i="15"/>
  <c r="H241" i="15"/>
  <c r="H108" i="15"/>
  <c r="H122" i="15"/>
  <c r="H84" i="15"/>
  <c r="H79" i="15"/>
  <c r="H74" i="15"/>
  <c r="H80" i="15"/>
  <c r="H202" i="15"/>
  <c r="H173" i="15"/>
  <c r="H182" i="15"/>
  <c r="H208" i="15"/>
  <c r="H177" i="15"/>
  <c r="H191" i="15"/>
  <c r="H257" i="15"/>
  <c r="H103" i="15"/>
  <c r="H115" i="15"/>
  <c r="H239" i="15"/>
  <c r="H228" i="15"/>
  <c r="H225" i="15"/>
  <c r="H213" i="15"/>
  <c r="H153" i="15"/>
  <c r="H159" i="15"/>
  <c r="H116" i="15"/>
  <c r="H104" i="15"/>
  <c r="H253" i="15"/>
  <c r="H121" i="15"/>
  <c r="H107" i="15"/>
  <c r="H240" i="15"/>
  <c r="H238" i="15"/>
  <c r="H73" i="15"/>
  <c r="H87" i="15"/>
  <c r="H172" i="15"/>
  <c r="H181" i="15"/>
  <c r="H110" i="15"/>
  <c r="H86" i="15"/>
  <c r="H109" i="15"/>
  <c r="H75" i="15"/>
  <c r="H72" i="15"/>
  <c r="H102" i="15"/>
  <c r="H114" i="15"/>
  <c r="H227" i="15"/>
  <c r="H226" i="15"/>
  <c r="H214" i="15"/>
  <c r="H197" i="15"/>
  <c r="H155" i="15"/>
  <c r="H163" i="15"/>
  <c r="H67" i="15"/>
  <c r="H55" i="15"/>
  <c r="H254" i="15"/>
  <c r="H246" i="15"/>
  <c r="H245" i="15"/>
  <c r="H233" i="15"/>
  <c r="H232" i="15"/>
  <c r="H235" i="15"/>
  <c r="H220" i="15"/>
  <c r="H221" i="15"/>
  <c r="H219" i="15"/>
  <c r="H222" i="15"/>
  <c r="H207" i="15"/>
  <c r="H98" i="15"/>
  <c r="H69" i="15"/>
  <c r="H56" i="15"/>
  <c r="H54" i="15"/>
  <c r="H50" i="15"/>
  <c r="H51" i="15"/>
  <c r="H49" i="15"/>
  <c r="H158" i="15"/>
  <c r="H167" i="15"/>
  <c r="H175" i="15"/>
  <c r="H190" i="15"/>
  <c r="H200" i="15"/>
  <c r="H212" i="15"/>
  <c r="H194" i="15"/>
  <c r="H203" i="15"/>
  <c r="H215" i="15"/>
  <c r="H156" i="15"/>
  <c r="H164" i="15"/>
  <c r="H168" i="15"/>
  <c r="H201" i="15"/>
  <c r="H154" i="15"/>
  <c r="H162" i="15"/>
  <c r="H171" i="15"/>
  <c r="H180" i="15"/>
  <c r="H195" i="15"/>
  <c r="H206" i="15"/>
  <c r="H157" i="15"/>
  <c r="H165" i="15"/>
  <c r="H174" i="15"/>
  <c r="H189" i="15"/>
  <c r="H199" i="15"/>
  <c r="H209" i="15"/>
  <c r="F263" i="15"/>
  <c r="E145" i="15"/>
  <c r="E247" i="15"/>
  <c r="E134" i="15"/>
  <c r="F247" i="15"/>
  <c r="D247" i="15"/>
  <c r="D90" i="15"/>
  <c r="D145" i="15"/>
  <c r="E90" i="15"/>
  <c r="F145" i="15"/>
  <c r="F92" i="15"/>
  <c r="D111" i="15"/>
  <c r="D117" i="15"/>
  <c r="F90" i="15"/>
  <c r="E148" i="15"/>
  <c r="E139" i="15"/>
  <c r="E263" i="15"/>
  <c r="H78" i="15"/>
  <c r="F139" i="15"/>
  <c r="F147" i="15"/>
  <c r="F134" i="15"/>
  <c r="F129" i="15"/>
  <c r="F93" i="15"/>
  <c r="F91" i="15"/>
  <c r="E147" i="15"/>
  <c r="E91" i="15"/>
  <c r="F111" i="15"/>
  <c r="E111" i="15"/>
  <c r="F148" i="15"/>
  <c r="F144" i="15"/>
  <c r="F146" i="15"/>
  <c r="F117" i="15"/>
  <c r="E144" i="15"/>
  <c r="E129" i="15"/>
  <c r="E146" i="15"/>
  <c r="E117" i="15"/>
  <c r="E93" i="15"/>
  <c r="E92" i="15"/>
  <c r="D263" i="15"/>
  <c r="D129" i="15"/>
  <c r="D144" i="15"/>
  <c r="D139" i="15"/>
  <c r="D148" i="15"/>
  <c r="D147" i="15"/>
  <c r="D134" i="15"/>
  <c r="D146" i="15"/>
  <c r="D93" i="15"/>
  <c r="D91" i="15"/>
  <c r="D92" i="15"/>
  <c r="F33" i="15"/>
  <c r="F31" i="15"/>
  <c r="E3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D88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F94" i="15"/>
  <c r="F95" i="15" s="1"/>
  <c r="H46" i="15"/>
  <c r="H88" i="15"/>
  <c r="H89" i="15" s="1"/>
  <c r="H90" i="15"/>
  <c r="H61" i="15"/>
  <c r="H63" i="15"/>
  <c r="H92" i="15"/>
  <c r="H91" i="15"/>
  <c r="H93" i="15"/>
  <c r="H44" i="15"/>
  <c r="H29" i="15"/>
  <c r="D118" i="15"/>
  <c r="F118" i="15"/>
  <c r="E21" i="15"/>
  <c r="F149" i="15"/>
  <c r="E149" i="15"/>
  <c r="H105" i="15"/>
  <c r="E94" i="15"/>
  <c r="E95" i="15" s="1"/>
  <c r="H111" i="15"/>
  <c r="H117" i="15"/>
  <c r="D149" i="15"/>
  <c r="D89" i="15"/>
  <c r="D94" i="15"/>
  <c r="H94" i="15" l="1"/>
  <c r="D95" i="15"/>
  <c r="H95" i="15" l="1"/>
  <c r="F256" i="15" l="1"/>
  <c r="E83" i="15"/>
  <c r="E256" i="15"/>
  <c r="F255" i="15" l="1"/>
  <c r="E255" i="15"/>
  <c r="D256" i="15" l="1"/>
  <c r="H256" i="15" s="1"/>
  <c r="F61" i="13" l="1"/>
  <c r="E61" i="13"/>
  <c r="D61" i="13"/>
  <c r="F122" i="14"/>
  <c r="E122" i="14"/>
  <c r="D122" i="14"/>
  <c r="H122" i="14" s="1"/>
  <c r="F121" i="14"/>
  <c r="E121" i="14"/>
  <c r="D121" i="14"/>
  <c r="H121" i="14" l="1"/>
  <c r="H123" i="14" s="1"/>
  <c r="H61" i="13"/>
  <c r="D255" i="15"/>
  <c r="H255" i="15" s="1"/>
  <c r="P245" i="11" l="1"/>
  <c r="P246" i="11"/>
  <c r="P113" i="11"/>
  <c r="P114" i="11"/>
  <c r="P115" i="11"/>
  <c r="P116" i="11"/>
  <c r="F262" i="13" l="1"/>
  <c r="E262" i="13"/>
  <c r="D262" i="13"/>
  <c r="F261" i="13"/>
  <c r="E261" i="13"/>
  <c r="D261" i="13"/>
  <c r="F257" i="13"/>
  <c r="E257" i="13"/>
  <c r="D257" i="13"/>
  <c r="F254" i="13"/>
  <c r="E254" i="13"/>
  <c r="D254" i="13"/>
  <c r="H254" i="13" s="1"/>
  <c r="F253" i="13"/>
  <c r="E253" i="13"/>
  <c r="D253" i="13"/>
  <c r="F246" i="13"/>
  <c r="E246" i="13"/>
  <c r="D246" i="13"/>
  <c r="F245" i="13"/>
  <c r="E245" i="13"/>
  <c r="D245" i="13"/>
  <c r="F241" i="13"/>
  <c r="E241" i="13"/>
  <c r="D241" i="13"/>
  <c r="F240" i="13"/>
  <c r="E240" i="13"/>
  <c r="D240" i="13"/>
  <c r="F239" i="13"/>
  <c r="E239" i="13"/>
  <c r="D239" i="13"/>
  <c r="F238" i="13"/>
  <c r="E238" i="13"/>
  <c r="D238" i="13"/>
  <c r="F235" i="13"/>
  <c r="E235" i="13"/>
  <c r="D235" i="13"/>
  <c r="F234" i="13"/>
  <c r="E234" i="13"/>
  <c r="D234" i="13"/>
  <c r="F233" i="13"/>
  <c r="E233" i="13"/>
  <c r="D233" i="13"/>
  <c r="F232" i="13"/>
  <c r="E232" i="13"/>
  <c r="D232" i="13"/>
  <c r="F228" i="13"/>
  <c r="E228" i="13"/>
  <c r="D228" i="13"/>
  <c r="F227" i="13"/>
  <c r="E227" i="13"/>
  <c r="D227" i="13"/>
  <c r="F226" i="13"/>
  <c r="E226" i="13"/>
  <c r="D226" i="13"/>
  <c r="F225" i="13"/>
  <c r="E225" i="13"/>
  <c r="D225" i="13"/>
  <c r="F222" i="13"/>
  <c r="E222" i="13"/>
  <c r="D222" i="13"/>
  <c r="F221" i="13"/>
  <c r="E221" i="13"/>
  <c r="D221" i="13"/>
  <c r="F220" i="13"/>
  <c r="E220" i="13"/>
  <c r="D220" i="13"/>
  <c r="F219" i="13"/>
  <c r="E219" i="13"/>
  <c r="D219" i="13"/>
  <c r="F215" i="13"/>
  <c r="E215" i="13"/>
  <c r="D215" i="13"/>
  <c r="H215" i="13" s="1"/>
  <c r="F214" i="13"/>
  <c r="E214" i="13"/>
  <c r="D214" i="13"/>
  <c r="F213" i="13"/>
  <c r="E213" i="13"/>
  <c r="D213" i="13"/>
  <c r="F212" i="13"/>
  <c r="E212" i="13"/>
  <c r="D212" i="13"/>
  <c r="F209" i="13"/>
  <c r="E209" i="13"/>
  <c r="D209" i="13"/>
  <c r="H209" i="13" s="1"/>
  <c r="F208" i="13"/>
  <c r="E208" i="13"/>
  <c r="D208" i="13"/>
  <c r="F207" i="13"/>
  <c r="E207" i="13"/>
  <c r="D207" i="13"/>
  <c r="F206" i="13"/>
  <c r="E206" i="13"/>
  <c r="D206" i="13"/>
  <c r="F203" i="13"/>
  <c r="E203" i="13"/>
  <c r="D203" i="13"/>
  <c r="F202" i="13"/>
  <c r="E202" i="13"/>
  <c r="D202" i="13"/>
  <c r="F201" i="13"/>
  <c r="E201" i="13"/>
  <c r="D201" i="13"/>
  <c r="F200" i="13"/>
  <c r="E200" i="13"/>
  <c r="D200" i="13"/>
  <c r="F199" i="13"/>
  <c r="E199" i="13"/>
  <c r="D199" i="13"/>
  <c r="F197" i="13"/>
  <c r="E197" i="13"/>
  <c r="D197" i="13"/>
  <c r="F196" i="13"/>
  <c r="E196" i="13"/>
  <c r="D196" i="13"/>
  <c r="F195" i="13"/>
  <c r="E195" i="13"/>
  <c r="D195" i="13"/>
  <c r="F194" i="13"/>
  <c r="E194" i="13"/>
  <c r="D194" i="13"/>
  <c r="F192" i="13"/>
  <c r="E192" i="13"/>
  <c r="D192" i="13"/>
  <c r="F191" i="13"/>
  <c r="E191" i="13"/>
  <c r="D191" i="13"/>
  <c r="F190" i="13"/>
  <c r="E190" i="13"/>
  <c r="D190" i="13"/>
  <c r="F189" i="13"/>
  <c r="E189" i="13"/>
  <c r="D189" i="13"/>
  <c r="F182" i="13"/>
  <c r="E182" i="13"/>
  <c r="D182" i="13"/>
  <c r="F181" i="13"/>
  <c r="E181" i="13"/>
  <c r="D181" i="13"/>
  <c r="F180" i="13"/>
  <c r="E180" i="13"/>
  <c r="D180" i="13"/>
  <c r="H180" i="13" s="1"/>
  <c r="F179" i="13"/>
  <c r="E179" i="13"/>
  <c r="D179" i="13"/>
  <c r="H179" i="13" s="1"/>
  <c r="F178" i="13"/>
  <c r="E178" i="13"/>
  <c r="D178" i="13"/>
  <c r="F177" i="13"/>
  <c r="E177" i="13"/>
  <c r="D177" i="13"/>
  <c r="F175" i="13"/>
  <c r="E175" i="13"/>
  <c r="D175" i="13"/>
  <c r="F174" i="13"/>
  <c r="E174" i="13"/>
  <c r="D174" i="13"/>
  <c r="H174" i="13" s="1"/>
  <c r="F173" i="13"/>
  <c r="E173" i="13"/>
  <c r="D173" i="13"/>
  <c r="F172" i="13"/>
  <c r="E172" i="13"/>
  <c r="D172" i="13"/>
  <c r="F171" i="13"/>
  <c r="E171" i="13"/>
  <c r="D171" i="13"/>
  <c r="F170" i="13"/>
  <c r="E170" i="13"/>
  <c r="D170" i="13"/>
  <c r="H170" i="13" s="1"/>
  <c r="F169" i="13"/>
  <c r="E169" i="13"/>
  <c r="D169" i="13"/>
  <c r="F168" i="13"/>
  <c r="E168" i="13"/>
  <c r="D168" i="13"/>
  <c r="F167" i="13"/>
  <c r="E167" i="13"/>
  <c r="D167" i="13"/>
  <c r="F165" i="13"/>
  <c r="E165" i="13"/>
  <c r="D165" i="13"/>
  <c r="F164" i="13"/>
  <c r="E164" i="13"/>
  <c r="D164" i="13"/>
  <c r="F163" i="13"/>
  <c r="E163" i="13"/>
  <c r="D163" i="13"/>
  <c r="F162" i="13"/>
  <c r="E162" i="13"/>
  <c r="D162" i="13"/>
  <c r="H162" i="13" s="1"/>
  <c r="F161" i="13"/>
  <c r="E161" i="13"/>
  <c r="D161" i="13"/>
  <c r="H161" i="13" s="1"/>
  <c r="F160" i="13"/>
  <c r="E160" i="13"/>
  <c r="D160" i="13"/>
  <c r="F159" i="13"/>
  <c r="E159" i="13"/>
  <c r="D159" i="13"/>
  <c r="F158" i="13"/>
  <c r="E158" i="13"/>
  <c r="D158" i="13"/>
  <c r="F157" i="13"/>
  <c r="E157" i="13"/>
  <c r="D157" i="13"/>
  <c r="F156" i="13"/>
  <c r="E156" i="13"/>
  <c r="D156" i="13"/>
  <c r="F155" i="13"/>
  <c r="E155" i="13"/>
  <c r="D155" i="13"/>
  <c r="F154" i="13"/>
  <c r="E154" i="13"/>
  <c r="D154" i="13"/>
  <c r="F153" i="13"/>
  <c r="E153" i="13"/>
  <c r="D153" i="13"/>
  <c r="F143" i="13"/>
  <c r="E143" i="13"/>
  <c r="D143" i="13"/>
  <c r="F142" i="13"/>
  <c r="E142" i="13"/>
  <c r="F141" i="13"/>
  <c r="E141" i="13"/>
  <c r="D141" i="13"/>
  <c r="H141" i="13" s="1"/>
  <c r="F138" i="13"/>
  <c r="E138" i="13"/>
  <c r="D138" i="13"/>
  <c r="F137" i="13"/>
  <c r="E137" i="13"/>
  <c r="D137" i="13"/>
  <c r="F136" i="13"/>
  <c r="E136" i="13"/>
  <c r="D136" i="13"/>
  <c r="F133" i="13"/>
  <c r="E133" i="13"/>
  <c r="D133" i="13"/>
  <c r="F132" i="13"/>
  <c r="E132" i="13"/>
  <c r="D132" i="13"/>
  <c r="F131" i="13"/>
  <c r="E131" i="13"/>
  <c r="D131" i="13"/>
  <c r="F128" i="13"/>
  <c r="E128" i="13"/>
  <c r="D128" i="13"/>
  <c r="F127" i="13"/>
  <c r="E127" i="13"/>
  <c r="D127" i="13"/>
  <c r="F126" i="13"/>
  <c r="E126" i="13"/>
  <c r="D126" i="13"/>
  <c r="F140" i="13"/>
  <c r="E140" i="13"/>
  <c r="D140" i="13"/>
  <c r="H140" i="13" s="1"/>
  <c r="F135" i="13"/>
  <c r="E135" i="13"/>
  <c r="D135" i="13"/>
  <c r="H135" i="13" s="1"/>
  <c r="F130" i="13"/>
  <c r="E130" i="13"/>
  <c r="D130" i="13"/>
  <c r="H130" i="13" s="1"/>
  <c r="F125" i="13"/>
  <c r="E125" i="13"/>
  <c r="D125" i="13"/>
  <c r="H125" i="13" s="1"/>
  <c r="H145" i="13" s="1"/>
  <c r="F122" i="13"/>
  <c r="E122" i="13"/>
  <c r="D122" i="13"/>
  <c r="F121" i="13"/>
  <c r="E121" i="13"/>
  <c r="D121" i="13"/>
  <c r="F116" i="13"/>
  <c r="E116" i="13"/>
  <c r="D116" i="13"/>
  <c r="F115" i="13"/>
  <c r="E115" i="13"/>
  <c r="D115" i="13"/>
  <c r="F114" i="13"/>
  <c r="E114" i="13"/>
  <c r="D114" i="13"/>
  <c r="F113" i="13"/>
  <c r="E113" i="13"/>
  <c r="D113" i="13"/>
  <c r="F110" i="13"/>
  <c r="E110" i="13"/>
  <c r="D110" i="13"/>
  <c r="H110" i="13" s="1"/>
  <c r="F109" i="13"/>
  <c r="E109" i="13"/>
  <c r="D109" i="13"/>
  <c r="F108" i="13"/>
  <c r="E108" i="13"/>
  <c r="D108" i="13"/>
  <c r="F107" i="13"/>
  <c r="E107" i="13"/>
  <c r="D107" i="13"/>
  <c r="F104" i="13"/>
  <c r="E104" i="13"/>
  <c r="D104" i="13"/>
  <c r="H104" i="13" s="1"/>
  <c r="F103" i="13"/>
  <c r="E103" i="13"/>
  <c r="D103" i="13"/>
  <c r="F102" i="13"/>
  <c r="E102" i="13"/>
  <c r="D102" i="13"/>
  <c r="F101" i="13"/>
  <c r="E101" i="13"/>
  <c r="D101" i="13"/>
  <c r="F98" i="13"/>
  <c r="E98" i="13"/>
  <c r="D98" i="13"/>
  <c r="F87" i="13"/>
  <c r="E87" i="13"/>
  <c r="D87" i="13"/>
  <c r="F86" i="13"/>
  <c r="E86" i="13"/>
  <c r="D86" i="13"/>
  <c r="F85" i="13"/>
  <c r="E85" i="13"/>
  <c r="D85" i="13"/>
  <c r="H85" i="13" s="1"/>
  <c r="F84" i="13"/>
  <c r="E84" i="13"/>
  <c r="D84" i="13"/>
  <c r="F81" i="13"/>
  <c r="E81" i="13"/>
  <c r="D81" i="13"/>
  <c r="F80" i="13"/>
  <c r="E80" i="13"/>
  <c r="D80" i="13"/>
  <c r="F79" i="13"/>
  <c r="E79" i="13"/>
  <c r="D79" i="13"/>
  <c r="F78" i="13"/>
  <c r="E78" i="13"/>
  <c r="D78" i="13"/>
  <c r="F75" i="13"/>
  <c r="E75" i="13"/>
  <c r="D75" i="13"/>
  <c r="F74" i="13"/>
  <c r="E74" i="13"/>
  <c r="D74" i="13"/>
  <c r="F73" i="13"/>
  <c r="E73" i="13"/>
  <c r="D73" i="13"/>
  <c r="F72" i="13"/>
  <c r="E72" i="13"/>
  <c r="D72" i="13"/>
  <c r="H245" i="13" l="1"/>
  <c r="H154" i="13"/>
  <c r="H232" i="13"/>
  <c r="H235" i="13"/>
  <c r="H222" i="13"/>
  <c r="H219" i="13"/>
  <c r="H87" i="13"/>
  <c r="H103" i="13"/>
  <c r="H109" i="13"/>
  <c r="H159" i="13"/>
  <c r="H168" i="13"/>
  <c r="H213" i="13"/>
  <c r="H239" i="13"/>
  <c r="H191" i="13"/>
  <c r="H226" i="13"/>
  <c r="H201" i="13"/>
  <c r="H203" i="13"/>
  <c r="H132" i="13"/>
  <c r="H190" i="13"/>
  <c r="H200" i="13"/>
  <c r="H199" i="13"/>
  <c r="H138" i="13"/>
  <c r="H72" i="13"/>
  <c r="H78" i="13"/>
  <c r="H84" i="13"/>
  <c r="H127" i="13"/>
  <c r="H133" i="13"/>
  <c r="H128" i="13"/>
  <c r="H136" i="13"/>
  <c r="H189" i="13"/>
  <c r="H81" i="13"/>
  <c r="H73" i="13"/>
  <c r="H228" i="13"/>
  <c r="H75" i="13"/>
  <c r="H126" i="13"/>
  <c r="H79" i="13"/>
  <c r="H192" i="13"/>
  <c r="H202" i="13"/>
  <c r="H227" i="13"/>
  <c r="H74" i="13"/>
  <c r="H80" i="13"/>
  <c r="H131" i="13"/>
  <c r="H137" i="13"/>
  <c r="H214" i="13"/>
  <c r="H86" i="13"/>
  <c r="H153" i="13"/>
  <c r="H156" i="13"/>
  <c r="H164" i="13"/>
  <c r="H178" i="13"/>
  <c r="H121" i="13"/>
  <c r="H122" i="13"/>
  <c r="H115" i="13"/>
  <c r="H116" i="13"/>
  <c r="H114" i="13"/>
  <c r="H107" i="13"/>
  <c r="H108" i="13"/>
  <c r="H101" i="13"/>
  <c r="H253" i="13"/>
  <c r="H177" i="13"/>
  <c r="H143" i="13"/>
  <c r="H113" i="13"/>
  <c r="H102" i="13"/>
  <c r="H257" i="13"/>
  <c r="H246" i="13"/>
  <c r="H241" i="13"/>
  <c r="H233" i="13"/>
  <c r="H195" i="13"/>
  <c r="H194" i="13"/>
  <c r="H173" i="13"/>
  <c r="H182" i="13"/>
  <c r="H155" i="13"/>
  <c r="H163" i="13"/>
  <c r="H181" i="13"/>
  <c r="H175" i="13"/>
  <c r="H240" i="13"/>
  <c r="H238" i="13"/>
  <c r="H234" i="13"/>
  <c r="H225" i="13"/>
  <c r="H221" i="13"/>
  <c r="H220" i="13"/>
  <c r="H212" i="13"/>
  <c r="H208" i="13"/>
  <c r="H206" i="13"/>
  <c r="H207" i="13"/>
  <c r="H197" i="13"/>
  <c r="H171" i="13"/>
  <c r="H157" i="13"/>
  <c r="H165" i="13"/>
  <c r="H160" i="13"/>
  <c r="H169" i="13"/>
  <c r="H172" i="13"/>
  <c r="H158" i="13"/>
  <c r="H167" i="13"/>
  <c r="H98" i="13"/>
  <c r="E144" i="13"/>
  <c r="D236" i="13"/>
  <c r="E88" i="13"/>
  <c r="E89" i="13" s="1"/>
  <c r="E263" i="13"/>
  <c r="D88" i="13"/>
  <c r="F111" i="13"/>
  <c r="F263" i="13"/>
  <c r="F88" i="13"/>
  <c r="F89" i="13" s="1"/>
  <c r="E236" i="13"/>
  <c r="D263" i="13"/>
  <c r="D117" i="13"/>
  <c r="F146" i="13"/>
  <c r="F134" i="13"/>
  <c r="F236" i="13"/>
  <c r="E117" i="13"/>
  <c r="E129" i="13"/>
  <c r="D148" i="13"/>
  <c r="E111" i="13"/>
  <c r="D146" i="13"/>
  <c r="E147" i="13"/>
  <c r="F139" i="13"/>
  <c r="F148" i="13"/>
  <c r="D139" i="13"/>
  <c r="F129" i="13"/>
  <c r="E146" i="13"/>
  <c r="D145" i="13"/>
  <c r="E139" i="13"/>
  <c r="E134" i="13"/>
  <c r="E145" i="13"/>
  <c r="D134" i="13"/>
  <c r="F144" i="13"/>
  <c r="D129" i="13"/>
  <c r="F147" i="13"/>
  <c r="F145" i="13"/>
  <c r="E148" i="13"/>
  <c r="F117" i="13"/>
  <c r="D111" i="13"/>
  <c r="H247" i="13" l="1"/>
  <c r="H123" i="13"/>
  <c r="F118" i="13"/>
  <c r="H134" i="13"/>
  <c r="H146" i="13"/>
  <c r="H139" i="13"/>
  <c r="H129" i="13"/>
  <c r="H148" i="13"/>
  <c r="H105" i="13"/>
  <c r="H236" i="13"/>
  <c r="H111" i="13"/>
  <c r="H117" i="13"/>
  <c r="H118" i="13" s="1"/>
  <c r="H119" i="13" s="1"/>
  <c r="H193" i="13"/>
  <c r="D89" i="13"/>
  <c r="H88" i="13"/>
  <c r="H89" i="13" s="1"/>
  <c r="D118" i="13"/>
  <c r="E118" i="13"/>
  <c r="E149" i="13"/>
  <c r="F149" i="13"/>
  <c r="F66" i="13" l="1"/>
  <c r="F90" i="13" s="1"/>
  <c r="E66" i="13"/>
  <c r="D66" i="13"/>
  <c r="F69" i="13"/>
  <c r="F93" i="13" s="1"/>
  <c r="E69" i="13"/>
  <c r="E93" i="13" s="1"/>
  <c r="D69" i="13"/>
  <c r="F68" i="13"/>
  <c r="F92" i="13" s="1"/>
  <c r="E68" i="13"/>
  <c r="E92" i="13" s="1"/>
  <c r="D68" i="13"/>
  <c r="F67" i="13"/>
  <c r="F91" i="13" s="1"/>
  <c r="E67" i="13"/>
  <c r="E91" i="13" s="1"/>
  <c r="D67" i="13"/>
  <c r="F56" i="13"/>
  <c r="E56" i="13"/>
  <c r="D56" i="13"/>
  <c r="F55" i="13"/>
  <c r="E55" i="13"/>
  <c r="D55" i="13"/>
  <c r="F54" i="13"/>
  <c r="E54" i="13"/>
  <c r="D54" i="13"/>
  <c r="F51" i="13"/>
  <c r="E51" i="13"/>
  <c r="D51" i="13"/>
  <c r="F50" i="13"/>
  <c r="E50" i="13"/>
  <c r="D50" i="13"/>
  <c r="F49" i="13"/>
  <c r="E49" i="13"/>
  <c r="D49" i="13"/>
  <c r="F46" i="13"/>
  <c r="E46" i="13"/>
  <c r="D46" i="13"/>
  <c r="F44" i="13"/>
  <c r="E44" i="13"/>
  <c r="D44" i="13"/>
  <c r="F39" i="13"/>
  <c r="E39" i="13"/>
  <c r="D39" i="13"/>
  <c r="F37" i="13"/>
  <c r="E37" i="13"/>
  <c r="D37" i="13"/>
  <c r="F35" i="13"/>
  <c r="E35" i="13"/>
  <c r="D35" i="13"/>
  <c r="F33" i="13"/>
  <c r="E33" i="13"/>
  <c r="D33" i="13"/>
  <c r="F31" i="13"/>
  <c r="E31" i="13"/>
  <c r="D31" i="13"/>
  <c r="F29" i="13"/>
  <c r="E29" i="13"/>
  <c r="D2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33" i="13" l="1"/>
  <c r="H37" i="13"/>
  <c r="H31" i="13"/>
  <c r="H39" i="13"/>
  <c r="E90" i="13"/>
  <c r="H66" i="13"/>
  <c r="H56" i="13"/>
  <c r="H50" i="13"/>
  <c r="H44" i="13"/>
  <c r="H55" i="13"/>
  <c r="H54" i="13"/>
  <c r="H51" i="13"/>
  <c r="H49" i="13"/>
  <c r="H46" i="13"/>
  <c r="H29" i="13"/>
  <c r="D93" i="13"/>
  <c r="H93" i="13" s="1"/>
  <c r="H69" i="13"/>
  <c r="D91" i="13"/>
  <c r="H91" i="13" s="1"/>
  <c r="H67" i="13"/>
  <c r="D92" i="13"/>
  <c r="H92" i="13" s="1"/>
  <c r="H68" i="13"/>
  <c r="E94" i="13"/>
  <c r="F94" i="13"/>
  <c r="F95" i="13" s="1"/>
  <c r="D90" i="13"/>
  <c r="H90" i="13" l="1"/>
  <c r="E95" i="13"/>
  <c r="D94" i="13"/>
  <c r="H94" i="13" s="1"/>
  <c r="D95" i="13"/>
  <c r="H95" i="13" l="1"/>
  <c r="F256" i="13"/>
  <c r="F255" i="13" l="1"/>
  <c r="E256" i="13" l="1"/>
  <c r="P88" i="11" l="1"/>
  <c r="E255" i="13"/>
  <c r="D256" i="13" l="1"/>
  <c r="H256" i="13" s="1"/>
  <c r="H258" i="13" s="1"/>
  <c r="D142" i="13" l="1"/>
  <c r="H142" i="13" s="1"/>
  <c r="H147" i="13" l="1"/>
  <c r="H144" i="13"/>
  <c r="H149" i="13" s="1"/>
  <c r="D147" i="13"/>
  <c r="D149" i="13" s="1"/>
  <c r="D144" i="13"/>
  <c r="F262" i="17" l="1"/>
  <c r="E262" i="17"/>
  <c r="D262" i="17"/>
  <c r="F261" i="17"/>
  <c r="E261" i="17"/>
  <c r="D261" i="17"/>
  <c r="F246" i="17"/>
  <c r="E246" i="17"/>
  <c r="D246" i="17"/>
  <c r="F245" i="17"/>
  <c r="E245" i="17"/>
  <c r="D245" i="17"/>
  <c r="F196" i="17"/>
  <c r="E196" i="17"/>
  <c r="D196" i="17"/>
  <c r="F116" i="17"/>
  <c r="E116" i="17"/>
  <c r="D116" i="17"/>
  <c r="F115" i="17"/>
  <c r="E115" i="17"/>
  <c r="D115" i="17"/>
  <c r="H115" i="17" s="1"/>
  <c r="F114" i="17"/>
  <c r="E114" i="17"/>
  <c r="D114" i="17"/>
  <c r="F113" i="17"/>
  <c r="E113" i="17"/>
  <c r="D113" i="17"/>
  <c r="D90" i="17"/>
  <c r="F86" i="17"/>
  <c r="E86" i="17"/>
  <c r="D86" i="17"/>
  <c r="F80" i="17"/>
  <c r="E80" i="17"/>
  <c r="D80" i="17"/>
  <c r="F75" i="17"/>
  <c r="E75" i="17"/>
  <c r="D75" i="17"/>
  <c r="F35" i="17"/>
  <c r="E35" i="17"/>
  <c r="D35" i="17"/>
  <c r="F262" i="14"/>
  <c r="E262" i="14"/>
  <c r="D262" i="14"/>
  <c r="F261" i="14"/>
  <c r="E261" i="14"/>
  <c r="D261" i="14"/>
  <c r="F257" i="14"/>
  <c r="E257" i="14"/>
  <c r="D257" i="14"/>
  <c r="F254" i="14"/>
  <c r="E254" i="14"/>
  <c r="D254" i="14"/>
  <c r="F253" i="14"/>
  <c r="E253" i="14"/>
  <c r="D253" i="14"/>
  <c r="F196" i="14"/>
  <c r="E196" i="14"/>
  <c r="D196" i="14"/>
  <c r="F246" i="14"/>
  <c r="E246" i="14"/>
  <c r="D246" i="14"/>
  <c r="F245" i="14"/>
  <c r="E245" i="14"/>
  <c r="D245" i="14"/>
  <c r="F241" i="14"/>
  <c r="E241" i="14"/>
  <c r="D241" i="14"/>
  <c r="F240" i="14"/>
  <c r="E240" i="14"/>
  <c r="D240" i="14"/>
  <c r="F239" i="14"/>
  <c r="E239" i="14"/>
  <c r="D239" i="14"/>
  <c r="F238" i="14"/>
  <c r="E238" i="14"/>
  <c r="D238" i="14"/>
  <c r="F235" i="14"/>
  <c r="E235" i="14"/>
  <c r="D235" i="14"/>
  <c r="F234" i="14"/>
  <c r="E234" i="14"/>
  <c r="D234" i="14"/>
  <c r="F233" i="14"/>
  <c r="E233" i="14"/>
  <c r="D233" i="14"/>
  <c r="F232" i="14"/>
  <c r="E232" i="14"/>
  <c r="D232" i="14"/>
  <c r="F228" i="14"/>
  <c r="E228" i="14"/>
  <c r="D228" i="14"/>
  <c r="F227" i="14"/>
  <c r="E227" i="14"/>
  <c r="D227" i="14"/>
  <c r="F226" i="14"/>
  <c r="E226" i="14"/>
  <c r="D226" i="14"/>
  <c r="F225" i="14"/>
  <c r="E225" i="14"/>
  <c r="D225" i="14"/>
  <c r="F222" i="14"/>
  <c r="E222" i="14"/>
  <c r="D222" i="14"/>
  <c r="F221" i="14"/>
  <c r="E221" i="14"/>
  <c r="D221" i="14"/>
  <c r="F220" i="14"/>
  <c r="E220" i="14"/>
  <c r="D220" i="14"/>
  <c r="F219" i="14"/>
  <c r="E219" i="14"/>
  <c r="D219" i="14"/>
  <c r="F215" i="14"/>
  <c r="E215" i="14"/>
  <c r="D215" i="14"/>
  <c r="F214" i="14"/>
  <c r="E214" i="14"/>
  <c r="D214" i="14"/>
  <c r="F213" i="14"/>
  <c r="E213" i="14"/>
  <c r="D213" i="14"/>
  <c r="F212" i="14"/>
  <c r="E212" i="14"/>
  <c r="D212" i="14"/>
  <c r="F209" i="14"/>
  <c r="E209" i="14"/>
  <c r="D209" i="14"/>
  <c r="F208" i="14"/>
  <c r="E208" i="14"/>
  <c r="D208" i="14"/>
  <c r="F207" i="14"/>
  <c r="E207" i="14"/>
  <c r="D207" i="14"/>
  <c r="F206" i="14"/>
  <c r="E206" i="14"/>
  <c r="D206" i="14"/>
  <c r="F203" i="14"/>
  <c r="E203" i="14"/>
  <c r="D203" i="14"/>
  <c r="F202" i="14"/>
  <c r="E202" i="14"/>
  <c r="D202" i="14"/>
  <c r="F201" i="14"/>
  <c r="E201" i="14"/>
  <c r="D201" i="14"/>
  <c r="F200" i="14"/>
  <c r="E200" i="14"/>
  <c r="D200" i="14"/>
  <c r="F199" i="14"/>
  <c r="E199" i="14"/>
  <c r="D199" i="14"/>
  <c r="F197" i="14"/>
  <c r="E197" i="14"/>
  <c r="D197" i="14"/>
  <c r="F195" i="14"/>
  <c r="E195" i="14"/>
  <c r="D195" i="14"/>
  <c r="F194" i="14"/>
  <c r="E194" i="14"/>
  <c r="D194" i="14"/>
  <c r="F192" i="14"/>
  <c r="E192" i="14"/>
  <c r="D192" i="14"/>
  <c r="F191" i="14"/>
  <c r="E191" i="14"/>
  <c r="D191" i="14"/>
  <c r="F190" i="14"/>
  <c r="E190" i="14"/>
  <c r="D190" i="14"/>
  <c r="F189" i="14"/>
  <c r="E189" i="14"/>
  <c r="D189" i="14"/>
  <c r="F182" i="14"/>
  <c r="E182" i="14"/>
  <c r="D182" i="14"/>
  <c r="F181" i="14"/>
  <c r="E181" i="14"/>
  <c r="D181" i="14"/>
  <c r="F180" i="14"/>
  <c r="E180" i="14"/>
  <c r="D180" i="14"/>
  <c r="F179" i="14"/>
  <c r="E179" i="14"/>
  <c r="D179" i="14"/>
  <c r="F178" i="14"/>
  <c r="E178" i="14"/>
  <c r="D178" i="14"/>
  <c r="F177" i="14"/>
  <c r="E177" i="14"/>
  <c r="D177" i="14"/>
  <c r="F175" i="14"/>
  <c r="E175" i="14"/>
  <c r="D175" i="14"/>
  <c r="F174" i="14"/>
  <c r="E174" i="14"/>
  <c r="D174" i="14"/>
  <c r="F173" i="14"/>
  <c r="E173" i="14"/>
  <c r="D173" i="14"/>
  <c r="F172" i="14"/>
  <c r="E172" i="14"/>
  <c r="D172" i="14"/>
  <c r="F171" i="14"/>
  <c r="E171" i="14"/>
  <c r="D171" i="14"/>
  <c r="F170" i="14"/>
  <c r="E170" i="14"/>
  <c r="D170" i="14"/>
  <c r="F169" i="14"/>
  <c r="E169" i="14"/>
  <c r="D169" i="14"/>
  <c r="F168" i="14"/>
  <c r="E168" i="14"/>
  <c r="D168" i="14"/>
  <c r="F167" i="14"/>
  <c r="E167" i="14"/>
  <c r="D167" i="14"/>
  <c r="F165" i="14"/>
  <c r="E165" i="14"/>
  <c r="D165" i="14"/>
  <c r="F164" i="14"/>
  <c r="E164" i="14"/>
  <c r="D164" i="14"/>
  <c r="F163" i="14"/>
  <c r="E163" i="14"/>
  <c r="D163" i="14"/>
  <c r="F162" i="14"/>
  <c r="E162" i="14"/>
  <c r="D162" i="14"/>
  <c r="F161" i="14"/>
  <c r="E161" i="14"/>
  <c r="D161" i="14"/>
  <c r="F160" i="14"/>
  <c r="E160" i="14"/>
  <c r="D160" i="14"/>
  <c r="F159" i="14"/>
  <c r="E159" i="14"/>
  <c r="D159" i="14"/>
  <c r="F158" i="14"/>
  <c r="E158" i="14"/>
  <c r="D158" i="14"/>
  <c r="F157" i="14"/>
  <c r="E157" i="14"/>
  <c r="D157" i="14"/>
  <c r="F156" i="14"/>
  <c r="E156" i="14"/>
  <c r="D156" i="14"/>
  <c r="F155" i="14"/>
  <c r="E155" i="14"/>
  <c r="D155" i="14"/>
  <c r="F154" i="14"/>
  <c r="E154" i="14"/>
  <c r="D154" i="14"/>
  <c r="F153" i="14"/>
  <c r="E153" i="14"/>
  <c r="D153" i="14"/>
  <c r="F143" i="14"/>
  <c r="E143" i="14"/>
  <c r="D143" i="14"/>
  <c r="F142" i="14"/>
  <c r="E142" i="14"/>
  <c r="F141" i="14"/>
  <c r="E141" i="14"/>
  <c r="D141" i="14"/>
  <c r="F138" i="14"/>
  <c r="E138" i="14"/>
  <c r="D138" i="14"/>
  <c r="F137" i="14"/>
  <c r="E137" i="14"/>
  <c r="D137" i="14"/>
  <c r="F136" i="14"/>
  <c r="E136" i="14"/>
  <c r="D136" i="14"/>
  <c r="F133" i="14"/>
  <c r="E133" i="14"/>
  <c r="D133" i="14"/>
  <c r="F132" i="14"/>
  <c r="E132" i="14"/>
  <c r="D132" i="14"/>
  <c r="F131" i="14"/>
  <c r="E131" i="14"/>
  <c r="D131" i="14"/>
  <c r="F128" i="14"/>
  <c r="E128" i="14"/>
  <c r="D128" i="14"/>
  <c r="F127" i="14"/>
  <c r="E127" i="14"/>
  <c r="D127" i="14"/>
  <c r="F126" i="14"/>
  <c r="E126" i="14"/>
  <c r="D126" i="14"/>
  <c r="F135" i="14"/>
  <c r="E135" i="14"/>
  <c r="D135" i="14"/>
  <c r="H135" i="14" s="1"/>
  <c r="F140" i="14"/>
  <c r="E140" i="14"/>
  <c r="D140" i="14"/>
  <c r="H140" i="14" s="1"/>
  <c r="F130" i="14"/>
  <c r="E130" i="14"/>
  <c r="D130" i="14"/>
  <c r="H130" i="14" s="1"/>
  <c r="F125" i="14"/>
  <c r="E125" i="14"/>
  <c r="D125" i="14"/>
  <c r="H125" i="14" s="1"/>
  <c r="F116" i="14"/>
  <c r="E116" i="14"/>
  <c r="D116" i="14"/>
  <c r="F115" i="14"/>
  <c r="E115" i="14"/>
  <c r="D115" i="14"/>
  <c r="F114" i="14"/>
  <c r="E114" i="14"/>
  <c r="D114" i="14"/>
  <c r="F113" i="14"/>
  <c r="E113" i="14"/>
  <c r="D113" i="14"/>
  <c r="F110" i="14"/>
  <c r="E110" i="14"/>
  <c r="D110" i="14"/>
  <c r="F109" i="14"/>
  <c r="E109" i="14"/>
  <c r="D109" i="14"/>
  <c r="H109" i="14" s="1"/>
  <c r="F108" i="14"/>
  <c r="E108" i="14"/>
  <c r="D108" i="14"/>
  <c r="H108" i="14" s="1"/>
  <c r="F107" i="14"/>
  <c r="E107" i="14"/>
  <c r="D107" i="14"/>
  <c r="F104" i="14"/>
  <c r="E104" i="14"/>
  <c r="D104" i="14"/>
  <c r="F103" i="14"/>
  <c r="E103" i="14"/>
  <c r="D103" i="14"/>
  <c r="F102" i="14"/>
  <c r="E102" i="14"/>
  <c r="D102" i="14"/>
  <c r="H102" i="14" s="1"/>
  <c r="F101" i="14"/>
  <c r="E101" i="14"/>
  <c r="D101" i="14"/>
  <c r="F98" i="14"/>
  <c r="E98" i="14"/>
  <c r="D98" i="14"/>
  <c r="F84" i="14"/>
  <c r="E84" i="14"/>
  <c r="D84" i="14"/>
  <c r="F78" i="14"/>
  <c r="E78" i="14"/>
  <c r="D78" i="14"/>
  <c r="F72" i="14"/>
  <c r="E72" i="14"/>
  <c r="D72" i="14"/>
  <c r="F87" i="14"/>
  <c r="E87" i="14"/>
  <c r="D87" i="14"/>
  <c r="F86" i="14"/>
  <c r="E86" i="14"/>
  <c r="D86" i="14"/>
  <c r="H86" i="14" s="1"/>
  <c r="F85" i="14"/>
  <c r="E85" i="14"/>
  <c r="D85" i="14"/>
  <c r="H85" i="14" s="1"/>
  <c r="F81" i="14"/>
  <c r="E81" i="14"/>
  <c r="D81" i="14"/>
  <c r="F80" i="14"/>
  <c r="E80" i="14"/>
  <c r="D80" i="14"/>
  <c r="F79" i="14"/>
  <c r="E79" i="14"/>
  <c r="D79" i="14"/>
  <c r="F75" i="14"/>
  <c r="E75" i="14"/>
  <c r="D75" i="14"/>
  <c r="F74" i="14"/>
  <c r="E74" i="14"/>
  <c r="D74" i="14"/>
  <c r="F73" i="14"/>
  <c r="E73" i="14"/>
  <c r="D73" i="14"/>
  <c r="F69" i="14"/>
  <c r="E69" i="14"/>
  <c r="D69" i="14"/>
  <c r="H69" i="14" s="1"/>
  <c r="F68" i="14"/>
  <c r="E68" i="14"/>
  <c r="D68" i="14"/>
  <c r="F67" i="14"/>
  <c r="E67" i="14"/>
  <c r="D67" i="14"/>
  <c r="F66" i="14"/>
  <c r="E66" i="14"/>
  <c r="D66" i="14"/>
  <c r="F63" i="14"/>
  <c r="E63" i="14"/>
  <c r="D63" i="14"/>
  <c r="F61" i="14"/>
  <c r="E61" i="14"/>
  <c r="D61" i="14"/>
  <c r="H61" i="14" s="1"/>
  <c r="F56" i="14"/>
  <c r="E56" i="14"/>
  <c r="D56" i="14"/>
  <c r="F55" i="14"/>
  <c r="E55" i="14"/>
  <c r="D55" i="14"/>
  <c r="F54" i="14"/>
  <c r="E54" i="14"/>
  <c r="D54" i="14"/>
  <c r="F51" i="14"/>
  <c r="E51" i="14"/>
  <c r="D51" i="14"/>
  <c r="F50" i="14"/>
  <c r="E50" i="14"/>
  <c r="D50" i="14"/>
  <c r="F49" i="14"/>
  <c r="E49" i="14"/>
  <c r="D49" i="14"/>
  <c r="F46" i="14"/>
  <c r="E46" i="14"/>
  <c r="D46" i="14"/>
  <c r="F44" i="14"/>
  <c r="E44" i="14"/>
  <c r="D44" i="14"/>
  <c r="F39" i="14"/>
  <c r="E39" i="14"/>
  <c r="D39" i="14"/>
  <c r="F37" i="14"/>
  <c r="E37" i="14"/>
  <c r="D37" i="14"/>
  <c r="F35" i="14"/>
  <c r="E35" i="14"/>
  <c r="D35" i="14"/>
  <c r="F33" i="14"/>
  <c r="E33" i="14"/>
  <c r="D33" i="14"/>
  <c r="F31" i="14"/>
  <c r="E31" i="14"/>
  <c r="D31" i="14"/>
  <c r="F29" i="14"/>
  <c r="E29" i="14"/>
  <c r="D29" i="14"/>
  <c r="F20" i="14"/>
  <c r="F19" i="14"/>
  <c r="F18" i="14"/>
  <c r="F17" i="14"/>
  <c r="F14" i="14"/>
  <c r="F13" i="14"/>
  <c r="F12" i="14"/>
  <c r="F11" i="14"/>
  <c r="F9" i="14"/>
  <c r="P262" i="11"/>
  <c r="P261" i="11"/>
  <c r="H104" i="14" l="1"/>
  <c r="H110" i="14"/>
  <c r="H201" i="14"/>
  <c r="H190" i="14"/>
  <c r="H226" i="14"/>
  <c r="H103" i="14"/>
  <c r="H113" i="14"/>
  <c r="H51" i="14"/>
  <c r="H257" i="14"/>
  <c r="H214" i="14"/>
  <c r="H80" i="14"/>
  <c r="H87" i="14"/>
  <c r="H37" i="14"/>
  <c r="H66" i="14"/>
  <c r="H73" i="14"/>
  <c r="H116" i="14"/>
  <c r="H131" i="14"/>
  <c r="H137" i="14"/>
  <c r="H75" i="14"/>
  <c r="H114" i="14"/>
  <c r="H84" i="14"/>
  <c r="H128" i="14"/>
  <c r="H136" i="14"/>
  <c r="H78" i="14"/>
  <c r="H133" i="14"/>
  <c r="H191" i="14"/>
  <c r="H202" i="14"/>
  <c r="H227" i="14"/>
  <c r="H33" i="14"/>
  <c r="H127" i="14"/>
  <c r="H145" i="14"/>
  <c r="H192" i="14"/>
  <c r="H199" i="14"/>
  <c r="H203" i="14"/>
  <c r="H228" i="14"/>
  <c r="H189" i="14"/>
  <c r="H200" i="14"/>
  <c r="H39" i="14"/>
  <c r="H31" i="14"/>
  <c r="H74" i="14"/>
  <c r="H72" i="14"/>
  <c r="H126" i="14"/>
  <c r="H132" i="14"/>
  <c r="H138" i="14"/>
  <c r="H173" i="14"/>
  <c r="H178" i="14"/>
  <c r="H215" i="14"/>
  <c r="H113" i="17"/>
  <c r="H219" i="14"/>
  <c r="H213" i="14"/>
  <c r="E263" i="17"/>
  <c r="H75" i="17"/>
  <c r="H168" i="14"/>
  <c r="H177" i="14"/>
  <c r="H115" i="14"/>
  <c r="H107" i="14"/>
  <c r="H111" i="14" s="1"/>
  <c r="H246" i="14"/>
  <c r="H245" i="14"/>
  <c r="H212" i="14"/>
  <c r="H170" i="14"/>
  <c r="H179" i="14"/>
  <c r="H180" i="14"/>
  <c r="H101" i="14"/>
  <c r="H68" i="14"/>
  <c r="H63" i="14"/>
  <c r="H182" i="14"/>
  <c r="H174" i="14"/>
  <c r="H181" i="14"/>
  <c r="H175" i="14"/>
  <c r="H253" i="14"/>
  <c r="H254" i="14"/>
  <c r="H233" i="14"/>
  <c r="H220" i="14"/>
  <c r="H195" i="14"/>
  <c r="H194" i="14"/>
  <c r="H171" i="14"/>
  <c r="H160" i="14"/>
  <c r="H169" i="14"/>
  <c r="H172" i="14"/>
  <c r="H67" i="14"/>
  <c r="H49" i="14"/>
  <c r="H232" i="14"/>
  <c r="H234" i="14"/>
  <c r="H206" i="14"/>
  <c r="H197" i="14"/>
  <c r="H141" i="14"/>
  <c r="H98" i="14"/>
  <c r="H46" i="14"/>
  <c r="H240" i="14"/>
  <c r="H238" i="14"/>
  <c r="H241" i="14"/>
  <c r="H239" i="14"/>
  <c r="H235" i="14"/>
  <c r="H225" i="14"/>
  <c r="H222" i="14"/>
  <c r="H221" i="14"/>
  <c r="H209" i="14"/>
  <c r="H207" i="14"/>
  <c r="H208" i="14"/>
  <c r="H153" i="14"/>
  <c r="H161" i="14"/>
  <c r="H156" i="14"/>
  <c r="H164" i="14"/>
  <c r="H159" i="14"/>
  <c r="H154" i="14"/>
  <c r="H162" i="14"/>
  <c r="H157" i="14"/>
  <c r="H165" i="14"/>
  <c r="H155" i="14"/>
  <c r="H163" i="14"/>
  <c r="H158" i="14"/>
  <c r="H167" i="14"/>
  <c r="H143" i="14"/>
  <c r="H81" i="14"/>
  <c r="H79" i="14"/>
  <c r="H56" i="14"/>
  <c r="H54" i="14"/>
  <c r="H55" i="14"/>
  <c r="H50" i="14"/>
  <c r="H44" i="14"/>
  <c r="H29" i="14"/>
  <c r="H245" i="17"/>
  <c r="H262" i="17"/>
  <c r="H114" i="17"/>
  <c r="H261" i="17"/>
  <c r="H86" i="17"/>
  <c r="H196" i="17"/>
  <c r="H80" i="17"/>
  <c r="H116" i="17"/>
  <c r="H246" i="17"/>
  <c r="F90" i="14"/>
  <c r="F236" i="14"/>
  <c r="F263" i="17"/>
  <c r="F88" i="14"/>
  <c r="F89" i="14" s="1"/>
  <c r="E145" i="14"/>
  <c r="P263" i="11"/>
  <c r="F145" i="14"/>
  <c r="E90" i="14"/>
  <c r="D145" i="14"/>
  <c r="D90" i="14"/>
  <c r="D263" i="17"/>
  <c r="D148" i="11"/>
  <c r="F263" i="14"/>
  <c r="D263" i="11"/>
  <c r="D146" i="11"/>
  <c r="F134" i="14"/>
  <c r="E236" i="14"/>
  <c r="D236" i="14"/>
  <c r="D129" i="11"/>
  <c r="D147" i="11"/>
  <c r="D134" i="11"/>
  <c r="D144" i="11"/>
  <c r="D236" i="11"/>
  <c r="D145" i="11"/>
  <c r="D139" i="11"/>
  <c r="F91" i="14"/>
  <c r="F256" i="14" s="1"/>
  <c r="F92" i="14"/>
  <c r="F93" i="14"/>
  <c r="D263" i="14"/>
  <c r="D88" i="14"/>
  <c r="D91" i="14"/>
  <c r="F139" i="14"/>
  <c r="F146" i="14"/>
  <c r="F148" i="14"/>
  <c r="F129" i="14"/>
  <c r="F147" i="14"/>
  <c r="F144" i="14"/>
  <c r="E263" i="14"/>
  <c r="E134" i="14"/>
  <c r="E129" i="14"/>
  <c r="E148" i="14"/>
  <c r="E146" i="14"/>
  <c r="E144" i="14"/>
  <c r="E139" i="14"/>
  <c r="E147" i="14"/>
  <c r="E91" i="14"/>
  <c r="E256" i="14" s="1"/>
  <c r="E92" i="14"/>
  <c r="E88" i="14"/>
  <c r="E89" i="14" s="1"/>
  <c r="E93" i="14"/>
  <c r="D148" i="14"/>
  <c r="D134" i="14"/>
  <c r="D129" i="14"/>
  <c r="D146" i="14"/>
  <c r="D139" i="14"/>
  <c r="D92" i="14"/>
  <c r="D93" i="14"/>
  <c r="H105" i="14" l="1"/>
  <c r="H117" i="14"/>
  <c r="H118" i="14" s="1"/>
  <c r="H119" i="14" s="1"/>
  <c r="H129" i="14"/>
  <c r="H134" i="14"/>
  <c r="H139" i="14"/>
  <c r="H146" i="14"/>
  <c r="H90" i="14"/>
  <c r="H148" i="14"/>
  <c r="H247" i="14"/>
  <c r="H92" i="14"/>
  <c r="H236" i="14"/>
  <c r="H193" i="14"/>
  <c r="H93" i="14"/>
  <c r="D89" i="14"/>
  <c r="H88" i="14"/>
  <c r="H89" i="14" s="1"/>
  <c r="D256" i="14"/>
  <c r="H256" i="14" s="1"/>
  <c r="H258" i="14" s="1"/>
  <c r="H91" i="14"/>
  <c r="H263" i="17"/>
  <c r="H117" i="17"/>
  <c r="F94" i="14"/>
  <c r="F95" i="14" s="1"/>
  <c r="F255" i="14" s="1"/>
  <c r="D149" i="11"/>
  <c r="F149" i="14"/>
  <c r="E149" i="14"/>
  <c r="E94" i="14"/>
  <c r="E95" i="14" s="1"/>
  <c r="E255" i="14" s="1"/>
  <c r="D94" i="14"/>
  <c r="D95" i="14" l="1"/>
  <c r="D255" i="14" s="1"/>
  <c r="H255" i="14" s="1"/>
  <c r="H259" i="14" s="1"/>
  <c r="H94" i="14"/>
  <c r="H95" i="14" s="1"/>
  <c r="D256" i="11"/>
  <c r="P93" i="11" l="1"/>
  <c r="D142" i="14"/>
  <c r="H142" i="14" s="1"/>
  <c r="H147" i="14" l="1"/>
  <c r="H144" i="14"/>
  <c r="H149" i="14" s="1"/>
  <c r="D144" i="14"/>
  <c r="D147" i="14"/>
  <c r="D149" i="14" s="1"/>
  <c r="D20" i="16" l="1"/>
  <c r="H20" i="16" s="1"/>
  <c r="D19" i="16"/>
  <c r="H19" i="16" s="1"/>
  <c r="D18" i="16"/>
  <c r="H18" i="16" s="1"/>
  <c r="D17" i="16"/>
  <c r="H17" i="16" s="1"/>
  <c r="D12" i="16"/>
  <c r="H12" i="16" s="1"/>
  <c r="D13" i="16"/>
  <c r="H13" i="16" s="1"/>
  <c r="D14" i="16"/>
  <c r="H14" i="16" s="1"/>
  <c r="D11" i="16"/>
  <c r="H11" i="16" s="1"/>
  <c r="D9" i="16"/>
  <c r="H9" i="16" s="1"/>
  <c r="D20" i="15"/>
  <c r="H20" i="15" s="1"/>
  <c r="D19" i="15"/>
  <c r="H19" i="15" s="1"/>
  <c r="D18" i="15"/>
  <c r="H18" i="15" s="1"/>
  <c r="D17" i="15"/>
  <c r="H17" i="15" s="1"/>
  <c r="D12" i="15"/>
  <c r="H12" i="15" s="1"/>
  <c r="D13" i="15"/>
  <c r="H13" i="15" s="1"/>
  <c r="D14" i="15"/>
  <c r="H14" i="15" s="1"/>
  <c r="D11" i="15"/>
  <c r="H11" i="15" s="1"/>
  <c r="D9" i="15"/>
  <c r="H9" i="15" s="1"/>
  <c r="E20" i="14"/>
  <c r="H20" i="14" s="1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4" i="14"/>
  <c r="H19" i="14"/>
  <c r="H11" i="14"/>
  <c r="H9" i="14"/>
  <c r="H32" i="14" s="1"/>
  <c r="H17" i="14"/>
  <c r="H12" i="14"/>
  <c r="H13" i="14"/>
  <c r="H45" i="16"/>
  <c r="H32" i="16"/>
  <c r="H38" i="16"/>
  <c r="H47" i="16"/>
  <c r="H34" i="16"/>
  <c r="H62" i="16"/>
  <c r="H40" i="16"/>
  <c r="H30" i="16"/>
  <c r="D20" i="13"/>
  <c r="H20" i="13" s="1"/>
  <c r="D19" i="13"/>
  <c r="H19" i="13" s="1"/>
  <c r="D18" i="13"/>
  <c r="H18" i="13" s="1"/>
  <c r="D17" i="13"/>
  <c r="H17" i="13" s="1"/>
  <c r="D12" i="13"/>
  <c r="H12" i="13" s="1"/>
  <c r="D13" i="13"/>
  <c r="H13" i="13" s="1"/>
  <c r="D14" i="13"/>
  <c r="H14" i="13" s="1"/>
  <c r="D11" i="13"/>
  <c r="H11" i="13" s="1"/>
  <c r="D9" i="13"/>
  <c r="H9" i="13" s="1"/>
  <c r="H38" i="14" l="1"/>
  <c r="H62" i="14"/>
  <c r="H40" i="14"/>
  <c r="H45" i="14"/>
  <c r="H30" i="14"/>
  <c r="H34" i="14"/>
  <c r="H47" i="14"/>
  <c r="H34" i="13"/>
  <c r="H40" i="13"/>
  <c r="H30" i="13"/>
  <c r="H38" i="13"/>
  <c r="H32" i="13"/>
  <c r="H62" i="13"/>
  <c r="H47" i="13"/>
  <c r="H45" i="13"/>
  <c r="H247" i="17"/>
  <c r="F247" i="17"/>
  <c r="E247" i="17"/>
  <c r="D247" i="17"/>
  <c r="F117" i="17"/>
  <c r="E117" i="17"/>
  <c r="D117" i="17"/>
  <c r="H84" i="17"/>
  <c r="H78" i="17"/>
  <c r="H72" i="17"/>
  <c r="H66" i="17"/>
  <c r="G41" i="17"/>
  <c r="F259" i="16"/>
  <c r="E259" i="16"/>
  <c r="F258" i="16"/>
  <c r="E258" i="16"/>
  <c r="F247" i="16"/>
  <c r="E247" i="16"/>
  <c r="D247" i="16"/>
  <c r="F242" i="16"/>
  <c r="E242" i="16"/>
  <c r="D242" i="16"/>
  <c r="F229" i="16"/>
  <c r="E229" i="16"/>
  <c r="D229" i="16"/>
  <c r="F223" i="16"/>
  <c r="E223" i="16"/>
  <c r="D223" i="16"/>
  <c r="F216" i="16"/>
  <c r="E216" i="16"/>
  <c r="D216" i="16"/>
  <c r="F210" i="16"/>
  <c r="E210" i="16"/>
  <c r="D210" i="16"/>
  <c r="F204" i="16"/>
  <c r="E204" i="16"/>
  <c r="D204" i="16"/>
  <c r="F193" i="16"/>
  <c r="E193" i="16"/>
  <c r="D193" i="16"/>
  <c r="F123" i="16"/>
  <c r="E123" i="16"/>
  <c r="D123" i="16"/>
  <c r="F117" i="16"/>
  <c r="E117" i="16"/>
  <c r="D117" i="16"/>
  <c r="F111" i="16"/>
  <c r="E111" i="16"/>
  <c r="D111" i="16"/>
  <c r="F105" i="16"/>
  <c r="E105" i="16"/>
  <c r="D105" i="16"/>
  <c r="F70" i="16"/>
  <c r="F71" i="16" s="1"/>
  <c r="E70" i="16"/>
  <c r="E71" i="16" s="1"/>
  <c r="D70" i="16"/>
  <c r="F62" i="16"/>
  <c r="E62" i="16"/>
  <c r="F47" i="16"/>
  <c r="E47" i="16"/>
  <c r="F45" i="16"/>
  <c r="E45" i="16"/>
  <c r="F40" i="16"/>
  <c r="E40" i="16"/>
  <c r="F38" i="16"/>
  <c r="E38" i="16"/>
  <c r="F34" i="16"/>
  <c r="E34" i="16"/>
  <c r="F32" i="16"/>
  <c r="E32" i="16"/>
  <c r="F30" i="16"/>
  <c r="E30" i="16"/>
  <c r="F21" i="16"/>
  <c r="E21" i="16"/>
  <c r="F15" i="16"/>
  <c r="E15" i="16"/>
  <c r="D47" i="16"/>
  <c r="F259" i="15"/>
  <c r="E259" i="15"/>
  <c r="D259" i="15"/>
  <c r="F258" i="15"/>
  <c r="E258" i="15"/>
  <c r="D258" i="15"/>
  <c r="H247" i="15"/>
  <c r="F242" i="15"/>
  <c r="E242" i="15"/>
  <c r="D242" i="15"/>
  <c r="F229" i="15"/>
  <c r="E229" i="15"/>
  <c r="D229" i="15"/>
  <c r="F223" i="15"/>
  <c r="E223" i="15"/>
  <c r="D223" i="15"/>
  <c r="F216" i="15"/>
  <c r="E216" i="15"/>
  <c r="D216" i="15"/>
  <c r="F210" i="15"/>
  <c r="E210" i="15"/>
  <c r="D210" i="15"/>
  <c r="F204" i="15"/>
  <c r="E204" i="15"/>
  <c r="D204" i="15"/>
  <c r="F193" i="15"/>
  <c r="E193" i="15"/>
  <c r="D19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F123" i="15"/>
  <c r="E123" i="15"/>
  <c r="D123" i="15"/>
  <c r="H118" i="15"/>
  <c r="F105" i="15"/>
  <c r="F119" i="15" s="1"/>
  <c r="E105" i="15"/>
  <c r="E119" i="15" s="1"/>
  <c r="D105" i="15"/>
  <c r="D119" i="15" s="1"/>
  <c r="F82" i="15"/>
  <c r="F83" i="15" s="1"/>
  <c r="E82" i="15"/>
  <c r="D82" i="15"/>
  <c r="F76" i="15"/>
  <c r="F77" i="15" s="1"/>
  <c r="E76" i="15"/>
  <c r="E77" i="15" s="1"/>
  <c r="D76" i="15"/>
  <c r="F70" i="15"/>
  <c r="F71" i="15" s="1"/>
  <c r="E70" i="15"/>
  <c r="E71" i="15" s="1"/>
  <c r="D70" i="15"/>
  <c r="F62" i="15"/>
  <c r="E62" i="15"/>
  <c r="F47" i="15"/>
  <c r="E47" i="15"/>
  <c r="F45" i="15"/>
  <c r="E45" i="15"/>
  <c r="F40" i="15"/>
  <c r="E40" i="15"/>
  <c r="F38" i="15"/>
  <c r="E38" i="15"/>
  <c r="G41" i="15"/>
  <c r="F34" i="15"/>
  <c r="E34" i="15"/>
  <c r="H33" i="15"/>
  <c r="F32" i="15"/>
  <c r="E32" i="15"/>
  <c r="H31" i="15"/>
  <c r="F30" i="15"/>
  <c r="E30" i="15"/>
  <c r="F21" i="15"/>
  <c r="F15" i="15"/>
  <c r="E15" i="15"/>
  <c r="D15" i="15"/>
  <c r="D47" i="15"/>
  <c r="F259" i="14"/>
  <c r="E259" i="14"/>
  <c r="D259" i="14"/>
  <c r="F258" i="14"/>
  <c r="E258" i="14"/>
  <c r="D258" i="14"/>
  <c r="F247" i="14"/>
  <c r="E247" i="14"/>
  <c r="D247" i="14"/>
  <c r="F242" i="14"/>
  <c r="E242" i="14"/>
  <c r="D242" i="14"/>
  <c r="F229" i="14"/>
  <c r="E229" i="14"/>
  <c r="D229" i="14"/>
  <c r="F223" i="14"/>
  <c r="E223" i="14"/>
  <c r="D223" i="14"/>
  <c r="F216" i="14"/>
  <c r="E216" i="14"/>
  <c r="D216" i="14"/>
  <c r="F210" i="14"/>
  <c r="E210" i="14"/>
  <c r="D210" i="14"/>
  <c r="F204" i="14"/>
  <c r="E204" i="14"/>
  <c r="D204" i="14"/>
  <c r="F193" i="14"/>
  <c r="E193" i="14"/>
  <c r="D193" i="14"/>
  <c r="F123" i="14"/>
  <c r="E123" i="14"/>
  <c r="D123" i="14"/>
  <c r="F117" i="14"/>
  <c r="E117" i="14"/>
  <c r="D117" i="14"/>
  <c r="F111" i="14"/>
  <c r="E111" i="14"/>
  <c r="D111" i="14"/>
  <c r="F105" i="14"/>
  <c r="E105" i="14"/>
  <c r="D105" i="14"/>
  <c r="F82" i="14"/>
  <c r="F83" i="14" s="1"/>
  <c r="E82" i="14"/>
  <c r="E83" i="14" s="1"/>
  <c r="D82" i="14"/>
  <c r="F76" i="14"/>
  <c r="F77" i="14" s="1"/>
  <c r="E76" i="14"/>
  <c r="D76" i="14"/>
  <c r="D77" i="14" s="1"/>
  <c r="F70" i="14"/>
  <c r="F71" i="14" s="1"/>
  <c r="E70" i="14"/>
  <c r="E71" i="14" s="1"/>
  <c r="D70" i="14"/>
  <c r="F62" i="14"/>
  <c r="E62" i="14"/>
  <c r="F47" i="14"/>
  <c r="E47" i="14"/>
  <c r="F45" i="14"/>
  <c r="E45" i="14"/>
  <c r="F40" i="14"/>
  <c r="E40" i="14"/>
  <c r="F38" i="14"/>
  <c r="E38" i="14"/>
  <c r="F34" i="14"/>
  <c r="E34" i="14"/>
  <c r="F32" i="14"/>
  <c r="E32" i="14"/>
  <c r="F30" i="14"/>
  <c r="E30" i="14"/>
  <c r="F21" i="14"/>
  <c r="E21" i="14"/>
  <c r="F15" i="14"/>
  <c r="E15" i="14"/>
  <c r="D47" i="14"/>
  <c r="F259" i="13"/>
  <c r="E259" i="13"/>
  <c r="F258" i="13"/>
  <c r="E258" i="13"/>
  <c r="D258" i="13"/>
  <c r="F247" i="13"/>
  <c r="E247" i="13"/>
  <c r="D247" i="13"/>
  <c r="F242" i="13"/>
  <c r="E242" i="13"/>
  <c r="D242" i="13"/>
  <c r="F229" i="13"/>
  <c r="E229" i="13"/>
  <c r="D229" i="13"/>
  <c r="F223" i="13"/>
  <c r="E223" i="13"/>
  <c r="D223" i="13"/>
  <c r="F216" i="13"/>
  <c r="E216" i="13"/>
  <c r="D216" i="13"/>
  <c r="F210" i="13"/>
  <c r="E210" i="13"/>
  <c r="D210" i="13"/>
  <c r="F204" i="13"/>
  <c r="E204" i="13"/>
  <c r="D204" i="13"/>
  <c r="F193" i="13"/>
  <c r="E193" i="13"/>
  <c r="D193" i="13"/>
  <c r="F123" i="13"/>
  <c r="E123" i="13"/>
  <c r="D123" i="13"/>
  <c r="F105" i="13"/>
  <c r="F119" i="13" s="1"/>
  <c r="E105" i="13"/>
  <c r="E119" i="13" s="1"/>
  <c r="D105" i="13"/>
  <c r="D119" i="13" s="1"/>
  <c r="F82" i="13"/>
  <c r="F83" i="13" s="1"/>
  <c r="E82" i="13"/>
  <c r="D82" i="13"/>
  <c r="D83" i="13" s="1"/>
  <c r="F76" i="13"/>
  <c r="F77" i="13" s="1"/>
  <c r="E76" i="13"/>
  <c r="D76" i="13"/>
  <c r="D77" i="13" s="1"/>
  <c r="F70" i="13"/>
  <c r="F71" i="13" s="1"/>
  <c r="E70" i="13"/>
  <c r="E71" i="13" s="1"/>
  <c r="D70" i="13"/>
  <c r="F62" i="13"/>
  <c r="E62" i="13"/>
  <c r="F47" i="13"/>
  <c r="E47" i="13"/>
  <c r="F45" i="13"/>
  <c r="E45" i="13"/>
  <c r="F40" i="13"/>
  <c r="E40" i="13"/>
  <c r="F38" i="13"/>
  <c r="E38" i="13"/>
  <c r="F34" i="13"/>
  <c r="E34" i="13"/>
  <c r="F32" i="13"/>
  <c r="E32" i="13"/>
  <c r="F30" i="13"/>
  <c r="E30" i="13"/>
  <c r="F21" i="13"/>
  <c r="E21" i="13"/>
  <c r="F15" i="13"/>
  <c r="E15" i="13"/>
  <c r="D47" i="13"/>
  <c r="P257" i="11"/>
  <c r="P247" i="11"/>
  <c r="P241" i="11"/>
  <c r="P240" i="11"/>
  <c r="P239" i="11"/>
  <c r="P235" i="11"/>
  <c r="P234" i="11"/>
  <c r="P233" i="11"/>
  <c r="P232" i="11"/>
  <c r="P228" i="11"/>
  <c r="P227" i="11"/>
  <c r="P226" i="11"/>
  <c r="D223" i="11"/>
  <c r="P222" i="11"/>
  <c r="P221" i="11"/>
  <c r="P220" i="11"/>
  <c r="P219" i="11"/>
  <c r="P215" i="11"/>
  <c r="P214" i="11"/>
  <c r="P213" i="11"/>
  <c r="D210" i="11"/>
  <c r="P209" i="11"/>
  <c r="P208" i="11"/>
  <c r="P207" i="11"/>
  <c r="P206" i="11"/>
  <c r="P203" i="11"/>
  <c r="P202" i="11"/>
  <c r="P201" i="11"/>
  <c r="P200" i="11"/>
  <c r="P197" i="11"/>
  <c r="P195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D111" i="11"/>
  <c r="P110" i="11"/>
  <c r="P109" i="11"/>
  <c r="P108" i="11"/>
  <c r="P107" i="11"/>
  <c r="P105" i="11"/>
  <c r="D105" i="11"/>
  <c r="P104" i="11"/>
  <c r="P103" i="11"/>
  <c r="P102" i="11"/>
  <c r="P101" i="11"/>
  <c r="P98" i="11"/>
  <c r="P63" i="11"/>
  <c r="P61" i="11"/>
  <c r="P56" i="11"/>
  <c r="P55" i="11"/>
  <c r="P54" i="11"/>
  <c r="P51" i="11"/>
  <c r="P50" i="11"/>
  <c r="P49" i="11"/>
  <c r="P46" i="11"/>
  <c r="P44" i="11"/>
  <c r="P33" i="11"/>
  <c r="P31" i="11"/>
  <c r="P29" i="11"/>
  <c r="D21" i="11"/>
  <c r="P20" i="11"/>
  <c r="P19" i="11"/>
  <c r="P18" i="11"/>
  <c r="P17" i="11"/>
  <c r="D15" i="11"/>
  <c r="P14" i="11"/>
  <c r="P13" i="11"/>
  <c r="P12" i="11"/>
  <c r="P11" i="11"/>
  <c r="P9" i="11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1" i="17"/>
  <c r="F50" i="17"/>
  <c r="F49" i="17"/>
  <c r="F46" i="17"/>
  <c r="F44" i="17"/>
  <c r="F33" i="17"/>
  <c r="F31" i="17"/>
  <c r="F29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69" i="17"/>
  <c r="E68" i="17"/>
  <c r="E67" i="17"/>
  <c r="E63" i="17"/>
  <c r="E61" i="17"/>
  <c r="E56" i="17"/>
  <c r="E55" i="17"/>
  <c r="E54" i="17"/>
  <c r="E52" i="13"/>
  <c r="E51" i="17"/>
  <c r="E50" i="17"/>
  <c r="E49" i="17"/>
  <c r="E46" i="17"/>
  <c r="E44" i="17"/>
  <c r="E33" i="17"/>
  <c r="E31" i="17"/>
  <c r="E29" i="17"/>
  <c r="H229" i="13" l="1"/>
  <c r="H210" i="13"/>
  <c r="H242" i="13"/>
  <c r="H216" i="16"/>
  <c r="H204" i="13"/>
  <c r="H204" i="14"/>
  <c r="E83" i="13"/>
  <c r="H82" i="13"/>
  <c r="H83" i="13" s="1"/>
  <c r="E77" i="13"/>
  <c r="H76" i="13"/>
  <c r="H77" i="13" s="1"/>
  <c r="H210" i="14"/>
  <c r="H216" i="14"/>
  <c r="H229" i="14"/>
  <c r="H216" i="13"/>
  <c r="H217" i="13" s="1"/>
  <c r="H223" i="13"/>
  <c r="H250" i="13" s="1"/>
  <c r="D71" i="13"/>
  <c r="H70" i="13"/>
  <c r="H71" i="13" s="1"/>
  <c r="H242" i="14"/>
  <c r="H223" i="14"/>
  <c r="E77" i="14"/>
  <c r="H76" i="14"/>
  <c r="H77" i="14" s="1"/>
  <c r="D83" i="14"/>
  <c r="H82" i="14"/>
  <c r="H83" i="14" s="1"/>
  <c r="D71" i="14"/>
  <c r="H70" i="14"/>
  <c r="H71" i="14" s="1"/>
  <c r="H204" i="16"/>
  <c r="H223" i="16"/>
  <c r="D22" i="11"/>
  <c r="D24" i="11" s="1"/>
  <c r="D25" i="11" s="1"/>
  <c r="F14" i="17"/>
  <c r="F11" i="17"/>
  <c r="F12" i="17"/>
  <c r="F13" i="17"/>
  <c r="E12" i="17"/>
  <c r="E13" i="17"/>
  <c r="E14" i="17"/>
  <c r="E11" i="17"/>
  <c r="H242" i="16"/>
  <c r="H229" i="16"/>
  <c r="H210" i="16"/>
  <c r="D71" i="16"/>
  <c r="H70" i="16"/>
  <c r="H71" i="16" s="1"/>
  <c r="H119" i="15"/>
  <c r="G42" i="17"/>
  <c r="G58" i="17"/>
  <c r="G42" i="15"/>
  <c r="G58" i="15"/>
  <c r="P72" i="11"/>
  <c r="H82" i="15"/>
  <c r="H83" i="15" s="1"/>
  <c r="H76" i="15"/>
  <c r="H242" i="15"/>
  <c r="H229" i="15"/>
  <c r="H70" i="15"/>
  <c r="H15" i="15"/>
  <c r="D251" i="11"/>
  <c r="D250" i="11"/>
  <c r="F118" i="16"/>
  <c r="F119" i="16" s="1"/>
  <c r="E87" i="17"/>
  <c r="E73" i="17"/>
  <c r="E204" i="17"/>
  <c r="F204" i="17"/>
  <c r="E118" i="16"/>
  <c r="E119" i="16" s="1"/>
  <c r="E145" i="17"/>
  <c r="P32" i="11"/>
  <c r="E52" i="15"/>
  <c r="F52" i="13"/>
  <c r="F230" i="13"/>
  <c r="F243" i="13" s="1"/>
  <c r="F230" i="15"/>
  <c r="F243" i="15" s="1"/>
  <c r="F145" i="17"/>
  <c r="F84" i="17"/>
  <c r="F78" i="17"/>
  <c r="F72" i="17"/>
  <c r="F66" i="17"/>
  <c r="D230" i="16"/>
  <c r="E230" i="16"/>
  <c r="E243" i="16" s="1"/>
  <c r="F230" i="16"/>
  <c r="F243" i="16" s="1"/>
  <c r="E111" i="17"/>
  <c r="E118" i="17" s="1"/>
  <c r="F111" i="17"/>
  <c r="F118" i="17" s="1"/>
  <c r="D118" i="16"/>
  <c r="D119" i="16" s="1"/>
  <c r="D217" i="16"/>
  <c r="D250" i="16"/>
  <c r="D251" i="16"/>
  <c r="F217" i="16"/>
  <c r="E217" i="16"/>
  <c r="E251" i="16"/>
  <c r="E250" i="16"/>
  <c r="F251" i="16"/>
  <c r="F250" i="16"/>
  <c r="F22" i="16"/>
  <c r="F24" i="16" s="1"/>
  <c r="F25" i="16" s="1"/>
  <c r="E105" i="17"/>
  <c r="F122" i="17"/>
  <c r="F123" i="17" s="1"/>
  <c r="F105" i="17"/>
  <c r="P111" i="11"/>
  <c r="P118" i="11" s="1"/>
  <c r="P119" i="11" s="1"/>
  <c r="E230" i="15"/>
  <c r="E243" i="15" s="1"/>
  <c r="D230" i="15"/>
  <c r="H258" i="15"/>
  <c r="D83" i="15"/>
  <c r="D77" i="15"/>
  <c r="D7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E229" i="17"/>
  <c r="E210" i="17"/>
  <c r="F20" i="17"/>
  <c r="F17" i="17"/>
  <c r="F18" i="17"/>
  <c r="F19" i="17"/>
  <c r="E18" i="17"/>
  <c r="E20" i="17"/>
  <c r="E19" i="17"/>
  <c r="E17" i="17"/>
  <c r="D118" i="14"/>
  <c r="D119" i="14" s="1"/>
  <c r="E118" i="14"/>
  <c r="E119" i="14" s="1"/>
  <c r="F118" i="14"/>
  <c r="F119" i="14" s="1"/>
  <c r="F223" i="17"/>
  <c r="E242" i="17"/>
  <c r="E230" i="13"/>
  <c r="E243" i="13" s="1"/>
  <c r="E223" i="17"/>
  <c r="D217" i="13"/>
  <c r="D251" i="13"/>
  <c r="D250" i="13"/>
  <c r="E217" i="13"/>
  <c r="E250" i="13"/>
  <c r="E251" i="13"/>
  <c r="F250" i="13"/>
  <c r="F251" i="13"/>
  <c r="F22" i="13"/>
  <c r="F24" i="13" s="1"/>
  <c r="F25" i="13" s="1"/>
  <c r="E193" i="17"/>
  <c r="F242" i="17"/>
  <c r="E236" i="17"/>
  <c r="D118" i="11"/>
  <c r="D119" i="11" s="1"/>
  <c r="F81" i="17"/>
  <c r="E216" i="17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F193" i="17"/>
  <c r="F9" i="17"/>
  <c r="F232" i="17"/>
  <c r="F236" i="17" s="1"/>
  <c r="F230" i="14"/>
  <c r="F243" i="14" s="1"/>
  <c r="F229" i="17"/>
  <c r="F216" i="17"/>
  <c r="E230" i="14"/>
  <c r="E243" i="14" s="1"/>
  <c r="F250" i="14"/>
  <c r="F251" i="14"/>
  <c r="D217" i="14"/>
  <c r="D251" i="14"/>
  <c r="D250" i="14"/>
  <c r="E217" i="14"/>
  <c r="E251" i="14"/>
  <c r="E250" i="14"/>
  <c r="F22" i="14"/>
  <c r="F24" i="14" s="1"/>
  <c r="F25" i="14" s="1"/>
  <c r="P193" i="11"/>
  <c r="P144" i="11"/>
  <c r="P147" i="11"/>
  <c r="P148" i="11"/>
  <c r="P134" i="11"/>
  <c r="E9" i="17"/>
  <c r="E22" i="14"/>
  <c r="E24" i="14" s="1"/>
  <c r="E25" i="14" s="1"/>
  <c r="P45" i="11"/>
  <c r="D15" i="16"/>
  <c r="H15" i="16" s="1"/>
  <c r="E22" i="16"/>
  <c r="E24" i="16" s="1"/>
  <c r="E25" i="16" s="1"/>
  <c r="H204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D230" i="14"/>
  <c r="F217" i="14"/>
  <c r="D230" i="13"/>
  <c r="D15" i="13"/>
  <c r="H15" i="13" s="1"/>
  <c r="F217" i="13"/>
  <c r="E22" i="13"/>
  <c r="E24" i="13" s="1"/>
  <c r="E25" i="13" s="1"/>
  <c r="P236" i="11"/>
  <c r="P123" i="11"/>
  <c r="P223" i="11"/>
  <c r="P30" i="11"/>
  <c r="P62" i="11"/>
  <c r="P146" i="11"/>
  <c r="P210" i="11"/>
  <c r="P47" i="11"/>
  <c r="P15" i="11"/>
  <c r="P21" i="11"/>
  <c r="P34" i="11"/>
  <c r="P145" i="11"/>
  <c r="P139" i="11"/>
  <c r="E79" i="17"/>
  <c r="D38" i="13"/>
  <c r="D15" i="14"/>
  <c r="H15" i="14" s="1"/>
  <c r="D40" i="15"/>
  <c r="D30" i="14"/>
  <c r="D62" i="16"/>
  <c r="D30" i="15"/>
  <c r="D30" i="16"/>
  <c r="D38" i="14"/>
  <c r="D40" i="13"/>
  <c r="D38" i="15"/>
  <c r="D38" i="16"/>
  <c r="D30" i="13"/>
  <c r="F52" i="17"/>
  <c r="F73" i="17"/>
  <c r="F91" i="17" s="1"/>
  <c r="E52" i="17"/>
  <c r="D40" i="14"/>
  <c r="H123" i="15"/>
  <c r="D40" i="16"/>
  <c r="D21" i="16"/>
  <c r="H21" i="16" s="1"/>
  <c r="D34" i="16"/>
  <c r="D45" i="16"/>
  <c r="D41" i="16"/>
  <c r="E41" i="16"/>
  <c r="D32" i="16"/>
  <c r="F41" i="16"/>
  <c r="H129" i="15"/>
  <c r="D21" i="15"/>
  <c r="D34" i="15"/>
  <c r="D45" i="15"/>
  <c r="D41" i="15"/>
  <c r="E41" i="15"/>
  <c r="D62" i="15"/>
  <c r="D32" i="15"/>
  <c r="F41" i="15"/>
  <c r="H210" i="15"/>
  <c r="H223" i="15"/>
  <c r="D21" i="14"/>
  <c r="H21" i="14" s="1"/>
  <c r="D34" i="14"/>
  <c r="D45" i="14"/>
  <c r="D41" i="14"/>
  <c r="E41" i="14"/>
  <c r="D62" i="14"/>
  <c r="D32" i="14"/>
  <c r="F41" i="14"/>
  <c r="D21" i="13"/>
  <c r="H21" i="13" s="1"/>
  <c r="D34" i="13"/>
  <c r="D45" i="13"/>
  <c r="D41" i="13"/>
  <c r="E41" i="13"/>
  <c r="D62" i="13"/>
  <c r="D32" i="13"/>
  <c r="F41" i="13"/>
  <c r="P129" i="11"/>
  <c r="F87" i="17"/>
  <c r="F88" i="17" s="1"/>
  <c r="N76" i="11"/>
  <c r="H251" i="16" l="1"/>
  <c r="H217" i="14"/>
  <c r="H243" i="16"/>
  <c r="H251" i="13"/>
  <c r="H243" i="13"/>
  <c r="H41" i="13"/>
  <c r="H42" i="13" s="1"/>
  <c r="E15" i="17"/>
  <c r="H243" i="14"/>
  <c r="H250" i="14"/>
  <c r="D243" i="13"/>
  <c r="H230" i="13"/>
  <c r="H251" i="14"/>
  <c r="H41" i="14"/>
  <c r="H42" i="14" s="1"/>
  <c r="F15" i="17"/>
  <c r="D243" i="14"/>
  <c r="H230" i="14"/>
  <c r="H250" i="16"/>
  <c r="H41" i="16"/>
  <c r="H42" i="16" s="1"/>
  <c r="H217" i="16"/>
  <c r="D243" i="16"/>
  <c r="H230" i="16"/>
  <c r="H71" i="15"/>
  <c r="G59" i="17"/>
  <c r="G249" i="17"/>
  <c r="G60" i="17"/>
  <c r="P74" i="11"/>
  <c r="N77" i="11"/>
  <c r="E88" i="17"/>
  <c r="H87" i="17"/>
  <c r="G59" i="15"/>
  <c r="G249" i="15"/>
  <c r="G60" i="15"/>
  <c r="P87" i="11"/>
  <c r="H41" i="15"/>
  <c r="H42" i="15" s="1"/>
  <c r="D243" i="15"/>
  <c r="H230" i="15"/>
  <c r="D22" i="15"/>
  <c r="D24" i="15" s="1"/>
  <c r="D25" i="15" s="1"/>
  <c r="H21" i="15"/>
  <c r="P251" i="11"/>
  <c r="P250" i="11"/>
  <c r="E251" i="17"/>
  <c r="E250" i="17"/>
  <c r="F251" i="17"/>
  <c r="F250" i="17"/>
  <c r="F230" i="17"/>
  <c r="F243" i="17" s="1"/>
  <c r="P73" i="11"/>
  <c r="F90" i="17"/>
  <c r="H90" i="17" s="1"/>
  <c r="D22" i="16"/>
  <c r="F71" i="17"/>
  <c r="E230" i="17"/>
  <c r="E243" i="17" s="1"/>
  <c r="P37" i="11"/>
  <c r="P38" i="11" s="1"/>
  <c r="F39" i="17"/>
  <c r="F40" i="17" s="1"/>
  <c r="F37" i="17"/>
  <c r="F38" i="17" s="1"/>
  <c r="E39" i="17"/>
  <c r="E40" i="17" s="1"/>
  <c r="E37" i="17"/>
  <c r="E38" i="17" s="1"/>
  <c r="E119" i="17"/>
  <c r="F119" i="17"/>
  <c r="E21" i="17"/>
  <c r="F21" i="17"/>
  <c r="F82" i="17"/>
  <c r="F83" i="17" s="1"/>
  <c r="E217" i="17"/>
  <c r="H37" i="15"/>
  <c r="H38" i="15" s="1"/>
  <c r="P39" i="11"/>
  <c r="P40" i="11" s="1"/>
  <c r="H39" i="15"/>
  <c r="H40" i="15" s="1"/>
  <c r="E122" i="17"/>
  <c r="E123" i="17" s="1"/>
  <c r="H77" i="15"/>
  <c r="H243" i="15"/>
  <c r="H251" i="15"/>
  <c r="H250" i="15"/>
  <c r="H149" i="15"/>
  <c r="D22" i="13"/>
  <c r="F93" i="17"/>
  <c r="F256" i="17"/>
  <c r="F258" i="17" s="1"/>
  <c r="F74" i="17"/>
  <c r="F76" i="17" s="1"/>
  <c r="E149" i="17"/>
  <c r="F217" i="17"/>
  <c r="F149" i="17"/>
  <c r="E74" i="17"/>
  <c r="E76" i="17" s="1"/>
  <c r="E85" i="17"/>
  <c r="E93" i="17" s="1"/>
  <c r="E83" i="17"/>
  <c r="F45" i="17"/>
  <c r="F47" i="17"/>
  <c r="F30" i="17"/>
  <c r="F62" i="17"/>
  <c r="F32" i="17"/>
  <c r="F34" i="17"/>
  <c r="P149" i="11"/>
  <c r="P22" i="11"/>
  <c r="P24" i="11" s="1"/>
  <c r="P25" i="11" s="1"/>
  <c r="E47" i="17"/>
  <c r="E34" i="17"/>
  <c r="E45" i="17"/>
  <c r="E32" i="17"/>
  <c r="E30" i="17"/>
  <c r="E62" i="17"/>
  <c r="D22" i="14"/>
  <c r="F58" i="16"/>
  <c r="F249" i="16" s="1"/>
  <c r="F42" i="16"/>
  <c r="E42" i="16"/>
  <c r="E58" i="16"/>
  <c r="E249" i="16" s="1"/>
  <c r="D42" i="16"/>
  <c r="D58" i="16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30" i="15"/>
  <c r="D42" i="14"/>
  <c r="D58" i="14"/>
  <c r="E42" i="14"/>
  <c r="E58" i="14"/>
  <c r="E249" i="14" s="1"/>
  <c r="F58" i="14"/>
  <c r="F249" i="14" s="1"/>
  <c r="F42" i="14"/>
  <c r="D42" i="13"/>
  <c r="E42" i="13"/>
  <c r="E58" i="13"/>
  <c r="E249" i="13" s="1"/>
  <c r="F42" i="13"/>
  <c r="F58" i="13"/>
  <c r="F249" i="13" s="1"/>
  <c r="E22" i="17" l="1"/>
  <c r="E24" i="17" s="1"/>
  <c r="E25" i="17" s="1"/>
  <c r="F22" i="17"/>
  <c r="F24" i="17" s="1"/>
  <c r="F25" i="17" s="1"/>
  <c r="D24" i="13"/>
  <c r="D25" i="13" s="1"/>
  <c r="H22" i="13"/>
  <c r="D249" i="14"/>
  <c r="H58" i="14"/>
  <c r="D24" i="14"/>
  <c r="D25" i="14" s="1"/>
  <c r="H22" i="14"/>
  <c r="H22" i="15"/>
  <c r="H24" i="15" s="1"/>
  <c r="D249" i="16"/>
  <c r="H58" i="16"/>
  <c r="D24" i="16"/>
  <c r="D25" i="16" s="1"/>
  <c r="H22" i="16"/>
  <c r="P77" i="11"/>
  <c r="P76" i="11"/>
  <c r="E41" i="17"/>
  <c r="E42" i="17" s="1"/>
  <c r="F41" i="17"/>
  <c r="F42" i="17" s="1"/>
  <c r="F77" i="17"/>
  <c r="F92" i="17"/>
  <c r="F94" i="17" s="1"/>
  <c r="E77" i="17"/>
  <c r="E92" i="17"/>
  <c r="E94" i="17" s="1"/>
  <c r="E99" i="17" s="1"/>
  <c r="E91" i="17"/>
  <c r="E256" i="17" s="1"/>
  <c r="E258" i="17" s="1"/>
  <c r="D59" i="16"/>
  <c r="D60" i="16"/>
  <c r="E59" i="16"/>
  <c r="E60" i="16"/>
  <c r="F59" i="16"/>
  <c r="F60" i="16"/>
  <c r="E59" i="15"/>
  <c r="E60" i="15"/>
  <c r="H259" i="15"/>
  <c r="F59" i="15"/>
  <c r="F60" i="15"/>
  <c r="F59" i="14"/>
  <c r="F60" i="14"/>
  <c r="E59" i="14"/>
  <c r="E60" i="14"/>
  <c r="D59" i="14"/>
  <c r="D60" i="14"/>
  <c r="F59" i="13"/>
  <c r="F60" i="13"/>
  <c r="E59" i="13"/>
  <c r="E60" i="13"/>
  <c r="H24" i="13" l="1"/>
  <c r="H25" i="13" s="1"/>
  <c r="H249" i="14"/>
  <c r="H59" i="14"/>
  <c r="H60" i="14"/>
  <c r="H24" i="14"/>
  <c r="H25" i="14" s="1"/>
  <c r="H249" i="16"/>
  <c r="H59" i="16"/>
  <c r="H60" i="16"/>
  <c r="H24" i="16"/>
  <c r="H25" i="16" s="1"/>
  <c r="H25" i="15"/>
  <c r="E58" i="17"/>
  <c r="E249" i="17" s="1"/>
  <c r="F58" i="17"/>
  <c r="F249" i="17" s="1"/>
  <c r="F95" i="17"/>
  <c r="F255" i="17" s="1"/>
  <c r="F259" i="17" s="1"/>
  <c r="F99" i="17"/>
  <c r="E95" i="17"/>
  <c r="E255" i="17" s="1"/>
  <c r="E259" i="17" s="1"/>
  <c r="E59" i="17" l="1"/>
  <c r="E60" i="17"/>
  <c r="F60" i="17"/>
  <c r="F59" i="17"/>
  <c r="D228" i="17"/>
  <c r="H228" i="17" s="1"/>
  <c r="D227" i="17"/>
  <c r="H227" i="17" s="1"/>
  <c r="D226" i="17"/>
  <c r="H226" i="17" s="1"/>
  <c r="D225" i="17"/>
  <c r="H225" i="17" s="1"/>
  <c r="D104" i="17"/>
  <c r="H104" i="17" s="1"/>
  <c r="D229" i="17" l="1"/>
  <c r="H229" i="17" s="1"/>
  <c r="N193" i="11"/>
  <c r="D98" i="17" l="1"/>
  <c r="H98" i="17" s="1"/>
  <c r="N70" i="11"/>
  <c r="D9" i="17"/>
  <c r="H9" i="17" s="1"/>
  <c r="D13" i="17"/>
  <c r="H13" i="17" s="1"/>
  <c r="N30" i="11"/>
  <c r="N32" i="11"/>
  <c r="N34" i="11"/>
  <c r="N38" i="11"/>
  <c r="N40" i="11"/>
  <c r="N45" i="11"/>
  <c r="N47" i="11"/>
  <c r="D61" i="17"/>
  <c r="H61" i="17" s="1"/>
  <c r="D62" i="11"/>
  <c r="N62" i="11"/>
  <c r="P66" i="11"/>
  <c r="P78" i="11"/>
  <c r="N82" i="11"/>
  <c r="P84" i="11"/>
  <c r="D101" i="17"/>
  <c r="H101" i="17" s="1"/>
  <c r="D102" i="17"/>
  <c r="H102" i="17" s="1"/>
  <c r="D103" i="17"/>
  <c r="H103" i="17" s="1"/>
  <c r="D107" i="17"/>
  <c r="H107" i="17" s="1"/>
  <c r="D108" i="17"/>
  <c r="H108" i="17" s="1"/>
  <c r="D109" i="17"/>
  <c r="H109" i="17" s="1"/>
  <c r="D110" i="17"/>
  <c r="H110" i="17" s="1"/>
  <c r="D121" i="17"/>
  <c r="H121" i="17" s="1"/>
  <c r="D122" i="17"/>
  <c r="H122" i="17" s="1"/>
  <c r="D125" i="17"/>
  <c r="H125" i="17" s="1"/>
  <c r="D130" i="17"/>
  <c r="H130" i="17" s="1"/>
  <c r="D140" i="17"/>
  <c r="H140" i="17" s="1"/>
  <c r="P194" i="11" l="1"/>
  <c r="H123" i="17"/>
  <c r="N71" i="11"/>
  <c r="N83" i="11"/>
  <c r="D69" i="17"/>
  <c r="H69" i="17" s="1"/>
  <c r="P69" i="11"/>
  <c r="D68" i="17"/>
  <c r="H68" i="17" s="1"/>
  <c r="P68" i="11"/>
  <c r="D123" i="17"/>
  <c r="D52" i="15"/>
  <c r="H52" i="15" s="1"/>
  <c r="D52" i="13"/>
  <c r="H52" i="13" s="1"/>
  <c r="H111" i="17"/>
  <c r="H118" i="17" s="1"/>
  <c r="H105" i="17"/>
  <c r="D105" i="17"/>
  <c r="D111" i="17"/>
  <c r="D118" i="17" s="1"/>
  <c r="D18" i="17"/>
  <c r="H18" i="17" s="1"/>
  <c r="D62" i="17"/>
  <c r="P70" i="11"/>
  <c r="N91" i="11"/>
  <c r="N256" i="11" s="1"/>
  <c r="D204" i="11"/>
  <c r="N41" i="11"/>
  <c r="N58" i="11" s="1"/>
  <c r="N90" i="11"/>
  <c r="P90" i="11"/>
  <c r="D136" i="17"/>
  <c r="H136" i="17" s="1"/>
  <c r="D127" i="17"/>
  <c r="H127" i="17" s="1"/>
  <c r="D162" i="17"/>
  <c r="H162" i="17" s="1"/>
  <c r="N89" i="11"/>
  <c r="D133" i="17"/>
  <c r="H133" i="17" s="1"/>
  <c r="D209" i="17"/>
  <c r="H209" i="17" s="1"/>
  <c r="D191" i="17"/>
  <c r="H191" i="17" s="1"/>
  <c r="D172" i="17"/>
  <c r="H172" i="17" s="1"/>
  <c r="D46" i="17"/>
  <c r="H46" i="17" s="1"/>
  <c r="D29" i="17"/>
  <c r="D190" i="17"/>
  <c r="H190" i="17" s="1"/>
  <c r="D171" i="17"/>
  <c r="H171" i="17" s="1"/>
  <c r="D219" i="17"/>
  <c r="H219" i="17" s="1"/>
  <c r="D192" i="17"/>
  <c r="H192" i="17" s="1"/>
  <c r="D160" i="17"/>
  <c r="H160" i="17" s="1"/>
  <c r="D180" i="17"/>
  <c r="H180" i="17" s="1"/>
  <c r="D220" i="17"/>
  <c r="H220" i="17" s="1"/>
  <c r="D194" i="17"/>
  <c r="H194" i="17" s="1"/>
  <c r="D174" i="17"/>
  <c r="H174" i="17" s="1"/>
  <c r="D161" i="17"/>
  <c r="H161" i="17" s="1"/>
  <c r="D126" i="17"/>
  <c r="H126" i="17" s="1"/>
  <c r="P81" i="11"/>
  <c r="D233" i="17"/>
  <c r="H233" i="17" s="1"/>
  <c r="D206" i="17"/>
  <c r="H206" i="17" s="1"/>
  <c r="D197" i="17"/>
  <c r="H197" i="17" s="1"/>
  <c r="D177" i="17"/>
  <c r="H177" i="17" s="1"/>
  <c r="D163" i="17"/>
  <c r="H163" i="17" s="1"/>
  <c r="D137" i="17"/>
  <c r="H137" i="17" s="1"/>
  <c r="D128" i="17"/>
  <c r="H128" i="17" s="1"/>
  <c r="D73" i="17"/>
  <c r="H73" i="17" s="1"/>
  <c r="D253" i="17"/>
  <c r="H253" i="17" s="1"/>
  <c r="D207" i="17"/>
  <c r="H207" i="17" s="1"/>
  <c r="D164" i="17"/>
  <c r="H164" i="17" s="1"/>
  <c r="D138" i="17"/>
  <c r="H138" i="17" s="1"/>
  <c r="D56" i="17"/>
  <c r="H56" i="17" s="1"/>
  <c r="D49" i="17"/>
  <c r="H49" i="17" s="1"/>
  <c r="D44" i="17"/>
  <c r="H44" i="17" s="1"/>
  <c r="D39" i="17"/>
  <c r="H39" i="17" s="1"/>
  <c r="D254" i="17"/>
  <c r="H254" i="17" s="1"/>
  <c r="D234" i="17"/>
  <c r="H234" i="17" s="1"/>
  <c r="D208" i="17"/>
  <c r="H208" i="17" s="1"/>
  <c r="D165" i="17"/>
  <c r="H165" i="17" s="1"/>
  <c r="D153" i="17"/>
  <c r="H153" i="17" s="1"/>
  <c r="D63" i="17"/>
  <c r="H63" i="17" s="1"/>
  <c r="D50" i="17"/>
  <c r="H50" i="17" s="1"/>
  <c r="D175" i="17"/>
  <c r="H175" i="17" s="1"/>
  <c r="D167" i="17"/>
  <c r="H167" i="17" s="1"/>
  <c r="D154" i="17"/>
  <c r="H154" i="17" s="1"/>
  <c r="D54" i="17"/>
  <c r="H54" i="17" s="1"/>
  <c r="D51" i="17"/>
  <c r="H51" i="17" s="1"/>
  <c r="D31" i="17"/>
  <c r="H31" i="17" s="1"/>
  <c r="D11" i="17"/>
  <c r="H11" i="17" s="1"/>
  <c r="D232" i="17"/>
  <c r="H232" i="17" s="1"/>
  <c r="D181" i="17"/>
  <c r="H181" i="17" s="1"/>
  <c r="D168" i="17"/>
  <c r="H168" i="17" s="1"/>
  <c r="D52" i="17"/>
  <c r="H52" i="17" s="1"/>
  <c r="D222" i="17"/>
  <c r="H222" i="17" s="1"/>
  <c r="D182" i="17"/>
  <c r="H182" i="17" s="1"/>
  <c r="D178" i="17"/>
  <c r="H178" i="17" s="1"/>
  <c r="D169" i="17"/>
  <c r="H169" i="17" s="1"/>
  <c r="D221" i="17"/>
  <c r="H221" i="17" s="1"/>
  <c r="D195" i="17"/>
  <c r="H195" i="17" s="1"/>
  <c r="D189" i="17"/>
  <c r="H189" i="17" s="1"/>
  <c r="D179" i="17"/>
  <c r="H179" i="17" s="1"/>
  <c r="D173" i="17"/>
  <c r="H173" i="17" s="1"/>
  <c r="D170" i="17"/>
  <c r="H170" i="17" s="1"/>
  <c r="D55" i="17"/>
  <c r="H55" i="17" s="1"/>
  <c r="D159" i="17"/>
  <c r="H159" i="17" s="1"/>
  <c r="D132" i="17"/>
  <c r="H132" i="17" s="1"/>
  <c r="D257" i="17"/>
  <c r="H257" i="17" s="1"/>
  <c r="D158" i="17"/>
  <c r="H158" i="17" s="1"/>
  <c r="D143" i="17"/>
  <c r="H143" i="17" s="1"/>
  <c r="D131" i="17"/>
  <c r="H131" i="17" s="1"/>
  <c r="D37" i="17"/>
  <c r="H37" i="17" s="1"/>
  <c r="D203" i="17"/>
  <c r="H203" i="17" s="1"/>
  <c r="D157" i="17"/>
  <c r="H157" i="17" s="1"/>
  <c r="D142" i="17"/>
  <c r="H142" i="17" s="1"/>
  <c r="D241" i="17"/>
  <c r="H241" i="17" s="1"/>
  <c r="D215" i="17"/>
  <c r="H215" i="17" s="1"/>
  <c r="D202" i="17"/>
  <c r="H202" i="17" s="1"/>
  <c r="D156" i="17"/>
  <c r="H156" i="17" s="1"/>
  <c r="D141" i="17"/>
  <c r="H141" i="17" s="1"/>
  <c r="D33" i="17"/>
  <c r="H33" i="17" s="1"/>
  <c r="D240" i="17"/>
  <c r="H240" i="17" s="1"/>
  <c r="D214" i="17"/>
  <c r="H214" i="17" s="1"/>
  <c r="D201" i="17"/>
  <c r="H201" i="17" s="1"/>
  <c r="D155" i="17"/>
  <c r="H155" i="17" s="1"/>
  <c r="D239" i="17"/>
  <c r="H239" i="17" s="1"/>
  <c r="D213" i="17"/>
  <c r="H213" i="17" s="1"/>
  <c r="D200" i="17"/>
  <c r="H200" i="17" s="1"/>
  <c r="D238" i="17"/>
  <c r="H238" i="17" s="1"/>
  <c r="D212" i="17"/>
  <c r="H212" i="17" s="1"/>
  <c r="D199" i="17"/>
  <c r="H199" i="17" s="1"/>
  <c r="D14" i="17"/>
  <c r="H14" i="17" s="1"/>
  <c r="D235" i="17"/>
  <c r="H235" i="17" s="1"/>
  <c r="D12" i="17"/>
  <c r="H12" i="17" s="1"/>
  <c r="N60" i="11" l="1"/>
  <c r="N59" i="11"/>
  <c r="N249" i="11"/>
  <c r="D30" i="17"/>
  <c r="H29" i="17"/>
  <c r="H30" i="17" s="1"/>
  <c r="P253" i="11"/>
  <c r="D70" i="17"/>
  <c r="H70" i="17" s="1"/>
  <c r="D255" i="11"/>
  <c r="D259" i="11" s="1"/>
  <c r="P204" i="11"/>
  <c r="P199" i="11"/>
  <c r="D85" i="17"/>
  <c r="H85" i="17" s="1"/>
  <c r="P85" i="11"/>
  <c r="D79" i="17"/>
  <c r="H79" i="17" s="1"/>
  <c r="P79" i="11"/>
  <c r="D67" i="17"/>
  <c r="H67" i="17" s="1"/>
  <c r="P67" i="11"/>
  <c r="N42" i="11"/>
  <c r="D38" i="17"/>
  <c r="D58" i="13"/>
  <c r="H58" i="13" s="1"/>
  <c r="P52" i="11"/>
  <c r="D58" i="15"/>
  <c r="H58" i="15" s="1"/>
  <c r="D135" i="17"/>
  <c r="H148" i="17"/>
  <c r="D119" i="17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D134" i="17"/>
  <c r="D129" i="17"/>
  <c r="D144" i="17"/>
  <c r="D148" i="17"/>
  <c r="D147" i="17"/>
  <c r="D146" i="17"/>
  <c r="D81" i="17"/>
  <c r="D74" i="17"/>
  <c r="D193" i="17"/>
  <c r="H193" i="17"/>
  <c r="D47" i="17"/>
  <c r="D45" i="17"/>
  <c r="D34" i="17"/>
  <c r="D32" i="17"/>
  <c r="D41" i="17"/>
  <c r="H41" i="17" s="1"/>
  <c r="D242" i="17"/>
  <c r="H242" i="17" s="1"/>
  <c r="D236" i="17"/>
  <c r="H236" i="17" s="1"/>
  <c r="D223" i="17"/>
  <c r="H223" i="17" s="1"/>
  <c r="D210" i="17"/>
  <c r="H210" i="17" s="1"/>
  <c r="D15" i="17"/>
  <c r="H15" i="17"/>
  <c r="D216" i="17"/>
  <c r="H216" i="17" s="1"/>
  <c r="H32" i="17"/>
  <c r="H38" i="17"/>
  <c r="H62" i="17"/>
  <c r="H47" i="17"/>
  <c r="H34" i="17"/>
  <c r="H40" i="17"/>
  <c r="H45" i="17"/>
  <c r="P71" i="11"/>
  <c r="N94" i="11"/>
  <c r="P91" i="11"/>
  <c r="P89" i="11"/>
  <c r="P92" i="11"/>
  <c r="H249" i="13" l="1"/>
  <c r="H59" i="13"/>
  <c r="H60" i="13"/>
  <c r="D91" i="17"/>
  <c r="H91" i="17" s="1"/>
  <c r="D76" i="17"/>
  <c r="H76" i="17" s="1"/>
  <c r="H74" i="17"/>
  <c r="D139" i="17"/>
  <c r="H135" i="17"/>
  <c r="D82" i="17"/>
  <c r="H82" i="17" s="1"/>
  <c r="H81" i="17"/>
  <c r="D71" i="17"/>
  <c r="N258" i="11"/>
  <c r="N95" i="11"/>
  <c r="N255" i="11" s="1"/>
  <c r="N259" i="11" s="1"/>
  <c r="D256" i="16"/>
  <c r="P256" i="11"/>
  <c r="P258" i="11" s="1"/>
  <c r="D251" i="17"/>
  <c r="D250" i="17"/>
  <c r="D247" i="11"/>
  <c r="D216" i="11"/>
  <c r="P212" i="11"/>
  <c r="D229" i="11"/>
  <c r="P83" i="11"/>
  <c r="P82" i="11"/>
  <c r="P254" i="11"/>
  <c r="D255" i="13"/>
  <c r="H255" i="13" s="1"/>
  <c r="H259" i="13" s="1"/>
  <c r="P41" i="11"/>
  <c r="P42" i="11" s="1"/>
  <c r="D58" i="11"/>
  <c r="D249" i="13"/>
  <c r="D59" i="13"/>
  <c r="D60" i="13"/>
  <c r="D249" i="15"/>
  <c r="D60" i="15"/>
  <c r="D59" i="15"/>
  <c r="D145" i="17"/>
  <c r="D149" i="17" s="1"/>
  <c r="H129" i="17"/>
  <c r="H146" i="17"/>
  <c r="H89" i="17"/>
  <c r="D88" i="17"/>
  <c r="H21" i="17"/>
  <c r="H22" i="17" s="1"/>
  <c r="D21" i="17"/>
  <c r="D22" i="17" s="1"/>
  <c r="D24" i="17" s="1"/>
  <c r="D25" i="17" s="1"/>
  <c r="H71" i="17"/>
  <c r="D93" i="17"/>
  <c r="H93" i="17" s="1"/>
  <c r="D92" i="17"/>
  <c r="H92" i="17" s="1"/>
  <c r="H42" i="17"/>
  <c r="D58" i="17"/>
  <c r="H58" i="17" s="1"/>
  <c r="D42" i="17"/>
  <c r="D230" i="17"/>
  <c r="H230" i="17" s="1"/>
  <c r="D217" i="17"/>
  <c r="D77" i="17" l="1"/>
  <c r="D256" i="17"/>
  <c r="H256" i="17" s="1"/>
  <c r="H258" i="17" s="1"/>
  <c r="D258" i="16"/>
  <c r="H256" i="16"/>
  <c r="H258" i="16" s="1"/>
  <c r="D89" i="17"/>
  <c r="H88" i="17"/>
  <c r="D83" i="17"/>
  <c r="H60" i="17"/>
  <c r="H251" i="17"/>
  <c r="H250" i="17"/>
  <c r="D59" i="11"/>
  <c r="P225" i="11"/>
  <c r="P229" i="11"/>
  <c r="D230" i="11"/>
  <c r="P216" i="11"/>
  <c r="D217" i="11"/>
  <c r="D259" i="13"/>
  <c r="P95" i="11"/>
  <c r="P94" i="11"/>
  <c r="D60" i="11"/>
  <c r="P58" i="11"/>
  <c r="H249" i="15"/>
  <c r="H59" i="15"/>
  <c r="H60" i="15"/>
  <c r="H145" i="17"/>
  <c r="H139" i="17"/>
  <c r="H149" i="17" s="1"/>
  <c r="D60" i="17"/>
  <c r="H83" i="17"/>
  <c r="D94" i="17"/>
  <c r="H94" i="17" s="1"/>
  <c r="H77" i="17"/>
  <c r="D59" i="17"/>
  <c r="D243" i="17"/>
  <c r="D249" i="17" s="1"/>
  <c r="H24" i="17"/>
  <c r="H25" i="17" s="1"/>
  <c r="H243" i="17"/>
  <c r="H217" i="17"/>
  <c r="D258" i="17" l="1"/>
  <c r="P255" i="11"/>
  <c r="P259" i="11" s="1"/>
  <c r="D255" i="16"/>
  <c r="H255" i="16" s="1"/>
  <c r="H259" i="16" s="1"/>
  <c r="P59" i="11"/>
  <c r="H59" i="17"/>
  <c r="H249" i="17"/>
  <c r="P238" i="11"/>
  <c r="P242" i="11" s="1"/>
  <c r="P243" i="11" s="1"/>
  <c r="P249" i="11" s="1"/>
  <c r="D242" i="11"/>
  <c r="D243" i="11" s="1"/>
  <c r="D249" i="11" s="1"/>
  <c r="P230" i="11"/>
  <c r="P217" i="11"/>
  <c r="P60" i="11"/>
  <c r="D95" i="17"/>
  <c r="D255" i="17" s="1"/>
  <c r="D99" i="17"/>
  <c r="H95" i="17"/>
  <c r="D259" i="17" l="1"/>
  <c r="H255" i="17"/>
  <c r="H259" i="17" s="1"/>
  <c r="D259" i="16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<sst xmlns="http://schemas.openxmlformats.org/spreadsheetml/2006/main" count="5397" uniqueCount="225">
  <si>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</si>
  <si>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</si>
  <si>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</si>
  <si>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</si>
  <si>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</si>
  <si>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</si>
  <si>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</si>
  <si>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</si>
  <si>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</si>
  <si>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</si>
  <si>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</si>
  <si>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</si>
  <si>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</si>
  <si>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</si>
  <si>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</si>
  <si>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</si>
  <si>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</si>
  <si>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</si>
  <si>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</si>
  <si>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</si>
  <si>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</si>
  <si>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</si>
  <si>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</si>
  <si>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</si>
  <si>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</si>
  <si>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</si>
  <si>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</si>
  <si>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</si>
  <si>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</si>
  <si>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</si>
  <si>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</si>
  <si>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</si>
  <si>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</si>
  <si>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</si>
  <si>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</si>
  <si>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</si>
  <si>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</si>
  <si>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</si>
  <si>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</si>
  <si>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</si>
  <si>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</si>
  <si>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</si>
  <si>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</si>
  <si>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</si>
  <si>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</si>
  <si>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</si>
  <si>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</si>
  <si>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</si>
  <si>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</si>
  <si>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</si>
  <si>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</si>
  <si>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</si>
  <si>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</si>
  <si>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</si>
  <si>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</si>
  <si>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</si>
  <si>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</si>
  <si>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</si>
  <si>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</si>
  <si>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</si>
  <si>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</si>
  <si>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</si>
  <si>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</si>
  <si>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</si>
  <si>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</si>
  <si>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</si>
  <si>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</si>
  <si>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</si>
  <si>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</si>
  <si>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</si>
  <si>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</si>
  <si>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</si>
  <si>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</si>
  <si>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</si>
  <si>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</si>
  <si>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</si>
  <si>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</si>
  <si>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</si>
  <si>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</si>
  <si>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</si>
  <si>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</si>
  <si>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</si>
  <si>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</si>
  <si>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</si>
  <si>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</si>
  <si>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</si>
  <si>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</si>
  <si>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</si>
  <si>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</si>
  <si>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</si>
  <si>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</si>
  <si>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</si>
  <si>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</si>
  <si>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</si>
  <si>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</si>
  <si>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</si>
  <si>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</si>
  <si>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</si>
  <si>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</si>
  <si>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</si>
  <si>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</si>
  <si>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</si>
  <si>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</si>
  <si>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</si>
  <si>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</si>
  <si>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</si>
  <si>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</si>
  <si>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</si>
  <si>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</si>
  <si>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</si>
  <si>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</si>
  <si>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</si>
  <si>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</si>
  <si>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</si>
  <si>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</si>
  <si>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</si>
  <si>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</si>
  <si>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</si>
  <si>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</si>
  <si>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</si>
  <si>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</si>
  <si>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</si>
  <si>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</si>
  <si>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</si>
  <si>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</si>
  <si>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</si>
  <si>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</si>
  <si>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</si>
  <si>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</si>
  <si>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</si>
  <si>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</si>
  <si>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</si>
  <si>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</si>
  <si>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</si>
  <si>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</si>
  <si>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</si>
  <si>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</si>
  <si>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</si>
  <si>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</si>
  <si>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</si>
  <si>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</si>
  <si>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</si>
  <si>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</si>
  <si>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</si>
  <si>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</si>
  <si>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</si>
  <si>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</si>
  <si>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</si>
  <si>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</si>
  <si>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</si>
  <si>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</si>
  <si>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</si>
  <si>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</si>
  <si>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</si>
  <si>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</si>
  <si>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</si>
  <si>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</si>
  <si>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</si>
  <si>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</si>
  <si>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</si>
  <si>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</si>
  <si>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</si>
  <si>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</si>
  <si>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</si>
  <si>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</si>
  <si>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</si>
  <si>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</si>
  <si>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</si>
  <si>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</si>
  <si>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</si>
  <si>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</si>
  <si>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</si>
  <si>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</si>
  <si>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</si>
  <si>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</si>
  <si>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</si>
  <si>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</si>
  <si>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</si>
  <si>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</si>
  <si>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</si>
  <si>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</si>
  <si>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</si>
  <si>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</si>
  <si>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</si>
  <si>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</si>
  <si>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</si>
  <si>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</si>
  <si>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</si>
  <si>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</si>
  <si>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</si>
  <si>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</si>
  <si>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</si>
  <si>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</si>
  <si>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</si>
  <si>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</si>
  <si>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</si>
  <si>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</si>
  <si>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</si>
  <si>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</si>
  <si>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</si>
  <si>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</si>
  <si>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</si>
  <si>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</si>
  <si>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</si>
  <si>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</si>
  <si>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</si>
  <si>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</si>
  <si>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</si>
  <si>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</si>
  <si>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</si>
  <si>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</si>
  <si>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</si>
  <si>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</si>
  <si>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</si>
  <si>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</si>
  <si>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</si>
  <si>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</si>
  <si>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</si>
  <si>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</si>
  <si>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Mangochi</t>
  </si>
  <si>
    <t>Monkey Bay</t>
  </si>
  <si>
    <t>Namwera</t>
  </si>
  <si>
    <t>MANGOCHI ZONE</t>
  </si>
  <si>
    <t>Nkhudzi</t>
  </si>
  <si>
    <t xml:space="preserve"> MONTHLY REPORTS - 2025/2026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</si>
</sst>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30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0" xfId="1" applyNumberFormat="1" applyFont="1" applyFill="1" applyBorder="1"/>
    <xf numFmtId="165" fontId="4" fillId="0" borderId="10" xfId="1" applyNumberFormat="1" applyFont="1" applyFill="1" applyBorder="1"/>
    <xf numFmtId="1" fontId="4" fillId="0" borderId="41" xfId="0" applyNumberFormat="1" applyFont="1" applyFill="1" applyBorder="1"/>
    <xf numFmtId="1" fontId="4" fillId="0" borderId="43" xfId="0" applyNumberFormat="1" applyFont="1" applyFill="1" applyBorder="1"/>
    <xf numFmtId="166" fontId="4" fillId="0" borderId="41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2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1" xfId="0" applyNumberFormat="1" applyFont="1" applyFill="1" applyBorder="1"/>
    <xf numFmtId="1" fontId="8" fillId="0" borderId="42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0" xfId="1" applyNumberFormat="1" applyFont="1" applyFill="1" applyBorder="1"/>
    <xf numFmtId="0" fontId="8" fillId="0" borderId="10" xfId="1" applyNumberFormat="1" applyFont="1" applyFill="1" applyBorder="1"/>
    <xf numFmtId="0" fontId="8" fillId="0" borderId="41" xfId="0" applyNumberFormat="1" applyFont="1" applyFill="1" applyBorder="1"/>
    <xf numFmtId="0" fontId="8" fillId="0" borderId="42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0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2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65" fontId="8" fillId="0" borderId="40" xfId="1" applyNumberFormat="1" applyFont="1" applyFill="1" applyBorder="1"/>
    <xf numFmtId="1" fontId="8" fillId="0" borderId="43" xfId="0" applyNumberFormat="1" applyFont="1" applyFill="1" applyBorder="1"/>
    <xf numFmtId="164" fontId="0" fillId="0" borderId="0" xfId="0" applyNumberFormat="1" applyFill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1" xfId="1" applyNumberFormat="1" applyFont="1" applyFill="1" applyBorder="1"/>
    <xf numFmtId="1" fontId="8" fillId="0" borderId="42" xfId="1" applyNumberFormat="1" applyFont="1" applyFill="1" applyBorder="1"/>
    <xf numFmtId="165" fontId="4" fillId="0" borderId="42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49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4" fillId="0" borderId="10" xfId="3" applyNumberFormat="1" applyFont="1" applyFill="1" applyBorder="1"/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2" xfId="0" applyNumberFormat="1" applyFont="1" applyBorder="1"/>
    <xf numFmtId="164" fontId="12" fillId="0" borderId="22" xfId="1" applyFont="1" applyFill="1" applyBorder="1" applyAlignment="1">
      <alignment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0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1" xfId="0" applyNumberFormat="1" applyFont="1" applyFill="1" applyBorder="1" applyAlignment="1"/>
    <xf numFmtId="1" fontId="8" fillId="0" borderId="7" xfId="0" applyNumberFormat="1" applyFont="1" applyFill="1" applyBorder="1" applyAlignment="1"/>
    <xf numFmtId="1" fontId="8" fillId="0" borderId="42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8" fillId="0" borderId="10" xfId="3" applyNumberFormat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0" fontId="5" fillId="0" borderId="6" xfId="0" applyFont="1" applyFill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4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9" borderId="26" xfId="0" applyFont="1" applyFill="1" applyBorder="1" applyAlignment="1"/>
    <xf numFmtId="0" fontId="7" fillId="9" borderId="46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2" fontId="21" fillId="0" borderId="42" xfId="0" applyNumberFormat="1" applyFont="1" applyBorder="1" applyAlignment="1"/>
    <xf numFmtId="165" fontId="8" fillId="0" borderId="23" xfId="1" applyNumberFormat="1" applyFont="1" applyFill="1" applyBorder="1" applyAlignment="1"/>
    <xf numFmtId="0" fontId="22" fillId="9" borderId="5" xfId="0" applyFont="1" applyFill="1" applyBorder="1" applyAlignment="1"/>
    <xf numFmtId="0" fontId="22" fillId="0" borderId="5" xfId="0" applyFont="1" applyFill="1" applyBorder="1" applyAlignment="1"/>
    <xf numFmtId="0" fontId="22" fillId="9" borderId="47" xfId="0" applyFont="1" applyFill="1" applyBorder="1" applyAlignment="1"/>
    <xf numFmtId="0" fontId="12" fillId="9" borderId="5" xfId="0" applyFont="1" applyFill="1" applyBorder="1" applyAlignment="1"/>
    <xf numFmtId="0" fontId="12" fillId="2" borderId="5" xfId="0" applyFont="1" applyFill="1" applyBorder="1" applyAlignment="1"/>
    <xf numFmtId="1" fontId="8" fillId="9" borderId="5" xfId="0" applyNumberFormat="1" applyFont="1" applyFill="1" applyBorder="1" applyAlignment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 applyAlignment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 applyAlignment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4" fillId="6" borderId="35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5" fillId="9" borderId="33" xfId="0" applyFont="1" applyFill="1" applyBorder="1" applyAlignment="1">
      <alignment vertical="center"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4" fillId="9" borderId="5" xfId="0" applyFont="1" applyFill="1" applyBorder="1" applyAlignment="1">
      <alignment wrapText="1"/>
    </xf>
    <xf numFmtId="0" fontId="25" fillId="0" borderId="0" xfId="0" applyFont="1"/>
    <xf numFmtId="168" fontId="4" fillId="0" borderId="10" xfId="3" applyNumberFormat="1" applyFont="1" applyFill="1" applyBorder="1"/>
    <xf numFmtId="2" fontId="21" fillId="0" borderId="42" xfId="0" applyNumberFormat="1" applyFont="1" applyBorder="1"/>
    <xf numFmtId="0" fontId="8" fillId="8" borderId="29" xfId="0" applyFont="1" applyFill="1" applyBorder="1" applyAlignment="1"/>
    <xf numFmtId="0" fontId="8" fillId="0" borderId="29" xfId="0" applyFont="1" applyBorder="1" applyAlignment="1">
      <alignment vertical="center" wrapText="1"/>
    </xf>
    <xf numFmtId="0" fontId="8" fillId="7" borderId="29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vertical="center"/>
    </xf>
    <xf numFmtId="0" fontId="4" fillId="6" borderId="28" xfId="0" applyFont="1" applyFill="1" applyBorder="1" applyAlignment="1">
      <alignment vertical="center"/>
    </xf>
    <xf numFmtId="164" fontId="25" fillId="0" borderId="0" xfId="0" applyNumberFormat="1" applyFont="1"/>
    <xf numFmtId="164" fontId="14" fillId="5" borderId="31" xfId="1" applyFont="1" applyFill="1" applyBorder="1"/>
    <xf numFmtId="4" fontId="14" fillId="5" borderId="27" xfId="0" applyNumberFormat="1" applyFont="1" applyFill="1" applyBorder="1"/>
    <xf numFmtId="0" fontId="22" fillId="9" borderId="27" xfId="0" applyFont="1" applyFill="1" applyBorder="1" applyAlignment="1"/>
    <xf numFmtId="164" fontId="8" fillId="0" borderId="10" xfId="1" applyFont="1" applyBorder="1" applyAlignment="1"/>
    <xf numFmtId="166" fontId="8" fillId="0" borderId="41" xfId="2" applyNumberFormat="1" applyFont="1" applyBorder="1" applyAlignment="1"/>
    <xf numFmtId="2" fontId="8" fillId="0" borderId="10" xfId="0" applyNumberFormat="1" applyFont="1" applyBorder="1" applyAlignment="1"/>
    <xf numFmtId="0" fontId="8" fillId="0" borderId="10" xfId="1" applyNumberFormat="1" applyFont="1" applyFill="1" applyBorder="1" applyAlignment="1"/>
    <xf numFmtId="1" fontId="4" fillId="0" borderId="1" xfId="1" applyNumberFormat="1" applyFont="1" applyFill="1" applyBorder="1" applyAlignment="1"/>
    <xf numFmtId="1" fontId="8" fillId="0" borderId="43" xfId="0" applyNumberFormat="1" applyFont="1" applyFill="1" applyBorder="1" applyAlignment="1"/>
    <xf numFmtId="166" fontId="8" fillId="0" borderId="41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2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0" fontId="21" fillId="0" borderId="0" xfId="0" applyFont="1" applyAlignment="1"/>
    <xf numFmtId="165" fontId="4" fillId="0" borderId="38" xfId="1" applyNumberFormat="1" applyFont="1" applyFill="1" applyBorder="1"/>
    <xf numFmtId="168" fontId="4" fillId="0" borderId="1" xfId="3" applyNumberFormat="1" applyFont="1" applyFill="1" applyBorder="1"/>
    <xf numFmtId="43" fontId="25" fillId="4" borderId="22" xfId="5" applyFont="1" applyFill="1" applyBorder="1" applyAlignment="1">
      <alignment horizontal="center"/>
    </xf>
    <xf numFmtId="43" fontId="25" fillId="4" borderId="50" xfId="5" applyFont="1" applyFill="1" applyBorder="1" applyAlignment="1">
      <alignment horizontal="center"/>
    </xf>
    <xf numFmtId="43" fontId="25" fillId="4" borderId="38" xfId="5" applyFont="1" applyFill="1" applyBorder="1" applyAlignment="1">
      <alignment horizontal="center"/>
    </xf>
    <xf numFmtId="43" fontId="25" fillId="4" borderId="4" xfId="5" applyFont="1" applyFill="1" applyBorder="1" applyAlignment="1">
      <alignment horizontal="center"/>
    </xf>
    <xf numFmtId="164" fontId="25" fillId="4" borderId="1" xfId="1" applyFont="1" applyFill="1" applyBorder="1" applyAlignment="1">
      <alignment horizontal="center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45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164" fontId="9" fillId="4" borderId="22" xfId="1" applyFont="1" applyFill="1" applyBorder="1" applyAlignment="1">
      <alignment horizontal="center"/>
    </xf>
    <xf numFmtId="164" fontId="9" fillId="4" borderId="4" xfId="1" applyFont="1" applyFill="1" applyBorder="1" applyAlignment="1">
      <alignment horizontal="center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7" fillId="9" borderId="48" xfId="0" applyFont="1" applyFill="1" applyBorder="1" applyAlignment="1">
      <alignment horizontal="left" wrapText="1"/>
    </xf>
    <xf numFmtId="0" fontId="11" fillId="2" borderId="45" xfId="0" applyFont="1" applyFill="1" applyBorder="1" applyAlignment="1">
      <alignment horizontal="left" wrapText="1"/>
    </xf>
  </cellXfs>
  <cellStyles count="13">
    <cellStyle name="Comma" xfId="1" builtinId="3"/>
    <cellStyle name="Comma 2" xfId="3"/>
    <cellStyle name="Comma 2 2" xfId="6"/>
    <cellStyle name="Comma 2 2 2" xfId="9"/>
    <cellStyle name="Comma 2 3" xfId="7"/>
    <cellStyle name="Comma 2 3 2" xfId="12"/>
    <cellStyle name="Comma 2 4" xfId="11"/>
    <cellStyle name="Comma 3" xfId="5"/>
    <cellStyle name="Comma 3 2" xfId="10"/>
    <cellStyle name="Comma 4" xfId="4"/>
    <cellStyle name="Comma 5" xf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63"/>
  <sheetViews>
    <sheetView zoomScale="110" zoomScaleNormal="11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243" sqref="E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155427</v>
      </c>
      <c r="E9" s="321">
        <v>150181</v>
      </c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305608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54507</v>
      </c>
      <c r="E11" s="323">
        <v>59377</v>
      </c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113884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105</v>
      </c>
      <c r="E13" s="323">
        <v>199</v>
      </c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304</v>
      </c>
    </row>
    <row r="14" spans="1:16" x14ac:dyDescent="0.3">
      <c r="A14" s="416" t="s">
        <v>156</v>
      </c>
      <c r="B14" s="417"/>
      <c r="C14" s="322" t="s">
        <v>154</v>
      </c>
      <c r="D14" s="323">
        <v>64</v>
      </c>
      <c r="E14" s="323">
        <v>79</v>
      </c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143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54676</v>
      </c>
      <c r="E15" s="326">
        <f t="shared" ref="E15:O15" si="1">SUM(E11:E14)</f>
        <v>59655</v>
      </c>
      <c r="F15" s="326">
        <f t="shared" si="1"/>
        <v>0</v>
      </c>
      <c r="G15" s="326">
        <f t="shared" si="1"/>
        <v>0</v>
      </c>
      <c r="H15" s="326">
        <f t="shared" si="1"/>
        <v>0</v>
      </c>
      <c r="I15" s="326">
        <f t="shared" si="1"/>
        <v>0</v>
      </c>
      <c r="J15" s="326">
        <f t="shared" si="1"/>
        <v>0</v>
      </c>
      <c r="K15" s="326">
        <f t="shared" si="1"/>
        <v>0</v>
      </c>
      <c r="L15" s="326">
        <f t="shared" si="1"/>
        <v>0</v>
      </c>
      <c r="M15" s="326">
        <f t="shared" si="1"/>
        <v>0</v>
      </c>
      <c r="N15" s="326">
        <f t="shared" si="1"/>
        <v>0</v>
      </c>
      <c r="O15" s="326">
        <f t="shared" si="1"/>
        <v>0</v>
      </c>
      <c r="P15" s="324">
        <f t="shared" si="0"/>
        <v>114331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25311.500000000029</v>
      </c>
      <c r="E17" s="323">
        <v>29446.099999999969</v>
      </c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54757.599999999999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4819.3000000000011</v>
      </c>
      <c r="E18" s="323">
        <v>4389.2</v>
      </c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9208.5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5386.8999999999987</v>
      </c>
      <c r="E19" s="323">
        <v>5468.0000000000009</v>
      </c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10854.9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1783.4999999999993</v>
      </c>
      <c r="E20" s="323">
        <v>2548.0999999999967</v>
      </c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4331.5999999999958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37301.200000000033</v>
      </c>
      <c r="E21" s="326">
        <f t="shared" ref="E21:O21" si="2">SUM(E17:E20)</f>
        <v>41851.399999999965</v>
      </c>
      <c r="F21" s="326">
        <f t="shared" si="2"/>
        <v>0</v>
      </c>
      <c r="G21" s="326">
        <f t="shared" si="2"/>
        <v>0</v>
      </c>
      <c r="H21" s="326">
        <f t="shared" si="2"/>
        <v>0</v>
      </c>
      <c r="I21" s="326">
        <f t="shared" si="2"/>
        <v>0</v>
      </c>
      <c r="J21" s="326">
        <f t="shared" si="2"/>
        <v>0</v>
      </c>
      <c r="K21" s="326">
        <f t="shared" si="2"/>
        <v>0</v>
      </c>
      <c r="L21" s="326">
        <f t="shared" si="2"/>
        <v>0</v>
      </c>
      <c r="M21" s="326">
        <f t="shared" si="2"/>
        <v>0</v>
      </c>
      <c r="N21" s="326">
        <f t="shared" si="2"/>
        <v>0</v>
      </c>
      <c r="O21" s="326">
        <f t="shared" si="2"/>
        <v>0</v>
      </c>
      <c r="P21" s="324">
        <f t="shared" ref="P21" si="3">SUM(P17:P20)</f>
        <v>79152.599999999991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91977.200000000041</v>
      </c>
      <c r="E22" s="326">
        <f t="shared" ref="E22:O22" si="4">E21+E15</f>
        <v>101506.39999999997</v>
      </c>
      <c r="F22" s="326">
        <f t="shared" si="4"/>
        <v>0</v>
      </c>
      <c r="G22" s="326">
        <f t="shared" si="4"/>
        <v>0</v>
      </c>
      <c r="H22" s="326">
        <f t="shared" si="4"/>
        <v>0</v>
      </c>
      <c r="I22" s="326">
        <f t="shared" si="4"/>
        <v>0</v>
      </c>
      <c r="J22" s="326">
        <f t="shared" si="4"/>
        <v>0</v>
      </c>
      <c r="K22" s="326">
        <f t="shared" si="4"/>
        <v>0</v>
      </c>
      <c r="L22" s="326">
        <f t="shared" si="4"/>
        <v>0</v>
      </c>
      <c r="M22" s="326">
        <f t="shared" si="4"/>
        <v>0</v>
      </c>
      <c r="N22" s="326">
        <f t="shared" si="4"/>
        <v>0</v>
      </c>
      <c r="O22" s="326">
        <f t="shared" si="4"/>
        <v>0</v>
      </c>
      <c r="P22" s="324">
        <f t="shared" ref="P22" si="5">P21+P15</f>
        <v>193483.59999999998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63449.799999999959</v>
      </c>
      <c r="E24" s="333">
        <f t="shared" ref="E24:O24" si="6">E9-E22</f>
        <v>48674.600000000035</v>
      </c>
      <c r="F24" s="333">
        <f t="shared" si="6"/>
        <v>0</v>
      </c>
      <c r="G24" s="333">
        <f t="shared" si="6"/>
        <v>0</v>
      </c>
      <c r="H24" s="333">
        <f t="shared" si="6"/>
        <v>0</v>
      </c>
      <c r="I24" s="333">
        <f t="shared" si="6"/>
        <v>0</v>
      </c>
      <c r="J24" s="333">
        <f t="shared" si="6"/>
        <v>0</v>
      </c>
      <c r="K24" s="333">
        <f t="shared" si="6"/>
        <v>0</v>
      </c>
      <c r="L24" s="333">
        <f t="shared" si="6"/>
        <v>0</v>
      </c>
      <c r="M24" s="333">
        <f t="shared" si="6"/>
        <v>0</v>
      </c>
      <c r="N24" s="333">
        <f t="shared" si="6"/>
        <v>0</v>
      </c>
      <c r="O24" s="333">
        <f t="shared" si="6"/>
        <v>0</v>
      </c>
      <c r="P24" s="517">
        <f t="shared" ref="P24" si="7">P9-P22</f>
        <v>112124.40000000002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8">D24/D9</f>
        <v>0.40822894349115635</v>
      </c>
      <c r="E25" s="336">
        <f t="shared" ref="E25:O25" si="9">E24/E9</f>
        <v>0.32410624513087566</v>
      </c>
      <c r="F25" s="336" t="e">
        <f t="shared" si="9"/>
        <v>#DIV/0!</v>
      </c>
      <c r="G25" s="336" t="e">
        <f t="shared" si="9"/>
        <v>#DIV/0!</v>
      </c>
      <c r="H25" s="336" t="e">
        <f t="shared" si="9"/>
        <v>#DIV/0!</v>
      </c>
      <c r="I25" s="336" t="e">
        <f t="shared" si="9"/>
        <v>#DIV/0!</v>
      </c>
      <c r="J25" s="336" t="e">
        <f t="shared" si="9"/>
        <v>#DIV/0!</v>
      </c>
      <c r="K25" s="336" t="e">
        <f t="shared" si="9"/>
        <v>#DIV/0!</v>
      </c>
      <c r="L25" s="336" t="e">
        <f t="shared" si="9"/>
        <v>#DIV/0!</v>
      </c>
      <c r="M25" s="336" t="e">
        <f t="shared" si="9"/>
        <v>#DIV/0!</v>
      </c>
      <c r="N25" s="336" t="e">
        <f t="shared" si="9"/>
        <v>#DIV/0!</v>
      </c>
      <c r="O25" s="336" t="e">
        <f t="shared" si="9"/>
        <v>#DIV/0!</v>
      </c>
      <c r="P25" s="518">
        <f t="shared" si="8"/>
        <v>0.36688961021962785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510.2</v>
      </c>
      <c r="E29" s="342">
        <v>525.19000000000005</v>
      </c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1035.3900000000001</v>
      </c>
    </row>
    <row r="30" spans="1:16" x14ac:dyDescent="0.3">
      <c r="A30" s="227"/>
      <c r="B30" s="534"/>
      <c r="C30" s="344" t="s">
        <v>141</v>
      </c>
      <c r="D30" s="345">
        <f t="shared" ref="D30:P30" si="10">D29/(D9/1000)</f>
        <v>3.2825699524535636</v>
      </c>
      <c r="E30" s="345">
        <f t="shared" ref="E30:O30" si="11">E29/(E9/1000)</f>
        <v>3.4970468967445951</v>
      </c>
      <c r="F30" s="345" t="e">
        <f t="shared" si="11"/>
        <v>#DIV/0!</v>
      </c>
      <c r="G30" s="345" t="e">
        <f t="shared" si="11"/>
        <v>#DIV/0!</v>
      </c>
      <c r="H30" s="345" t="e">
        <f t="shared" si="11"/>
        <v>#DIV/0!</v>
      </c>
      <c r="I30" s="345" t="e">
        <f t="shared" si="11"/>
        <v>#DIV/0!</v>
      </c>
      <c r="J30" s="345" t="e">
        <f t="shared" si="11"/>
        <v>#DIV/0!</v>
      </c>
      <c r="K30" s="345" t="e">
        <f t="shared" si="11"/>
        <v>#DIV/0!</v>
      </c>
      <c r="L30" s="345" t="e">
        <f t="shared" si="11"/>
        <v>#DIV/0!</v>
      </c>
      <c r="M30" s="345" t="e">
        <f t="shared" si="11"/>
        <v>#DIV/0!</v>
      </c>
      <c r="N30" s="345" t="e">
        <f t="shared" si="11"/>
        <v>#DIV/0!</v>
      </c>
      <c r="O30" s="345" t="e">
        <f t="shared" si="11"/>
        <v>#DIV/0!</v>
      </c>
      <c r="P30" s="351">
        <f t="shared" si="10"/>
        <v>3.3879675924714014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12">D31/(D9/1000)</f>
        <v>0</v>
      </c>
      <c r="E32" s="345">
        <f t="shared" ref="E32:O32" si="13">E31/(E9/1000)</f>
        <v>0</v>
      </c>
      <c r="F32" s="345" t="e">
        <f t="shared" si="13"/>
        <v>#DIV/0!</v>
      </c>
      <c r="G32" s="345" t="e">
        <f t="shared" si="13"/>
        <v>#DIV/0!</v>
      </c>
      <c r="H32" s="345" t="e">
        <f t="shared" si="13"/>
        <v>#DIV/0!</v>
      </c>
      <c r="I32" s="345" t="e">
        <f t="shared" si="13"/>
        <v>#DIV/0!</v>
      </c>
      <c r="J32" s="345" t="e">
        <f t="shared" si="13"/>
        <v>#DIV/0!</v>
      </c>
      <c r="K32" s="345" t="e">
        <f t="shared" si="13"/>
        <v>#DIV/0!</v>
      </c>
      <c r="L32" s="345" t="e">
        <f t="shared" si="13"/>
        <v>#DIV/0!</v>
      </c>
      <c r="M32" s="345" t="e">
        <f t="shared" si="13"/>
        <v>#DIV/0!</v>
      </c>
      <c r="N32" s="345" t="e">
        <f t="shared" si="13"/>
        <v>#DIV/0!</v>
      </c>
      <c r="O32" s="345" t="e">
        <f t="shared" si="13"/>
        <v>#DIV/0!</v>
      </c>
      <c r="P32" s="351">
        <f t="shared" si="12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14">D33/(D9/1000)</f>
        <v>0</v>
      </c>
      <c r="E34" s="345">
        <f t="shared" ref="E34:O34" si="15">E33/(E9/1000)</f>
        <v>0</v>
      </c>
      <c r="F34" s="345" t="e">
        <f t="shared" si="15"/>
        <v>#DIV/0!</v>
      </c>
      <c r="G34" s="345" t="e">
        <f t="shared" si="15"/>
        <v>#DIV/0!</v>
      </c>
      <c r="H34" s="345" t="e">
        <f t="shared" si="15"/>
        <v>#DIV/0!</v>
      </c>
      <c r="I34" s="345" t="e">
        <f t="shared" si="15"/>
        <v>#DIV/0!</v>
      </c>
      <c r="J34" s="345" t="e">
        <f t="shared" si="15"/>
        <v>#DIV/0!</v>
      </c>
      <c r="K34" s="345" t="e">
        <f t="shared" si="15"/>
        <v>#DIV/0!</v>
      </c>
      <c r="L34" s="345" t="e">
        <f t="shared" si="15"/>
        <v>#DIV/0!</v>
      </c>
      <c r="M34" s="345" t="e">
        <f t="shared" si="15"/>
        <v>#DIV/0!</v>
      </c>
      <c r="N34" s="345" t="e">
        <f t="shared" si="15"/>
        <v>#DIV/0!</v>
      </c>
      <c r="O34" s="345" t="e">
        <f t="shared" si="15"/>
        <v>#DIV/0!</v>
      </c>
      <c r="P34" s="351">
        <f t="shared" si="14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16">D37/(D9/1000)</f>
        <v>0</v>
      </c>
      <c r="E38" s="345">
        <f t="shared" ref="E38:O38" si="17">E37/(E9/1000)</f>
        <v>0</v>
      </c>
      <c r="F38" s="345" t="e">
        <f t="shared" si="17"/>
        <v>#DIV/0!</v>
      </c>
      <c r="G38" s="345" t="e">
        <f t="shared" si="17"/>
        <v>#DIV/0!</v>
      </c>
      <c r="H38" s="345" t="e">
        <f t="shared" si="17"/>
        <v>#DIV/0!</v>
      </c>
      <c r="I38" s="345" t="e">
        <f t="shared" si="17"/>
        <v>#DIV/0!</v>
      </c>
      <c r="J38" s="345" t="e">
        <f t="shared" si="17"/>
        <v>#DIV/0!</v>
      </c>
      <c r="K38" s="345" t="e">
        <f t="shared" si="17"/>
        <v>#DIV/0!</v>
      </c>
      <c r="L38" s="345" t="e">
        <f t="shared" si="17"/>
        <v>#DIV/0!</v>
      </c>
      <c r="M38" s="345" t="e">
        <f t="shared" si="17"/>
        <v>#DIV/0!</v>
      </c>
      <c r="N38" s="345" t="e">
        <f t="shared" si="17"/>
        <v>#DIV/0!</v>
      </c>
      <c r="O38" s="345" t="e">
        <f t="shared" si="17"/>
        <v>#DIV/0!</v>
      </c>
      <c r="P38" s="351">
        <f t="shared" si="16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18">D39/(D9/1000)</f>
        <v>0</v>
      </c>
      <c r="E40" s="345">
        <f t="shared" ref="E40:O40" si="19">E39/(E9/1000)</f>
        <v>0</v>
      </c>
      <c r="F40" s="345" t="e">
        <f t="shared" si="19"/>
        <v>#DIV/0!</v>
      </c>
      <c r="G40" s="345" t="e">
        <f t="shared" si="19"/>
        <v>#DIV/0!</v>
      </c>
      <c r="H40" s="345" t="e">
        <f t="shared" si="19"/>
        <v>#DIV/0!</v>
      </c>
      <c r="I40" s="345" t="e">
        <f t="shared" si="19"/>
        <v>#DIV/0!</v>
      </c>
      <c r="J40" s="345" t="e">
        <f t="shared" si="19"/>
        <v>#DIV/0!</v>
      </c>
      <c r="K40" s="345" t="e">
        <f t="shared" si="19"/>
        <v>#DIV/0!</v>
      </c>
      <c r="L40" s="345" t="e">
        <f t="shared" si="19"/>
        <v>#DIV/0!</v>
      </c>
      <c r="M40" s="345" t="e">
        <f t="shared" si="19"/>
        <v>#DIV/0!</v>
      </c>
      <c r="N40" s="345" t="e">
        <f t="shared" si="19"/>
        <v>#DIV/0!</v>
      </c>
      <c r="O40" s="345" t="e">
        <f t="shared" si="19"/>
        <v>#DIV/0!</v>
      </c>
      <c r="P40" s="351">
        <f t="shared" si="18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12208626.819999998</v>
      </c>
      <c r="E41" s="347">
        <f t="shared" ref="E41:O41" si="20">(E29*$B29)+(E31*$B31)+(E33*$B33)+(E35*$B35)+(E37*$B37)+(E39*$B39)</f>
        <v>12567324.029000001</v>
      </c>
      <c r="F41" s="347">
        <f t="shared" si="20"/>
        <v>0</v>
      </c>
      <c r="G41" s="347">
        <f t="shared" si="20"/>
        <v>0</v>
      </c>
      <c r="H41" s="347">
        <f t="shared" si="20"/>
        <v>0</v>
      </c>
      <c r="I41" s="347">
        <f t="shared" si="20"/>
        <v>0</v>
      </c>
      <c r="J41" s="347">
        <f t="shared" si="20"/>
        <v>0</v>
      </c>
      <c r="K41" s="347">
        <f t="shared" si="20"/>
        <v>0</v>
      </c>
      <c r="L41" s="347">
        <f t="shared" si="20"/>
        <v>0</v>
      </c>
      <c r="M41" s="347">
        <f t="shared" si="20"/>
        <v>0</v>
      </c>
      <c r="N41" s="347">
        <f t="shared" si="20"/>
        <v>0</v>
      </c>
      <c r="O41" s="347">
        <f t="shared" si="20"/>
        <v>0</v>
      </c>
      <c r="P41" s="348">
        <f>SUM(D41:O41)</f>
        <v>24775950.848999999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21">D41/D9</f>
        <v>78.548944649256555</v>
      </c>
      <c r="E42" s="345">
        <f t="shared" ref="E42:O42" si="22">E41/E9</f>
        <v>83.681184896891097</v>
      </c>
      <c r="F42" s="345" t="e">
        <f t="shared" si="22"/>
        <v>#DIV/0!</v>
      </c>
      <c r="G42" s="345" t="e">
        <f t="shared" si="22"/>
        <v>#DIV/0!</v>
      </c>
      <c r="H42" s="345" t="e">
        <f t="shared" si="22"/>
        <v>#DIV/0!</v>
      </c>
      <c r="I42" s="345" t="e">
        <f t="shared" si="22"/>
        <v>#DIV/0!</v>
      </c>
      <c r="J42" s="345" t="e">
        <f t="shared" si="22"/>
        <v>#DIV/0!</v>
      </c>
      <c r="K42" s="345" t="e">
        <f t="shared" si="22"/>
        <v>#DIV/0!</v>
      </c>
      <c r="L42" s="345" t="e">
        <f t="shared" si="22"/>
        <v>#DIV/0!</v>
      </c>
      <c r="M42" s="345" t="e">
        <f t="shared" si="22"/>
        <v>#DIV/0!</v>
      </c>
      <c r="N42" s="345" t="e">
        <f t="shared" si="22"/>
        <v>#DIV/0!</v>
      </c>
      <c r="O42" s="345" t="e">
        <f t="shared" si="22"/>
        <v>#DIV/0!</v>
      </c>
      <c r="P42" s="519">
        <f t="shared" si="21"/>
        <v>81.071015317007408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33903.910000000003</v>
      </c>
      <c r="E44" s="342">
        <v>22944.25</v>
      </c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56848.160000000003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23">D44/D9</f>
        <v>0.21813397929574657</v>
      </c>
      <c r="E45" s="345">
        <f t="shared" ref="E45:O45" si="24">E44/E9</f>
        <v>0.1527773153727835</v>
      </c>
      <c r="F45" s="345" t="e">
        <f t="shared" si="24"/>
        <v>#DIV/0!</v>
      </c>
      <c r="G45" s="345" t="e">
        <f t="shared" si="24"/>
        <v>#DIV/0!</v>
      </c>
      <c r="H45" s="345" t="e">
        <f t="shared" si="24"/>
        <v>#DIV/0!</v>
      </c>
      <c r="I45" s="345" t="e">
        <f t="shared" si="24"/>
        <v>#DIV/0!</v>
      </c>
      <c r="J45" s="345" t="e">
        <f t="shared" si="24"/>
        <v>#DIV/0!</v>
      </c>
      <c r="K45" s="345" t="e">
        <f t="shared" si="24"/>
        <v>#DIV/0!</v>
      </c>
      <c r="L45" s="345" t="e">
        <f t="shared" si="24"/>
        <v>#DIV/0!</v>
      </c>
      <c r="M45" s="345" t="e">
        <f t="shared" si="24"/>
        <v>#DIV/0!</v>
      </c>
      <c r="N45" s="345" t="e">
        <f t="shared" si="24"/>
        <v>#DIV/0!</v>
      </c>
      <c r="O45" s="345" t="e">
        <f t="shared" si="24"/>
        <v>#DIV/0!</v>
      </c>
      <c r="P45" s="351">
        <f t="shared" si="23"/>
        <v>0.18601659642417739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5687309.9140250012</v>
      </c>
      <c r="E46" s="349">
        <f t="shared" ref="E46:O46" si="25">1.165*(16600+(E44*143.5))</f>
        <v>3855101.3543750001</v>
      </c>
      <c r="F46" s="349">
        <f t="shared" si="25"/>
        <v>19339</v>
      </c>
      <c r="G46" s="349">
        <f t="shared" si="25"/>
        <v>19339</v>
      </c>
      <c r="H46" s="349">
        <f t="shared" si="25"/>
        <v>19339</v>
      </c>
      <c r="I46" s="349">
        <f t="shared" si="25"/>
        <v>19339</v>
      </c>
      <c r="J46" s="349">
        <f t="shared" si="25"/>
        <v>19339</v>
      </c>
      <c r="K46" s="349">
        <f t="shared" si="25"/>
        <v>19339</v>
      </c>
      <c r="L46" s="349">
        <f t="shared" si="25"/>
        <v>19339</v>
      </c>
      <c r="M46" s="349">
        <f t="shared" si="25"/>
        <v>19339</v>
      </c>
      <c r="N46" s="349">
        <f t="shared" si="25"/>
        <v>19339</v>
      </c>
      <c r="O46" s="349">
        <f t="shared" si="25"/>
        <v>19339</v>
      </c>
      <c r="P46" s="348">
        <f>SUM(D46:O46)</f>
        <v>9735801.2684000023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26">D46/D9</f>
        <v>36.591518294923027</v>
      </c>
      <c r="E47" s="345">
        <f t="shared" ref="E47:O47" si="27">E46/E9</f>
        <v>25.669700923385783</v>
      </c>
      <c r="F47" s="345" t="e">
        <f t="shared" si="27"/>
        <v>#DIV/0!</v>
      </c>
      <c r="G47" s="345" t="e">
        <f t="shared" si="27"/>
        <v>#DIV/0!</v>
      </c>
      <c r="H47" s="345" t="e">
        <f t="shared" si="27"/>
        <v>#DIV/0!</v>
      </c>
      <c r="I47" s="345" t="e">
        <f t="shared" si="27"/>
        <v>#DIV/0!</v>
      </c>
      <c r="J47" s="345" t="e">
        <f t="shared" si="27"/>
        <v>#DIV/0!</v>
      </c>
      <c r="K47" s="345" t="e">
        <f t="shared" si="27"/>
        <v>#DIV/0!</v>
      </c>
      <c r="L47" s="345" t="e">
        <f t="shared" si="27"/>
        <v>#DIV/0!</v>
      </c>
      <c r="M47" s="345" t="e">
        <f t="shared" si="27"/>
        <v>#DIV/0!</v>
      </c>
      <c r="N47" s="345" t="e">
        <f t="shared" si="27"/>
        <v>#DIV/0!</v>
      </c>
      <c r="O47" s="345" t="e">
        <f t="shared" si="27"/>
        <v>#DIV/0!</v>
      </c>
      <c r="P47" s="351">
        <f t="shared" si="26"/>
        <v>31.857154486793547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>
        <v>1948</v>
      </c>
      <c r="E49" s="350">
        <v>2481</v>
      </c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4429</v>
      </c>
    </row>
    <row r="50" spans="1:16" x14ac:dyDescent="0.3">
      <c r="A50" s="416" t="s">
        <v>189</v>
      </c>
      <c r="B50" s="417"/>
      <c r="C50" s="332" t="s">
        <v>128</v>
      </c>
      <c r="D50" s="350">
        <v>299.8</v>
      </c>
      <c r="E50" s="350">
        <v>245</v>
      </c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544.79999999999995</v>
      </c>
    </row>
    <row r="51" spans="1:16" x14ac:dyDescent="0.3">
      <c r="A51" s="428" t="s">
        <v>127</v>
      </c>
      <c r="B51" s="429"/>
      <c r="C51" s="332" t="s">
        <v>31</v>
      </c>
      <c r="D51" s="346">
        <v>2004462.6</v>
      </c>
      <c r="E51" s="346">
        <v>1626365</v>
      </c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3630827.6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32599951.400000002</v>
      </c>
      <c r="E54" s="346">
        <v>33032267.310000002</v>
      </c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65632218.710000008</v>
      </c>
    </row>
    <row r="55" spans="1:16" x14ac:dyDescent="0.3">
      <c r="A55" s="352" t="s">
        <v>123</v>
      </c>
      <c r="B55" s="331"/>
      <c r="C55" s="322" t="s">
        <v>18</v>
      </c>
      <c r="D55" s="346">
        <v>4591888.0424999995</v>
      </c>
      <c r="E55" s="346">
        <v>4739847.37</v>
      </c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9331735.4124999996</v>
      </c>
    </row>
    <row r="56" spans="1:16" x14ac:dyDescent="0.3">
      <c r="A56" s="416" t="s">
        <v>122</v>
      </c>
      <c r="B56" s="417"/>
      <c r="C56" s="332" t="s">
        <v>18</v>
      </c>
      <c r="D56" s="346">
        <v>3605140</v>
      </c>
      <c r="E56" s="346">
        <v>3707840</v>
      </c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7312980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60697378.776524998</v>
      </c>
      <c r="E58" s="346">
        <f t="shared" ref="E58:O58" si="28">E41+E46+E51+E52+E54+E55+E56</f>
        <v>59528745.063375004</v>
      </c>
      <c r="F58" s="346">
        <f t="shared" si="28"/>
        <v>19339</v>
      </c>
      <c r="G58" s="346">
        <f t="shared" si="28"/>
        <v>19339</v>
      </c>
      <c r="H58" s="346">
        <f t="shared" si="28"/>
        <v>19339</v>
      </c>
      <c r="I58" s="346">
        <f t="shared" si="28"/>
        <v>19339</v>
      </c>
      <c r="J58" s="346">
        <f t="shared" si="28"/>
        <v>19339</v>
      </c>
      <c r="K58" s="346">
        <f t="shared" si="28"/>
        <v>19339</v>
      </c>
      <c r="L58" s="346">
        <f t="shared" si="28"/>
        <v>19339</v>
      </c>
      <c r="M58" s="346">
        <f t="shared" si="28"/>
        <v>19339</v>
      </c>
      <c r="N58" s="346">
        <f t="shared" si="28"/>
        <v>19339</v>
      </c>
      <c r="O58" s="346">
        <f t="shared" si="28"/>
        <v>19339</v>
      </c>
      <c r="P58" s="348">
        <f>SUM(D58:O58)</f>
        <v>120419513.8399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29">D58/D9</f>
        <v>390.52017201982278</v>
      </c>
      <c r="E59" s="345">
        <f t="shared" ref="E59:O59" si="30">E58/E9</f>
        <v>396.38000188688983</v>
      </c>
      <c r="F59" s="345" t="e">
        <f t="shared" si="30"/>
        <v>#DIV/0!</v>
      </c>
      <c r="G59" s="345" t="e">
        <f t="shared" si="30"/>
        <v>#DIV/0!</v>
      </c>
      <c r="H59" s="345" t="e">
        <f t="shared" si="30"/>
        <v>#DIV/0!</v>
      </c>
      <c r="I59" s="345" t="e">
        <f t="shared" si="30"/>
        <v>#DIV/0!</v>
      </c>
      <c r="J59" s="345" t="e">
        <f t="shared" si="30"/>
        <v>#DIV/0!</v>
      </c>
      <c r="K59" s="345" t="e">
        <f t="shared" si="30"/>
        <v>#DIV/0!</v>
      </c>
      <c r="L59" s="345" t="e">
        <f t="shared" si="30"/>
        <v>#DIV/0!</v>
      </c>
      <c r="M59" s="345" t="e">
        <f t="shared" si="30"/>
        <v>#DIV/0!</v>
      </c>
      <c r="N59" s="345" t="e">
        <f t="shared" si="30"/>
        <v>#DIV/0!</v>
      </c>
      <c r="O59" s="345" t="e">
        <f t="shared" si="30"/>
        <v>#DIV/0!</v>
      </c>
      <c r="P59" s="351">
        <f t="shared" si="29"/>
        <v>394.03259679033272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659.91766194801505</v>
      </c>
      <c r="E60" s="345">
        <f t="shared" ref="E60:O60" si="31">E58/E22</f>
        <v>586.45312082169232</v>
      </c>
      <c r="F60" s="345" t="e">
        <f t="shared" si="31"/>
        <v>#DIV/0!</v>
      </c>
      <c r="G60" s="345" t="e">
        <f t="shared" si="31"/>
        <v>#DIV/0!</v>
      </c>
      <c r="H60" s="345" t="e">
        <f t="shared" si="31"/>
        <v>#DIV/0!</v>
      </c>
      <c r="I60" s="345" t="e">
        <f t="shared" si="31"/>
        <v>#DIV/0!</v>
      </c>
      <c r="J60" s="345" t="e">
        <f t="shared" si="31"/>
        <v>#DIV/0!</v>
      </c>
      <c r="K60" s="345" t="e">
        <f t="shared" si="31"/>
        <v>#DIV/0!</v>
      </c>
      <c r="L60" s="345" t="e">
        <f t="shared" si="31"/>
        <v>#DIV/0!</v>
      </c>
      <c r="M60" s="345" t="e">
        <f t="shared" si="31"/>
        <v>#DIV/0!</v>
      </c>
      <c r="N60" s="345" t="e">
        <f t="shared" si="31"/>
        <v>#DIV/0!</v>
      </c>
      <c r="O60" s="345" t="e">
        <f t="shared" si="31"/>
        <v>#DIV/0!</v>
      </c>
      <c r="P60" s="520">
        <f>P58/P22</f>
        <v>622.37581810499705</v>
      </c>
    </row>
    <row r="61" spans="1:16" x14ac:dyDescent="0.3">
      <c r="A61" s="416" t="s">
        <v>116</v>
      </c>
      <c r="B61" s="417"/>
      <c r="C61" s="332" t="s">
        <v>3</v>
      </c>
      <c r="D61" s="350">
        <v>25</v>
      </c>
      <c r="E61" s="350">
        <v>25</v>
      </c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32">(D61*1000*31)/D9</f>
        <v>4.9862636478861457</v>
      </c>
      <c r="E62" s="345">
        <f t="shared" ref="E62:O62" si="33">(E61*1000*31)/E9</f>
        <v>5.1604397360518304</v>
      </c>
      <c r="F62" s="345" t="e">
        <f t="shared" si="33"/>
        <v>#DIV/0!</v>
      </c>
      <c r="G62" s="345" t="e">
        <f t="shared" si="33"/>
        <v>#DIV/0!</v>
      </c>
      <c r="H62" s="345" t="e">
        <f t="shared" si="33"/>
        <v>#DIV/0!</v>
      </c>
      <c r="I62" s="345" t="e">
        <f t="shared" si="33"/>
        <v>#DIV/0!</v>
      </c>
      <c r="J62" s="345" t="e">
        <f t="shared" si="33"/>
        <v>#DIV/0!</v>
      </c>
      <c r="K62" s="345" t="e">
        <f t="shared" si="33"/>
        <v>#DIV/0!</v>
      </c>
      <c r="L62" s="345" t="e">
        <f t="shared" si="33"/>
        <v>#DIV/0!</v>
      </c>
      <c r="M62" s="345" t="e">
        <f t="shared" si="33"/>
        <v>#DIV/0!</v>
      </c>
      <c r="N62" s="345" t="e">
        <f t="shared" si="33"/>
        <v>#DIV/0!</v>
      </c>
      <c r="O62" s="345" t="e">
        <f t="shared" si="33"/>
        <v>#DIV/0!</v>
      </c>
      <c r="P62" s="351">
        <f t="shared" si="32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28</v>
      </c>
      <c r="E63" s="350">
        <v>28</v>
      </c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56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1978</v>
      </c>
      <c r="E66" s="354">
        <v>2018</v>
      </c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1978</v>
      </c>
    </row>
    <row r="67" spans="1:16" x14ac:dyDescent="0.3">
      <c r="A67" s="410"/>
      <c r="B67" s="322" t="s">
        <v>106</v>
      </c>
      <c r="C67" s="332" t="s">
        <v>3</v>
      </c>
      <c r="D67" s="356">
        <v>115</v>
      </c>
      <c r="E67" s="356">
        <v>138</v>
      </c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253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34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75</v>
      </c>
      <c r="E69" s="350">
        <v>109</v>
      </c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34"/>
        <v>184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75</v>
      </c>
      <c r="E70" s="356">
        <f t="shared" ref="E70:P70" si="35">E68+E69</f>
        <v>109</v>
      </c>
      <c r="F70" s="356">
        <f t="shared" si="35"/>
        <v>0</v>
      </c>
      <c r="G70" s="356">
        <f t="shared" si="35"/>
        <v>0</v>
      </c>
      <c r="H70" s="356">
        <f t="shared" si="35"/>
        <v>0</v>
      </c>
      <c r="I70" s="356">
        <f t="shared" si="35"/>
        <v>0</v>
      </c>
      <c r="J70" s="356">
        <f t="shared" si="35"/>
        <v>0</v>
      </c>
      <c r="K70" s="356">
        <f t="shared" si="35"/>
        <v>0</v>
      </c>
      <c r="L70" s="356">
        <f t="shared" si="35"/>
        <v>0</v>
      </c>
      <c r="M70" s="356">
        <f t="shared" si="35"/>
        <v>0</v>
      </c>
      <c r="N70" s="356">
        <f t="shared" si="35"/>
        <v>0</v>
      </c>
      <c r="O70" s="356">
        <f t="shared" si="35"/>
        <v>0</v>
      </c>
      <c r="P70" s="358">
        <f t="shared" si="35"/>
        <v>184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2018</v>
      </c>
      <c r="E71" s="359">
        <f t="shared" ref="E71:O71" si="36">E66+E67-E70</f>
        <v>2047</v>
      </c>
      <c r="F71" s="359">
        <f t="shared" si="36"/>
        <v>0</v>
      </c>
      <c r="G71" s="359">
        <f t="shared" si="36"/>
        <v>0</v>
      </c>
      <c r="H71" s="359">
        <f t="shared" si="36"/>
        <v>0</v>
      </c>
      <c r="I71" s="359">
        <f t="shared" si="36"/>
        <v>0</v>
      </c>
      <c r="J71" s="359">
        <f t="shared" si="36"/>
        <v>0</v>
      </c>
      <c r="K71" s="359">
        <f t="shared" si="36"/>
        <v>0</v>
      </c>
      <c r="L71" s="359">
        <f t="shared" si="36"/>
        <v>0</v>
      </c>
      <c r="M71" s="359">
        <f t="shared" si="36"/>
        <v>0</v>
      </c>
      <c r="N71" s="359">
        <f t="shared" si="36"/>
        <v>0</v>
      </c>
      <c r="O71" s="359">
        <f t="shared" si="36"/>
        <v>0</v>
      </c>
      <c r="P71" s="360">
        <f>P66+P67-P70</f>
        <v>2047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>
        <v>4</v>
      </c>
      <c r="E72" s="354">
        <v>4</v>
      </c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4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37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37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O76" si="38">E74+E75</f>
        <v>0</v>
      </c>
      <c r="F76" s="356">
        <f t="shared" si="38"/>
        <v>0</v>
      </c>
      <c r="G76" s="356">
        <f t="shared" si="38"/>
        <v>0</v>
      </c>
      <c r="H76" s="356">
        <f t="shared" si="38"/>
        <v>0</v>
      </c>
      <c r="I76" s="356">
        <f t="shared" si="38"/>
        <v>0</v>
      </c>
      <c r="J76" s="356">
        <f t="shared" si="38"/>
        <v>0</v>
      </c>
      <c r="K76" s="356">
        <f t="shared" si="38"/>
        <v>0</v>
      </c>
      <c r="L76" s="356">
        <f t="shared" si="38"/>
        <v>0</v>
      </c>
      <c r="M76" s="356">
        <f t="shared" si="38"/>
        <v>0</v>
      </c>
      <c r="N76" s="356">
        <f t="shared" si="38"/>
        <v>0</v>
      </c>
      <c r="O76" s="356">
        <f t="shared" si="38"/>
        <v>0</v>
      </c>
      <c r="P76" s="358">
        <f t="shared" ref="P76" si="39">P74+P75</f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4</v>
      </c>
      <c r="E77" s="359">
        <f t="shared" ref="E77:O77" si="40">E72+E73-E76</f>
        <v>4</v>
      </c>
      <c r="F77" s="359">
        <f t="shared" si="40"/>
        <v>0</v>
      </c>
      <c r="G77" s="359">
        <f t="shared" si="40"/>
        <v>0</v>
      </c>
      <c r="H77" s="359">
        <f t="shared" si="40"/>
        <v>0</v>
      </c>
      <c r="I77" s="359">
        <f t="shared" si="40"/>
        <v>0</v>
      </c>
      <c r="J77" s="359">
        <f t="shared" si="40"/>
        <v>0</v>
      </c>
      <c r="K77" s="359">
        <f t="shared" si="40"/>
        <v>0</v>
      </c>
      <c r="L77" s="359">
        <f t="shared" si="40"/>
        <v>0</v>
      </c>
      <c r="M77" s="359">
        <f t="shared" si="40"/>
        <v>0</v>
      </c>
      <c r="N77" s="359">
        <f t="shared" si="40"/>
        <v>0</v>
      </c>
      <c r="O77" s="359">
        <f t="shared" si="40"/>
        <v>0</v>
      </c>
      <c r="P77" s="360">
        <f>P72+P73-P76</f>
        <v>4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0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:P82" si="41">E80+E81</f>
        <v>0</v>
      </c>
      <c r="F82" s="356">
        <f t="shared" si="41"/>
        <v>0</v>
      </c>
      <c r="G82" s="356">
        <f t="shared" si="41"/>
        <v>0</v>
      </c>
      <c r="H82" s="356">
        <f t="shared" si="41"/>
        <v>0</v>
      </c>
      <c r="I82" s="356">
        <f t="shared" si="41"/>
        <v>0</v>
      </c>
      <c r="J82" s="356">
        <f t="shared" si="41"/>
        <v>0</v>
      </c>
      <c r="K82" s="356">
        <f t="shared" si="41"/>
        <v>0</v>
      </c>
      <c r="L82" s="356">
        <f t="shared" si="41"/>
        <v>0</v>
      </c>
      <c r="M82" s="356">
        <f t="shared" si="41"/>
        <v>0</v>
      </c>
      <c r="N82" s="356">
        <f t="shared" si="41"/>
        <v>0</v>
      </c>
      <c r="O82" s="356">
        <f t="shared" si="41"/>
        <v>0</v>
      </c>
      <c r="P82" s="358">
        <f t="shared" si="41"/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0</v>
      </c>
      <c r="E83" s="359">
        <f t="shared" ref="E83:O83" si="42">E78+E79-E82</f>
        <v>0</v>
      </c>
      <c r="F83" s="359">
        <f t="shared" si="42"/>
        <v>0</v>
      </c>
      <c r="G83" s="359">
        <f t="shared" si="42"/>
        <v>0</v>
      </c>
      <c r="H83" s="359">
        <f t="shared" si="42"/>
        <v>0</v>
      </c>
      <c r="I83" s="359">
        <f t="shared" si="42"/>
        <v>0</v>
      </c>
      <c r="J83" s="359">
        <f t="shared" si="42"/>
        <v>0</v>
      </c>
      <c r="K83" s="359">
        <f t="shared" si="42"/>
        <v>0</v>
      </c>
      <c r="L83" s="359">
        <f t="shared" si="42"/>
        <v>0</v>
      </c>
      <c r="M83" s="359">
        <f t="shared" si="42"/>
        <v>0</v>
      </c>
      <c r="N83" s="359">
        <f t="shared" si="42"/>
        <v>0</v>
      </c>
      <c r="O83" s="359">
        <f t="shared" si="42"/>
        <v>0</v>
      </c>
      <c r="P83" s="360">
        <f t="shared" ref="P83" si="43">P78+P79-P82</f>
        <v>0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>
        <v>10</v>
      </c>
      <c r="E84" s="354">
        <v>10</v>
      </c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10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44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>
        <v>1</v>
      </c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44"/>
        <v>1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45">E86+E87</f>
        <v>1</v>
      </c>
      <c r="F88" s="356">
        <f t="shared" si="45"/>
        <v>0</v>
      </c>
      <c r="G88" s="356">
        <f t="shared" si="45"/>
        <v>0</v>
      </c>
      <c r="H88" s="356">
        <f t="shared" si="45"/>
        <v>0</v>
      </c>
      <c r="I88" s="356">
        <f t="shared" si="45"/>
        <v>0</v>
      </c>
      <c r="J88" s="356">
        <f t="shared" si="45"/>
        <v>0</v>
      </c>
      <c r="K88" s="356">
        <f t="shared" si="45"/>
        <v>0</v>
      </c>
      <c r="L88" s="356">
        <f t="shared" si="45"/>
        <v>0</v>
      </c>
      <c r="M88" s="356">
        <f t="shared" si="45"/>
        <v>0</v>
      </c>
      <c r="N88" s="356">
        <f t="shared" si="45"/>
        <v>0</v>
      </c>
      <c r="O88" s="356">
        <f t="shared" si="45"/>
        <v>0</v>
      </c>
      <c r="P88" s="355">
        <f t="shared" si="44"/>
        <v>1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10</v>
      </c>
      <c r="E89" s="521">
        <f t="shared" ref="E89:O89" si="46">E84+E85-E88</f>
        <v>9</v>
      </c>
      <c r="F89" s="521">
        <f t="shared" si="46"/>
        <v>0</v>
      </c>
      <c r="G89" s="521">
        <f t="shared" si="46"/>
        <v>0</v>
      </c>
      <c r="H89" s="521">
        <f t="shared" si="46"/>
        <v>0</v>
      </c>
      <c r="I89" s="521">
        <f t="shared" si="46"/>
        <v>0</v>
      </c>
      <c r="J89" s="521">
        <f t="shared" si="46"/>
        <v>0</v>
      </c>
      <c r="K89" s="521">
        <f t="shared" si="46"/>
        <v>0</v>
      </c>
      <c r="L89" s="521">
        <f t="shared" si="46"/>
        <v>0</v>
      </c>
      <c r="M89" s="521">
        <f t="shared" si="46"/>
        <v>0</v>
      </c>
      <c r="N89" s="521">
        <f t="shared" si="46"/>
        <v>0</v>
      </c>
      <c r="O89" s="521">
        <f t="shared" si="46"/>
        <v>0</v>
      </c>
      <c r="P89" s="360">
        <f t="shared" ref="P89" si="47">P84+P85-P86-P87</f>
        <v>9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D93" si="48">D66+D72+D78+D84</f>
        <v>1992</v>
      </c>
      <c r="E90" s="362">
        <f t="shared" ref="E90:O90" si="49">E66+E72+E78+E84</f>
        <v>2032</v>
      </c>
      <c r="F90" s="362">
        <f t="shared" si="49"/>
        <v>0</v>
      </c>
      <c r="G90" s="362">
        <f t="shared" si="49"/>
        <v>0</v>
      </c>
      <c r="H90" s="362">
        <f t="shared" si="49"/>
        <v>0</v>
      </c>
      <c r="I90" s="362">
        <f t="shared" si="49"/>
        <v>0</v>
      </c>
      <c r="J90" s="362">
        <f t="shared" si="49"/>
        <v>0</v>
      </c>
      <c r="K90" s="362">
        <f t="shared" si="49"/>
        <v>0</v>
      </c>
      <c r="L90" s="362">
        <f t="shared" si="49"/>
        <v>0</v>
      </c>
      <c r="M90" s="362">
        <f t="shared" si="49"/>
        <v>0</v>
      </c>
      <c r="N90" s="362">
        <f t="shared" si="49"/>
        <v>0</v>
      </c>
      <c r="O90" s="362">
        <f t="shared" si="49"/>
        <v>0</v>
      </c>
      <c r="P90" s="355">
        <f>D90</f>
        <v>1992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48"/>
        <v>115</v>
      </c>
      <c r="E91" s="362">
        <f t="shared" ref="E91:O91" si="50">E67+E73+E79+E85</f>
        <v>138</v>
      </c>
      <c r="F91" s="362">
        <f t="shared" si="50"/>
        <v>0</v>
      </c>
      <c r="G91" s="362">
        <f t="shared" si="50"/>
        <v>0</v>
      </c>
      <c r="H91" s="362">
        <f t="shared" si="50"/>
        <v>0</v>
      </c>
      <c r="I91" s="362">
        <f t="shared" si="50"/>
        <v>0</v>
      </c>
      <c r="J91" s="362">
        <f t="shared" si="50"/>
        <v>0</v>
      </c>
      <c r="K91" s="362">
        <f t="shared" si="50"/>
        <v>0</v>
      </c>
      <c r="L91" s="362">
        <f t="shared" si="50"/>
        <v>0</v>
      </c>
      <c r="M91" s="362">
        <f t="shared" si="50"/>
        <v>0</v>
      </c>
      <c r="N91" s="362">
        <f t="shared" si="50"/>
        <v>0</v>
      </c>
      <c r="O91" s="362">
        <f t="shared" si="50"/>
        <v>0</v>
      </c>
      <c r="P91" s="355">
        <f>SUM(D91:O91)</f>
        <v>253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48"/>
        <v>0</v>
      </c>
      <c r="E92" s="362">
        <f t="shared" ref="E92:O92" si="51">E68+E74+E80+E86</f>
        <v>0</v>
      </c>
      <c r="F92" s="362">
        <f t="shared" si="51"/>
        <v>0</v>
      </c>
      <c r="G92" s="362">
        <f t="shared" si="51"/>
        <v>0</v>
      </c>
      <c r="H92" s="362">
        <f t="shared" si="51"/>
        <v>0</v>
      </c>
      <c r="I92" s="362">
        <f t="shared" si="51"/>
        <v>0</v>
      </c>
      <c r="J92" s="362">
        <f t="shared" si="51"/>
        <v>0</v>
      </c>
      <c r="K92" s="362">
        <f t="shared" si="51"/>
        <v>0</v>
      </c>
      <c r="L92" s="362">
        <f t="shared" si="51"/>
        <v>0</v>
      </c>
      <c r="M92" s="362">
        <f t="shared" si="51"/>
        <v>0</v>
      </c>
      <c r="N92" s="362">
        <f t="shared" si="51"/>
        <v>0</v>
      </c>
      <c r="O92" s="362">
        <f t="shared" si="5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48"/>
        <v>75</v>
      </c>
      <c r="E93" s="362">
        <f t="shared" ref="E93:O93" si="52">E69+E75+E81+E87</f>
        <v>110</v>
      </c>
      <c r="F93" s="362">
        <f t="shared" si="52"/>
        <v>0</v>
      </c>
      <c r="G93" s="362">
        <f t="shared" si="52"/>
        <v>0</v>
      </c>
      <c r="H93" s="362">
        <f t="shared" si="52"/>
        <v>0</v>
      </c>
      <c r="I93" s="362">
        <f t="shared" si="52"/>
        <v>0</v>
      </c>
      <c r="J93" s="362">
        <f t="shared" si="52"/>
        <v>0</v>
      </c>
      <c r="K93" s="362">
        <f t="shared" si="52"/>
        <v>0</v>
      </c>
      <c r="L93" s="362">
        <f t="shared" si="52"/>
        <v>0</v>
      </c>
      <c r="M93" s="362">
        <f t="shared" si="52"/>
        <v>0</v>
      </c>
      <c r="N93" s="362">
        <f t="shared" si="52"/>
        <v>0</v>
      </c>
      <c r="O93" s="362">
        <f t="shared" si="52"/>
        <v>0</v>
      </c>
      <c r="P93" s="355">
        <f>SUM(D93:O93)</f>
        <v>185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75</v>
      </c>
      <c r="E94" s="363">
        <f t="shared" ref="E94:O94" si="53">E93+E92</f>
        <v>110</v>
      </c>
      <c r="F94" s="363">
        <f t="shared" si="53"/>
        <v>0</v>
      </c>
      <c r="G94" s="363">
        <f t="shared" si="53"/>
        <v>0</v>
      </c>
      <c r="H94" s="363">
        <f t="shared" si="53"/>
        <v>0</v>
      </c>
      <c r="I94" s="363">
        <f t="shared" si="53"/>
        <v>0</v>
      </c>
      <c r="J94" s="363">
        <f t="shared" si="53"/>
        <v>0</v>
      </c>
      <c r="K94" s="363">
        <f t="shared" si="53"/>
        <v>0</v>
      </c>
      <c r="L94" s="363">
        <f t="shared" si="53"/>
        <v>0</v>
      </c>
      <c r="M94" s="363">
        <f t="shared" si="53"/>
        <v>0</v>
      </c>
      <c r="N94" s="363">
        <f t="shared" si="53"/>
        <v>0</v>
      </c>
      <c r="O94" s="363">
        <f t="shared" si="53"/>
        <v>0</v>
      </c>
      <c r="P94" s="365">
        <f t="shared" ref="P94" si="54">P93+P92</f>
        <v>185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2032</v>
      </c>
      <c r="E95" s="366">
        <f t="shared" ref="E95:O95" si="55">E90+E91-E94</f>
        <v>2060</v>
      </c>
      <c r="F95" s="366">
        <f t="shared" si="55"/>
        <v>0</v>
      </c>
      <c r="G95" s="366">
        <f t="shared" si="55"/>
        <v>0</v>
      </c>
      <c r="H95" s="366">
        <f t="shared" si="55"/>
        <v>0</v>
      </c>
      <c r="I95" s="366">
        <f t="shared" si="55"/>
        <v>0</v>
      </c>
      <c r="J95" s="366">
        <f t="shared" si="55"/>
        <v>0</v>
      </c>
      <c r="K95" s="366">
        <f t="shared" si="55"/>
        <v>0</v>
      </c>
      <c r="L95" s="366">
        <f t="shared" si="55"/>
        <v>0</v>
      </c>
      <c r="M95" s="366">
        <f t="shared" si="55"/>
        <v>0</v>
      </c>
      <c r="N95" s="366">
        <f t="shared" si="55"/>
        <v>0</v>
      </c>
      <c r="O95" s="366">
        <f t="shared" si="55"/>
        <v>0</v>
      </c>
      <c r="P95" s="367">
        <f t="shared" ref="P95" si="56">P90+P91-P94</f>
        <v>2060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75</v>
      </c>
      <c r="E98" s="372">
        <v>110</v>
      </c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185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2079</v>
      </c>
      <c r="E101" s="350">
        <v>2042</v>
      </c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57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>
        <v>55</v>
      </c>
      <c r="E102" s="350">
        <v>55</v>
      </c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57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121</v>
      </c>
      <c r="E103" s="350">
        <v>120</v>
      </c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57"/>
        <v>0</v>
      </c>
    </row>
    <row r="104" spans="1:16" x14ac:dyDescent="0.3">
      <c r="A104" s="423" t="s">
        <v>99</v>
      </c>
      <c r="B104" s="424"/>
      <c r="C104" s="322" t="s">
        <v>3</v>
      </c>
      <c r="D104" s="350">
        <v>10</v>
      </c>
      <c r="E104" s="350">
        <v>10</v>
      </c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57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2265</v>
      </c>
      <c r="E105" s="374">
        <f t="shared" ref="E105:O105" si="58">SUM(E101:E104)</f>
        <v>2227</v>
      </c>
      <c r="F105" s="374">
        <f t="shared" si="58"/>
        <v>0</v>
      </c>
      <c r="G105" s="374">
        <f t="shared" si="58"/>
        <v>0</v>
      </c>
      <c r="H105" s="374">
        <f t="shared" si="58"/>
        <v>0</v>
      </c>
      <c r="I105" s="374">
        <f t="shared" si="58"/>
        <v>0</v>
      </c>
      <c r="J105" s="374">
        <f t="shared" si="58"/>
        <v>0</v>
      </c>
      <c r="K105" s="374">
        <f t="shared" si="58"/>
        <v>0</v>
      </c>
      <c r="L105" s="374">
        <f t="shared" si="58"/>
        <v>0</v>
      </c>
      <c r="M105" s="374">
        <f t="shared" si="58"/>
        <v>0</v>
      </c>
      <c r="N105" s="374">
        <f t="shared" si="58"/>
        <v>0</v>
      </c>
      <c r="O105" s="374">
        <f t="shared" si="58"/>
        <v>0</v>
      </c>
      <c r="P105" s="373">
        <f t="shared" si="57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4477</v>
      </c>
      <c r="E107" s="350">
        <v>4514</v>
      </c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57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4</v>
      </c>
      <c r="E108" s="350">
        <v>4</v>
      </c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57"/>
        <v>0</v>
      </c>
    </row>
    <row r="109" spans="1:16" x14ac:dyDescent="0.3">
      <c r="A109" s="416" t="s">
        <v>197</v>
      </c>
      <c r="B109" s="417"/>
      <c r="C109" s="322" t="s">
        <v>3</v>
      </c>
      <c r="D109" s="350">
        <v>2</v>
      </c>
      <c r="E109" s="350">
        <v>3</v>
      </c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57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57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4483</v>
      </c>
      <c r="E111" s="374">
        <f t="shared" ref="E111:O111" si="59">SUM(E107:E110)</f>
        <v>4521</v>
      </c>
      <c r="F111" s="374">
        <f t="shared" si="59"/>
        <v>0</v>
      </c>
      <c r="G111" s="374">
        <f t="shared" si="59"/>
        <v>0</v>
      </c>
      <c r="H111" s="374">
        <f t="shared" si="59"/>
        <v>0</v>
      </c>
      <c r="I111" s="374">
        <f t="shared" si="59"/>
        <v>0</v>
      </c>
      <c r="J111" s="374">
        <f t="shared" si="59"/>
        <v>0</v>
      </c>
      <c r="K111" s="374">
        <f t="shared" si="59"/>
        <v>0</v>
      </c>
      <c r="L111" s="374">
        <f t="shared" si="59"/>
        <v>0</v>
      </c>
      <c r="M111" s="374">
        <f t="shared" si="59"/>
        <v>0</v>
      </c>
      <c r="N111" s="374">
        <f t="shared" si="59"/>
        <v>0</v>
      </c>
      <c r="O111" s="374">
        <f t="shared" si="59"/>
        <v>0</v>
      </c>
      <c r="P111" s="373">
        <f t="shared" si="57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4011</v>
      </c>
      <c r="E113" s="375">
        <v>4120</v>
      </c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57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158</v>
      </c>
      <c r="E114" s="375">
        <v>158</v>
      </c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57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431</v>
      </c>
      <c r="E115" s="375">
        <v>432</v>
      </c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57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73</v>
      </c>
      <c r="E116" s="375">
        <v>73</v>
      </c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57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4673</v>
      </c>
      <c r="E117" s="374">
        <f t="shared" ref="E117:O117" si="60">SUM(E113:E116)</f>
        <v>4783</v>
      </c>
      <c r="F117" s="374">
        <f t="shared" si="60"/>
        <v>0</v>
      </c>
      <c r="G117" s="374">
        <f t="shared" si="60"/>
        <v>0</v>
      </c>
      <c r="H117" s="374">
        <f t="shared" si="60"/>
        <v>0</v>
      </c>
      <c r="I117" s="374">
        <f t="shared" si="60"/>
        <v>0</v>
      </c>
      <c r="J117" s="374">
        <f t="shared" si="60"/>
        <v>0</v>
      </c>
      <c r="K117" s="374">
        <f t="shared" si="60"/>
        <v>0</v>
      </c>
      <c r="L117" s="374">
        <f t="shared" si="60"/>
        <v>0</v>
      </c>
      <c r="M117" s="374">
        <f t="shared" si="60"/>
        <v>0</v>
      </c>
      <c r="N117" s="374">
        <f t="shared" si="60"/>
        <v>0</v>
      </c>
      <c r="O117" s="374">
        <f t="shared" si="60"/>
        <v>0</v>
      </c>
      <c r="P117" s="324">
        <f t="shared" ref="P117" si="61">SUM(P113:P116)</f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62">D111+D117</f>
        <v>9156</v>
      </c>
      <c r="E118" s="374">
        <f t="shared" ref="E118:O118" si="63">E111+E117</f>
        <v>9304</v>
      </c>
      <c r="F118" s="374">
        <f t="shared" si="63"/>
        <v>0</v>
      </c>
      <c r="G118" s="374">
        <f t="shared" si="63"/>
        <v>0</v>
      </c>
      <c r="H118" s="374">
        <f t="shared" si="63"/>
        <v>0</v>
      </c>
      <c r="I118" s="374">
        <f t="shared" si="63"/>
        <v>0</v>
      </c>
      <c r="J118" s="374">
        <f t="shared" si="63"/>
        <v>0</v>
      </c>
      <c r="K118" s="374">
        <f t="shared" si="63"/>
        <v>0</v>
      </c>
      <c r="L118" s="374">
        <f t="shared" si="63"/>
        <v>0</v>
      </c>
      <c r="M118" s="374">
        <f t="shared" si="63"/>
        <v>0</v>
      </c>
      <c r="N118" s="374">
        <f t="shared" si="63"/>
        <v>0</v>
      </c>
      <c r="O118" s="374">
        <f t="shared" si="63"/>
        <v>0</v>
      </c>
      <c r="P118" s="374">
        <f t="shared" si="62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64">D105+D118</f>
        <v>11421</v>
      </c>
      <c r="E119" s="374">
        <f t="shared" ref="E119:O119" si="65">E105+E118</f>
        <v>11531</v>
      </c>
      <c r="F119" s="374">
        <f t="shared" si="65"/>
        <v>0</v>
      </c>
      <c r="G119" s="374">
        <f t="shared" si="65"/>
        <v>0</v>
      </c>
      <c r="H119" s="374">
        <f t="shared" si="65"/>
        <v>0</v>
      </c>
      <c r="I119" s="374">
        <f t="shared" si="65"/>
        <v>0</v>
      </c>
      <c r="J119" s="374">
        <f t="shared" si="65"/>
        <v>0</v>
      </c>
      <c r="K119" s="374">
        <f t="shared" si="65"/>
        <v>0</v>
      </c>
      <c r="L119" s="374">
        <f t="shared" si="65"/>
        <v>0</v>
      </c>
      <c r="M119" s="374">
        <f t="shared" si="65"/>
        <v>0</v>
      </c>
      <c r="N119" s="374">
        <f t="shared" si="65"/>
        <v>0</v>
      </c>
      <c r="O119" s="374">
        <f t="shared" si="65"/>
        <v>0</v>
      </c>
      <c r="P119" s="374">
        <f t="shared" si="64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52206</v>
      </c>
      <c r="E121" s="378">
        <v>52281</v>
      </c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47069</v>
      </c>
      <c r="E122" s="378">
        <v>47619</v>
      </c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66">D122/D121</f>
        <v>0.90160134850400342</v>
      </c>
      <c r="E123" s="381">
        <f t="shared" ref="E123:O123" si="67">E122/E121</f>
        <v>0.91082802547770703</v>
      </c>
      <c r="F123" s="381" t="e">
        <f t="shared" si="67"/>
        <v>#DIV/0!</v>
      </c>
      <c r="G123" s="381" t="e">
        <f t="shared" si="67"/>
        <v>#DIV/0!</v>
      </c>
      <c r="H123" s="381" t="e">
        <f t="shared" si="67"/>
        <v>#DIV/0!</v>
      </c>
      <c r="I123" s="381" t="e">
        <f t="shared" si="67"/>
        <v>#DIV/0!</v>
      </c>
      <c r="J123" s="381" t="e">
        <f t="shared" si="67"/>
        <v>#DIV/0!</v>
      </c>
      <c r="K123" s="381" t="e">
        <f t="shared" si="67"/>
        <v>#DIV/0!</v>
      </c>
      <c r="L123" s="381" t="e">
        <f t="shared" si="67"/>
        <v>#DIV/0!</v>
      </c>
      <c r="M123" s="381" t="e">
        <f t="shared" si="67"/>
        <v>#DIV/0!</v>
      </c>
      <c r="N123" s="381" t="e">
        <f t="shared" si="67"/>
        <v>#DIV/0!</v>
      </c>
      <c r="O123" s="381" t="e">
        <f t="shared" si="67"/>
        <v>#DIV/0!</v>
      </c>
      <c r="P123" s="523" t="e">
        <f t="shared" si="66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>
        <v>1</v>
      </c>
      <c r="E125" s="354">
        <v>1</v>
      </c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1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" si="68">D125+D126-D127-D128</f>
        <v>1</v>
      </c>
      <c r="E129" s="354">
        <f t="shared" ref="E129:O129" si="69">E125+E126-E127-E128</f>
        <v>1</v>
      </c>
      <c r="F129" s="354">
        <f t="shared" si="69"/>
        <v>0</v>
      </c>
      <c r="G129" s="354">
        <f t="shared" si="69"/>
        <v>0</v>
      </c>
      <c r="H129" s="354">
        <f t="shared" si="69"/>
        <v>0</v>
      </c>
      <c r="I129" s="354">
        <f t="shared" si="69"/>
        <v>0</v>
      </c>
      <c r="J129" s="354">
        <f t="shared" si="69"/>
        <v>0</v>
      </c>
      <c r="K129" s="354">
        <f t="shared" si="69"/>
        <v>0</v>
      </c>
      <c r="L129" s="354">
        <f t="shared" si="69"/>
        <v>0</v>
      </c>
      <c r="M129" s="354">
        <f t="shared" si="69"/>
        <v>0</v>
      </c>
      <c r="N129" s="354">
        <f t="shared" si="69"/>
        <v>0</v>
      </c>
      <c r="O129" s="354">
        <f t="shared" si="69"/>
        <v>0</v>
      </c>
      <c r="P129" s="355">
        <f>P125+P126-P127-P128</f>
        <v>1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" si="70">D130+D131-D132-D133</f>
        <v>0</v>
      </c>
      <c r="E134" s="354">
        <f t="shared" ref="E134:O134" si="71">E130+E131-E132-E133</f>
        <v>0</v>
      </c>
      <c r="F134" s="354">
        <f t="shared" si="71"/>
        <v>0</v>
      </c>
      <c r="G134" s="354">
        <f t="shared" si="71"/>
        <v>0</v>
      </c>
      <c r="H134" s="354">
        <f t="shared" si="71"/>
        <v>0</v>
      </c>
      <c r="I134" s="354">
        <f t="shared" si="71"/>
        <v>0</v>
      </c>
      <c r="J134" s="354">
        <f t="shared" si="71"/>
        <v>0</v>
      </c>
      <c r="K134" s="354">
        <f t="shared" si="71"/>
        <v>0</v>
      </c>
      <c r="L134" s="354">
        <f t="shared" si="71"/>
        <v>0</v>
      </c>
      <c r="M134" s="354">
        <f t="shared" si="71"/>
        <v>0</v>
      </c>
      <c r="N134" s="354">
        <f t="shared" si="71"/>
        <v>0</v>
      </c>
      <c r="O134" s="354">
        <f t="shared" si="71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" si="72">D135+D136-D137-D138</f>
        <v>0</v>
      </c>
      <c r="E139" s="354">
        <f t="shared" ref="E139:O139" si="73">E135+E136-E137-E138</f>
        <v>0</v>
      </c>
      <c r="F139" s="354">
        <f t="shared" si="73"/>
        <v>0</v>
      </c>
      <c r="G139" s="354">
        <f t="shared" si="73"/>
        <v>0</v>
      </c>
      <c r="H139" s="354">
        <f t="shared" si="73"/>
        <v>0</v>
      </c>
      <c r="I139" s="354">
        <f t="shared" si="73"/>
        <v>0</v>
      </c>
      <c r="J139" s="354">
        <f t="shared" si="73"/>
        <v>0</v>
      </c>
      <c r="K139" s="354">
        <f t="shared" si="73"/>
        <v>0</v>
      </c>
      <c r="L139" s="354">
        <f t="shared" si="73"/>
        <v>0</v>
      </c>
      <c r="M139" s="354">
        <f t="shared" si="73"/>
        <v>0</v>
      </c>
      <c r="N139" s="354">
        <f t="shared" si="73"/>
        <v>0</v>
      </c>
      <c r="O139" s="354">
        <f t="shared" si="7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420</v>
      </c>
      <c r="E140" s="354">
        <v>594</v>
      </c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420</v>
      </c>
    </row>
    <row r="141" spans="1:16" x14ac:dyDescent="0.3">
      <c r="A141" s="425"/>
      <c r="B141" s="322" t="s">
        <v>84</v>
      </c>
      <c r="C141" s="322" t="s">
        <v>3</v>
      </c>
      <c r="D141" s="356">
        <v>206</v>
      </c>
      <c r="E141" s="356">
        <v>71</v>
      </c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277</v>
      </c>
    </row>
    <row r="142" spans="1:16" x14ac:dyDescent="0.3">
      <c r="A142" s="425"/>
      <c r="B142" s="322" t="s">
        <v>83</v>
      </c>
      <c r="C142" s="322" t="s">
        <v>3</v>
      </c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0</v>
      </c>
    </row>
    <row r="143" spans="1:16" x14ac:dyDescent="0.3">
      <c r="A143" s="425"/>
      <c r="B143" s="322" t="s">
        <v>82</v>
      </c>
      <c r="C143" s="322" t="s">
        <v>3</v>
      </c>
      <c r="D143" s="356">
        <v>32</v>
      </c>
      <c r="E143" s="356">
        <v>27</v>
      </c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59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" si="74">D140+D141-D142-D143</f>
        <v>594</v>
      </c>
      <c r="E144" s="354">
        <f t="shared" ref="E144:O144" si="75">E140+E141-E142-E143</f>
        <v>638</v>
      </c>
      <c r="F144" s="354">
        <f t="shared" si="75"/>
        <v>0</v>
      </c>
      <c r="G144" s="354">
        <f t="shared" si="75"/>
        <v>0</v>
      </c>
      <c r="H144" s="354">
        <f t="shared" si="75"/>
        <v>0</v>
      </c>
      <c r="I144" s="354">
        <f t="shared" si="75"/>
        <v>0</v>
      </c>
      <c r="J144" s="354">
        <f t="shared" si="75"/>
        <v>0</v>
      </c>
      <c r="K144" s="354">
        <f t="shared" si="75"/>
        <v>0</v>
      </c>
      <c r="L144" s="354">
        <f t="shared" si="75"/>
        <v>0</v>
      </c>
      <c r="M144" s="354">
        <f t="shared" si="75"/>
        <v>0</v>
      </c>
      <c r="N144" s="354">
        <f t="shared" si="75"/>
        <v>0</v>
      </c>
      <c r="O144" s="354">
        <f t="shared" si="75"/>
        <v>0</v>
      </c>
      <c r="P144" s="355">
        <f>P140+P141-P142-P143</f>
        <v>638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76">D125+D130+D135+D140</f>
        <v>421</v>
      </c>
      <c r="E145" s="359">
        <f t="shared" ref="E145:O145" si="77">E125+E130+E135+E140</f>
        <v>595</v>
      </c>
      <c r="F145" s="359">
        <f t="shared" si="77"/>
        <v>0</v>
      </c>
      <c r="G145" s="359">
        <f t="shared" si="77"/>
        <v>0</v>
      </c>
      <c r="H145" s="359">
        <f t="shared" si="77"/>
        <v>0</v>
      </c>
      <c r="I145" s="359">
        <f t="shared" si="77"/>
        <v>0</v>
      </c>
      <c r="J145" s="359">
        <f t="shared" si="77"/>
        <v>0</v>
      </c>
      <c r="K145" s="359">
        <f t="shared" si="77"/>
        <v>0</v>
      </c>
      <c r="L145" s="359">
        <f t="shared" si="77"/>
        <v>0</v>
      </c>
      <c r="M145" s="359">
        <f t="shared" si="77"/>
        <v>0</v>
      </c>
      <c r="N145" s="359">
        <f t="shared" si="77"/>
        <v>0</v>
      </c>
      <c r="O145" s="359">
        <f t="shared" si="77"/>
        <v>0</v>
      </c>
      <c r="P145" s="384">
        <f t="shared" si="76"/>
        <v>421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76"/>
        <v>206</v>
      </c>
      <c r="E146" s="359">
        <f t="shared" ref="E146:O146" si="78">E126+E131+E136+E141</f>
        <v>71</v>
      </c>
      <c r="F146" s="359">
        <f t="shared" si="78"/>
        <v>0</v>
      </c>
      <c r="G146" s="359">
        <f t="shared" si="78"/>
        <v>0</v>
      </c>
      <c r="H146" s="359">
        <f t="shared" si="78"/>
        <v>0</v>
      </c>
      <c r="I146" s="359">
        <f t="shared" si="78"/>
        <v>0</v>
      </c>
      <c r="J146" s="359">
        <f t="shared" si="78"/>
        <v>0</v>
      </c>
      <c r="K146" s="359">
        <f t="shared" si="78"/>
        <v>0</v>
      </c>
      <c r="L146" s="359">
        <f t="shared" si="78"/>
        <v>0</v>
      </c>
      <c r="M146" s="359">
        <f t="shared" si="78"/>
        <v>0</v>
      </c>
      <c r="N146" s="359">
        <f t="shared" si="78"/>
        <v>0</v>
      </c>
      <c r="O146" s="359">
        <f t="shared" si="78"/>
        <v>0</v>
      </c>
      <c r="P146" s="384">
        <f t="shared" si="76"/>
        <v>277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76"/>
        <v>0</v>
      </c>
      <c r="E147" s="359">
        <f t="shared" ref="E147:O147" si="79">E127+E132+E137+E142</f>
        <v>0</v>
      </c>
      <c r="F147" s="359">
        <f t="shared" si="79"/>
        <v>0</v>
      </c>
      <c r="G147" s="359">
        <f t="shared" si="79"/>
        <v>0</v>
      </c>
      <c r="H147" s="359">
        <f t="shared" si="79"/>
        <v>0</v>
      </c>
      <c r="I147" s="359">
        <f t="shared" si="79"/>
        <v>0</v>
      </c>
      <c r="J147" s="359">
        <f t="shared" si="79"/>
        <v>0</v>
      </c>
      <c r="K147" s="359">
        <f t="shared" si="79"/>
        <v>0</v>
      </c>
      <c r="L147" s="359">
        <f t="shared" si="79"/>
        <v>0</v>
      </c>
      <c r="M147" s="359">
        <f t="shared" si="79"/>
        <v>0</v>
      </c>
      <c r="N147" s="359">
        <f t="shared" si="79"/>
        <v>0</v>
      </c>
      <c r="O147" s="359">
        <f t="shared" si="79"/>
        <v>0</v>
      </c>
      <c r="P147" s="384">
        <f t="shared" si="76"/>
        <v>0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76"/>
        <v>32</v>
      </c>
      <c r="E148" s="359">
        <f t="shared" ref="E148:O148" si="80">E128+E133+E138+E143</f>
        <v>27</v>
      </c>
      <c r="F148" s="359">
        <f t="shared" si="80"/>
        <v>0</v>
      </c>
      <c r="G148" s="359">
        <f t="shared" si="80"/>
        <v>0</v>
      </c>
      <c r="H148" s="359">
        <f t="shared" si="80"/>
        <v>0</v>
      </c>
      <c r="I148" s="359">
        <f t="shared" si="80"/>
        <v>0</v>
      </c>
      <c r="J148" s="359">
        <f t="shared" si="80"/>
        <v>0</v>
      </c>
      <c r="K148" s="359">
        <f t="shared" si="80"/>
        <v>0</v>
      </c>
      <c r="L148" s="359">
        <f t="shared" si="80"/>
        <v>0</v>
      </c>
      <c r="M148" s="359">
        <f t="shared" si="80"/>
        <v>0</v>
      </c>
      <c r="N148" s="359">
        <f t="shared" si="80"/>
        <v>0</v>
      </c>
      <c r="O148" s="359">
        <f t="shared" si="80"/>
        <v>0</v>
      </c>
      <c r="P148" s="384">
        <f t="shared" si="76"/>
        <v>59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" si="81">D145+D146-D147-D148</f>
        <v>595</v>
      </c>
      <c r="E149" s="354">
        <f t="shared" ref="E149:O149" si="82">E145+E146-E147-E148</f>
        <v>639</v>
      </c>
      <c r="F149" s="354">
        <f t="shared" si="82"/>
        <v>0</v>
      </c>
      <c r="G149" s="354">
        <f t="shared" si="82"/>
        <v>0</v>
      </c>
      <c r="H149" s="354">
        <f t="shared" si="82"/>
        <v>0</v>
      </c>
      <c r="I149" s="354">
        <f t="shared" si="82"/>
        <v>0</v>
      </c>
      <c r="J149" s="354">
        <f t="shared" si="82"/>
        <v>0</v>
      </c>
      <c r="K149" s="354">
        <f t="shared" si="82"/>
        <v>0</v>
      </c>
      <c r="L149" s="354">
        <f t="shared" si="82"/>
        <v>0</v>
      </c>
      <c r="M149" s="354">
        <f t="shared" si="82"/>
        <v>0</v>
      </c>
      <c r="N149" s="354">
        <f t="shared" si="82"/>
        <v>0</v>
      </c>
      <c r="O149" s="354">
        <f t="shared" si="82"/>
        <v>0</v>
      </c>
      <c r="P149" s="384">
        <f t="shared" si="76"/>
        <v>639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92</v>
      </c>
      <c r="E153" s="350">
        <v>92</v>
      </c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83">SUM(D153:O153)</f>
        <v>184</v>
      </c>
    </row>
    <row r="154" spans="1:16" x14ac:dyDescent="0.3">
      <c r="A154" s="443"/>
      <c r="B154" s="20" t="s">
        <v>72</v>
      </c>
      <c r="C154" s="322" t="s">
        <v>57</v>
      </c>
      <c r="D154" s="350">
        <v>57</v>
      </c>
      <c r="E154" s="350">
        <v>46</v>
      </c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83"/>
        <v>103</v>
      </c>
    </row>
    <row r="155" spans="1:16" x14ac:dyDescent="0.3">
      <c r="A155" s="443"/>
      <c r="B155" s="20" t="s">
        <v>53</v>
      </c>
      <c r="C155" s="322" t="s">
        <v>57</v>
      </c>
      <c r="D155" s="350">
        <v>21</v>
      </c>
      <c r="E155" s="350">
        <v>23</v>
      </c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83"/>
        <v>44</v>
      </c>
    </row>
    <row r="156" spans="1:16" x14ac:dyDescent="0.3">
      <c r="A156" s="443"/>
      <c r="B156" s="20" t="s">
        <v>71</v>
      </c>
      <c r="C156" s="322" t="s">
        <v>57</v>
      </c>
      <c r="D156" s="350">
        <v>13</v>
      </c>
      <c r="E156" s="350">
        <v>14</v>
      </c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83"/>
        <v>27</v>
      </c>
    </row>
    <row r="157" spans="1:16" x14ac:dyDescent="0.3">
      <c r="A157" s="443"/>
      <c r="B157" s="20" t="s">
        <v>52</v>
      </c>
      <c r="C157" s="322" t="s">
        <v>57</v>
      </c>
      <c r="D157" s="350">
        <v>6</v>
      </c>
      <c r="E157" s="350">
        <v>5</v>
      </c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83"/>
        <v>11</v>
      </c>
    </row>
    <row r="158" spans="1:16" x14ac:dyDescent="0.3">
      <c r="A158" s="443"/>
      <c r="B158" s="20" t="s">
        <v>51</v>
      </c>
      <c r="C158" s="322" t="s">
        <v>57</v>
      </c>
      <c r="D158" s="350">
        <v>4</v>
      </c>
      <c r="E158" s="350">
        <v>5</v>
      </c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83"/>
        <v>9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83"/>
        <v>0</v>
      </c>
    </row>
    <row r="160" spans="1:16" x14ac:dyDescent="0.3">
      <c r="A160" s="443"/>
      <c r="B160" s="20" t="s">
        <v>50</v>
      </c>
      <c r="C160" s="322" t="s">
        <v>57</v>
      </c>
      <c r="D160" s="350">
        <v>2</v>
      </c>
      <c r="E160" s="350">
        <v>2</v>
      </c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83"/>
        <v>4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83"/>
        <v>0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>
        <v>3</v>
      </c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83"/>
        <v>3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83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83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83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>
        <v>7</v>
      </c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84">SUM(D167:O167)</f>
        <v>7</v>
      </c>
    </row>
    <row r="168" spans="1:16" x14ac:dyDescent="0.3">
      <c r="A168" s="443"/>
      <c r="B168" s="20" t="s">
        <v>73</v>
      </c>
      <c r="C168" s="322" t="s">
        <v>57</v>
      </c>
      <c r="D168" s="350">
        <v>4</v>
      </c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84"/>
        <v>4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84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84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84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84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84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84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84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85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85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85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85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85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85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>
        <v>2</v>
      </c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2</v>
      </c>
    </row>
    <row r="193" spans="1:16" x14ac:dyDescent="0.3">
      <c r="A193" s="387" t="s">
        <v>59</v>
      </c>
      <c r="B193" s="388"/>
      <c r="C193" s="322"/>
      <c r="D193" s="389">
        <f>SUM(D153:D192)</f>
        <v>208</v>
      </c>
      <c r="E193" s="389">
        <f t="shared" ref="E193:O193" si="86">SUM(E153:E192)</f>
        <v>190</v>
      </c>
      <c r="F193" s="389">
        <f t="shared" si="86"/>
        <v>0</v>
      </c>
      <c r="G193" s="389">
        <f t="shared" si="86"/>
        <v>0</v>
      </c>
      <c r="H193" s="389">
        <f t="shared" si="86"/>
        <v>0</v>
      </c>
      <c r="I193" s="389">
        <f t="shared" si="86"/>
        <v>0</v>
      </c>
      <c r="J193" s="389">
        <f t="shared" si="86"/>
        <v>0</v>
      </c>
      <c r="K193" s="389">
        <f t="shared" si="86"/>
        <v>0</v>
      </c>
      <c r="L193" s="389">
        <f t="shared" si="86"/>
        <v>0</v>
      </c>
      <c r="M193" s="389">
        <f t="shared" si="86"/>
        <v>0</v>
      </c>
      <c r="N193" s="389">
        <f t="shared" si="86"/>
        <v>0</v>
      </c>
      <c r="O193" s="389">
        <f t="shared" si="86"/>
        <v>0</v>
      </c>
      <c r="P193" s="351">
        <f t="shared" ref="P193" si="87">SUM(P153:P192)</f>
        <v>398</v>
      </c>
    </row>
    <row r="194" spans="1:16" x14ac:dyDescent="0.3">
      <c r="A194" s="420" t="s">
        <v>58</v>
      </c>
      <c r="B194" s="445"/>
      <c r="C194" s="322" t="s">
        <v>57</v>
      </c>
      <c r="D194" s="350">
        <v>7</v>
      </c>
      <c r="E194" s="350">
        <v>7</v>
      </c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14</v>
      </c>
    </row>
    <row r="195" spans="1:16" x14ac:dyDescent="0.3">
      <c r="A195" s="422"/>
      <c r="B195" s="446"/>
      <c r="C195" s="390" t="s">
        <v>55</v>
      </c>
      <c r="D195" s="350">
        <v>667</v>
      </c>
      <c r="E195" s="350">
        <v>643.5</v>
      </c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1310.5</v>
      </c>
    </row>
    <row r="196" spans="1:16" x14ac:dyDescent="0.3">
      <c r="A196" s="391" t="s">
        <v>204</v>
      </c>
      <c r="B196" s="392"/>
      <c r="C196" s="390" t="s">
        <v>55</v>
      </c>
      <c r="D196" s="350"/>
      <c r="E196" s="350">
        <v>18</v>
      </c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1.5</v>
      </c>
    </row>
    <row r="197" spans="1:16" x14ac:dyDescent="0.3">
      <c r="A197" s="416" t="s">
        <v>56</v>
      </c>
      <c r="B197" s="417"/>
      <c r="C197" s="390" t="s">
        <v>55</v>
      </c>
      <c r="D197" s="350">
        <v>45</v>
      </c>
      <c r="E197" s="350">
        <v>30</v>
      </c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75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88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88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88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88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88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" si="89">SUM(D199:D203)</f>
        <v>0</v>
      </c>
      <c r="E204" s="345">
        <f t="shared" ref="E204:O204" si="90">SUM(E199:E203)</f>
        <v>0</v>
      </c>
      <c r="F204" s="345">
        <f t="shared" si="90"/>
        <v>0</v>
      </c>
      <c r="G204" s="345">
        <f t="shared" si="90"/>
        <v>0</v>
      </c>
      <c r="H204" s="345">
        <f t="shared" si="90"/>
        <v>0</v>
      </c>
      <c r="I204" s="345">
        <f t="shared" si="90"/>
        <v>0</v>
      </c>
      <c r="J204" s="345">
        <f t="shared" si="90"/>
        <v>0</v>
      </c>
      <c r="K204" s="345">
        <f t="shared" si="90"/>
        <v>0</v>
      </c>
      <c r="L204" s="345">
        <f t="shared" si="90"/>
        <v>0</v>
      </c>
      <c r="M204" s="345">
        <f t="shared" si="90"/>
        <v>0</v>
      </c>
      <c r="N204" s="345">
        <f t="shared" si="90"/>
        <v>0</v>
      </c>
      <c r="O204" s="345">
        <f t="shared" si="90"/>
        <v>0</v>
      </c>
      <c r="P204" s="394">
        <f t="shared" si="88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47180074</v>
      </c>
      <c r="E206" s="346">
        <v>90899279</v>
      </c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138079353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>
        <v>336100</v>
      </c>
      <c r="E208" s="346">
        <v>308867.21999999997</v>
      </c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644967.22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>
        <v>296984.44</v>
      </c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296984.44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" si="91">SUM(D206:D209)</f>
        <v>47516174</v>
      </c>
      <c r="E210" s="389">
        <f t="shared" ref="E210:O210" si="92">SUM(E206:E209)</f>
        <v>91505130.659999996</v>
      </c>
      <c r="F210" s="389">
        <f t="shared" si="92"/>
        <v>0</v>
      </c>
      <c r="G210" s="389">
        <f t="shared" si="92"/>
        <v>0</v>
      </c>
      <c r="H210" s="389">
        <f t="shared" si="92"/>
        <v>0</v>
      </c>
      <c r="I210" s="389">
        <f t="shared" si="92"/>
        <v>0</v>
      </c>
      <c r="J210" s="389">
        <f t="shared" si="92"/>
        <v>0</v>
      </c>
      <c r="K210" s="389">
        <f t="shared" si="92"/>
        <v>0</v>
      </c>
      <c r="L210" s="389">
        <f t="shared" si="92"/>
        <v>0</v>
      </c>
      <c r="M210" s="389">
        <f t="shared" si="92"/>
        <v>0</v>
      </c>
      <c r="N210" s="389">
        <f t="shared" si="92"/>
        <v>0</v>
      </c>
      <c r="O210" s="389">
        <f t="shared" si="92"/>
        <v>0</v>
      </c>
      <c r="P210" s="348">
        <f>SUM(D210:O210)</f>
        <v>139021304.66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31566000</v>
      </c>
      <c r="E212" s="346">
        <v>36606134</v>
      </c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68172134</v>
      </c>
    </row>
    <row r="213" spans="1:16" x14ac:dyDescent="0.3">
      <c r="A213" s="416" t="s">
        <v>42</v>
      </c>
      <c r="B213" s="417"/>
      <c r="C213" s="322" t="s">
        <v>31</v>
      </c>
      <c r="D213" s="346">
        <v>1024080</v>
      </c>
      <c r="E213" s="346">
        <v>932700</v>
      </c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1956780</v>
      </c>
    </row>
    <row r="214" spans="1:16" x14ac:dyDescent="0.3">
      <c r="A214" s="423" t="s">
        <v>41</v>
      </c>
      <c r="B214" s="424"/>
      <c r="C214" s="322" t="s">
        <v>31</v>
      </c>
      <c r="D214" s="346">
        <v>8401030</v>
      </c>
      <c r="E214" s="346">
        <v>12052878</v>
      </c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20453908</v>
      </c>
    </row>
    <row r="215" spans="1:16" x14ac:dyDescent="0.3">
      <c r="A215" s="416" t="s">
        <v>40</v>
      </c>
      <c r="B215" s="417"/>
      <c r="C215" s="322" t="s">
        <v>31</v>
      </c>
      <c r="D215" s="346">
        <v>16381209</v>
      </c>
      <c r="E215" s="346">
        <v>16615048</v>
      </c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32996257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" si="93">SUM(D212:D215)</f>
        <v>57372319</v>
      </c>
      <c r="E216" s="389">
        <f t="shared" ref="E216:O216" si="94">SUM(E212:E215)</f>
        <v>66206760</v>
      </c>
      <c r="F216" s="389">
        <f t="shared" si="94"/>
        <v>0</v>
      </c>
      <c r="G216" s="389">
        <f t="shared" si="94"/>
        <v>0</v>
      </c>
      <c r="H216" s="389">
        <f t="shared" si="94"/>
        <v>0</v>
      </c>
      <c r="I216" s="389">
        <f t="shared" si="94"/>
        <v>0</v>
      </c>
      <c r="J216" s="389">
        <f t="shared" si="94"/>
        <v>0</v>
      </c>
      <c r="K216" s="389">
        <f t="shared" si="94"/>
        <v>0</v>
      </c>
      <c r="L216" s="389">
        <f t="shared" si="94"/>
        <v>0</v>
      </c>
      <c r="M216" s="389">
        <f t="shared" si="94"/>
        <v>0</v>
      </c>
      <c r="N216" s="389">
        <f t="shared" si="94"/>
        <v>0</v>
      </c>
      <c r="O216" s="389">
        <f t="shared" si="94"/>
        <v>0</v>
      </c>
      <c r="P216" s="348">
        <f>SUM(D216:O216)</f>
        <v>123579079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104888493</v>
      </c>
      <c r="E217" s="389">
        <f t="shared" ref="E217:O217" si="95">E210+E216</f>
        <v>157711890.66</v>
      </c>
      <c r="F217" s="389">
        <f t="shared" si="95"/>
        <v>0</v>
      </c>
      <c r="G217" s="389">
        <f t="shared" si="95"/>
        <v>0</v>
      </c>
      <c r="H217" s="389">
        <f t="shared" si="95"/>
        <v>0</v>
      </c>
      <c r="I217" s="389">
        <f t="shared" si="95"/>
        <v>0</v>
      </c>
      <c r="J217" s="389">
        <f t="shared" si="95"/>
        <v>0</v>
      </c>
      <c r="K217" s="389">
        <f t="shared" si="95"/>
        <v>0</v>
      </c>
      <c r="L217" s="389">
        <f t="shared" si="95"/>
        <v>0</v>
      </c>
      <c r="M217" s="389">
        <f t="shared" si="95"/>
        <v>0</v>
      </c>
      <c r="N217" s="389">
        <f t="shared" si="95"/>
        <v>0</v>
      </c>
      <c r="O217" s="389">
        <f t="shared" si="95"/>
        <v>0</v>
      </c>
      <c r="P217" s="351">
        <f t="shared" ref="P217" si="96">P210+P216</f>
        <v>262600383.66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49885330</v>
      </c>
      <c r="E219" s="346">
        <v>53986285</v>
      </c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103871615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320416.90999999997</v>
      </c>
      <c r="E221" s="346">
        <v>649066.56000000006</v>
      </c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969483.47</v>
      </c>
    </row>
    <row r="222" spans="1:16" x14ac:dyDescent="0.3">
      <c r="A222" s="416" t="s">
        <v>32</v>
      </c>
      <c r="B222" s="417"/>
      <c r="C222" s="322" t="s">
        <v>31</v>
      </c>
      <c r="D222" s="346">
        <v>297517.15999999997</v>
      </c>
      <c r="E222" s="346">
        <v>331731.45</v>
      </c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629248.61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" si="97">SUM(D219:D222)</f>
        <v>50503264.069999993</v>
      </c>
      <c r="E223" s="397">
        <f t="shared" ref="E223:O223" si="98">SUM(E219:E222)</f>
        <v>54967083.010000005</v>
      </c>
      <c r="F223" s="397">
        <f t="shared" si="98"/>
        <v>0</v>
      </c>
      <c r="G223" s="397">
        <f t="shared" si="98"/>
        <v>0</v>
      </c>
      <c r="H223" s="397">
        <f t="shared" si="98"/>
        <v>0</v>
      </c>
      <c r="I223" s="397">
        <f t="shared" si="98"/>
        <v>0</v>
      </c>
      <c r="J223" s="397">
        <f t="shared" si="98"/>
        <v>0</v>
      </c>
      <c r="K223" s="397">
        <f t="shared" si="98"/>
        <v>0</v>
      </c>
      <c r="L223" s="397">
        <f t="shared" si="98"/>
        <v>0</v>
      </c>
      <c r="M223" s="397">
        <f t="shared" si="98"/>
        <v>0</v>
      </c>
      <c r="N223" s="397">
        <f t="shared" si="98"/>
        <v>0</v>
      </c>
      <c r="O223" s="397">
        <f t="shared" si="98"/>
        <v>0</v>
      </c>
      <c r="P223" s="348">
        <f>SUM(D223:O223)</f>
        <v>105470347.08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31542720</v>
      </c>
      <c r="E225" s="346">
        <v>36702242.879999995</v>
      </c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99">SUM(D225:O225)</f>
        <v>68244962.879999995</v>
      </c>
    </row>
    <row r="226" spans="1:16" x14ac:dyDescent="0.3">
      <c r="A226" s="416" t="s">
        <v>34</v>
      </c>
      <c r="B226" s="417"/>
      <c r="C226" s="322" t="s">
        <v>31</v>
      </c>
      <c r="D226" s="346">
        <v>1024080</v>
      </c>
      <c r="E226" s="346">
        <v>932700</v>
      </c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99"/>
        <v>1956780</v>
      </c>
    </row>
    <row r="227" spans="1:16" x14ac:dyDescent="0.3">
      <c r="A227" s="416" t="s">
        <v>33</v>
      </c>
      <c r="B227" s="417"/>
      <c r="C227" s="322" t="s">
        <v>31</v>
      </c>
      <c r="D227" s="346">
        <v>16369209</v>
      </c>
      <c r="E227" s="346">
        <v>16615048</v>
      </c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99"/>
        <v>32984257</v>
      </c>
    </row>
    <row r="228" spans="1:16" x14ac:dyDescent="0.3">
      <c r="A228" s="416" t="s">
        <v>32</v>
      </c>
      <c r="B228" s="417"/>
      <c r="C228" s="322" t="s">
        <v>31</v>
      </c>
      <c r="D228" s="346">
        <v>8440500</v>
      </c>
      <c r="E228" s="346">
        <v>12045678</v>
      </c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99"/>
        <v>20486178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" si="100">SUM(D225:D228)</f>
        <v>57376509</v>
      </c>
      <c r="E229" s="397">
        <f t="shared" ref="E229:O229" si="101">SUM(E225:E228)</f>
        <v>66295668.879999995</v>
      </c>
      <c r="F229" s="397">
        <f t="shared" si="101"/>
        <v>0</v>
      </c>
      <c r="G229" s="397">
        <f t="shared" si="101"/>
        <v>0</v>
      </c>
      <c r="H229" s="397">
        <f t="shared" si="101"/>
        <v>0</v>
      </c>
      <c r="I229" s="397">
        <f t="shared" si="101"/>
        <v>0</v>
      </c>
      <c r="J229" s="397">
        <f t="shared" si="101"/>
        <v>0</v>
      </c>
      <c r="K229" s="397">
        <f t="shared" si="101"/>
        <v>0</v>
      </c>
      <c r="L229" s="397">
        <f t="shared" si="101"/>
        <v>0</v>
      </c>
      <c r="M229" s="397">
        <f t="shared" si="101"/>
        <v>0</v>
      </c>
      <c r="N229" s="397">
        <f t="shared" si="101"/>
        <v>0</v>
      </c>
      <c r="O229" s="397">
        <f t="shared" si="101"/>
        <v>0</v>
      </c>
      <c r="P229" s="348">
        <f t="shared" si="99"/>
        <v>123672177.88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107879773.06999999</v>
      </c>
      <c r="E230" s="397">
        <f t="shared" ref="E230:O230" si="102">E223+E229</f>
        <v>121262751.89</v>
      </c>
      <c r="F230" s="397">
        <f t="shared" si="102"/>
        <v>0</v>
      </c>
      <c r="G230" s="397">
        <f t="shared" si="102"/>
        <v>0</v>
      </c>
      <c r="H230" s="397">
        <f t="shared" si="102"/>
        <v>0</v>
      </c>
      <c r="I230" s="397">
        <f t="shared" si="102"/>
        <v>0</v>
      </c>
      <c r="J230" s="397">
        <f t="shared" si="102"/>
        <v>0</v>
      </c>
      <c r="K230" s="397">
        <f t="shared" si="102"/>
        <v>0</v>
      </c>
      <c r="L230" s="397">
        <f t="shared" si="102"/>
        <v>0</v>
      </c>
      <c r="M230" s="397">
        <f t="shared" si="102"/>
        <v>0</v>
      </c>
      <c r="N230" s="397">
        <f t="shared" si="102"/>
        <v>0</v>
      </c>
      <c r="O230" s="397">
        <f t="shared" si="102"/>
        <v>0</v>
      </c>
      <c r="P230" s="348">
        <f t="shared" si="99"/>
        <v>229142524.95999998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2431921</v>
      </c>
      <c r="E232" s="346">
        <v>2451550</v>
      </c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4883471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13574.56</v>
      </c>
      <c r="E234" s="346">
        <v>13574.56</v>
      </c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27149.119999999999</v>
      </c>
    </row>
    <row r="235" spans="1:16" x14ac:dyDescent="0.3">
      <c r="A235" s="416" t="s">
        <v>26</v>
      </c>
      <c r="B235" s="417"/>
      <c r="C235" s="322" t="s">
        <v>18</v>
      </c>
      <c r="D235" s="346">
        <v>9274.68</v>
      </c>
      <c r="E235" s="346">
        <v>13912.02</v>
      </c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23186.7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103">SUM(D232:D235)</f>
        <v>2454770.2400000002</v>
      </c>
      <c r="E236" s="397">
        <f t="shared" ref="E236:O236" si="104">SUM(E232:E235)</f>
        <v>2479036.58</v>
      </c>
      <c r="F236" s="397">
        <f t="shared" si="104"/>
        <v>0</v>
      </c>
      <c r="G236" s="397">
        <f t="shared" si="104"/>
        <v>0</v>
      </c>
      <c r="H236" s="397">
        <f t="shared" si="104"/>
        <v>0</v>
      </c>
      <c r="I236" s="397">
        <f t="shared" si="104"/>
        <v>0</v>
      </c>
      <c r="J236" s="397">
        <f t="shared" si="104"/>
        <v>0</v>
      </c>
      <c r="K236" s="397">
        <f t="shared" si="104"/>
        <v>0</v>
      </c>
      <c r="L236" s="397">
        <f t="shared" si="104"/>
        <v>0</v>
      </c>
      <c r="M236" s="397">
        <f t="shared" si="104"/>
        <v>0</v>
      </c>
      <c r="N236" s="397">
        <f t="shared" si="104"/>
        <v>0</v>
      </c>
      <c r="O236" s="397">
        <f t="shared" si="104"/>
        <v>0</v>
      </c>
      <c r="P236" s="351">
        <f t="shared" si="103"/>
        <v>4933806.82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3997961</v>
      </c>
      <c r="E238" s="345">
        <v>4031002</v>
      </c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8028963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3572</v>
      </c>
      <c r="E240" s="345">
        <v>3572</v>
      </c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7144</v>
      </c>
    </row>
    <row r="241" spans="1:16" x14ac:dyDescent="0.3">
      <c r="A241" s="416" t="s">
        <v>20</v>
      </c>
      <c r="B241" s="417"/>
      <c r="C241" s="322" t="s">
        <v>18</v>
      </c>
      <c r="D241" s="346">
        <v>1786</v>
      </c>
      <c r="E241" s="346">
        <v>2679</v>
      </c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4465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105">SUM(D238:D241)</f>
        <v>4003319</v>
      </c>
      <c r="E242" s="397">
        <f t="shared" ref="E242:O242" si="106">SUM(E238:E241)</f>
        <v>4037253</v>
      </c>
      <c r="F242" s="397">
        <f t="shared" si="106"/>
        <v>0</v>
      </c>
      <c r="G242" s="397">
        <f t="shared" si="106"/>
        <v>0</v>
      </c>
      <c r="H242" s="397">
        <f t="shared" si="106"/>
        <v>0</v>
      </c>
      <c r="I242" s="397">
        <f t="shared" si="106"/>
        <v>0</v>
      </c>
      <c r="J242" s="397">
        <f t="shared" si="106"/>
        <v>0</v>
      </c>
      <c r="K242" s="397">
        <f t="shared" si="106"/>
        <v>0</v>
      </c>
      <c r="L242" s="397">
        <f t="shared" si="106"/>
        <v>0</v>
      </c>
      <c r="M242" s="397">
        <f t="shared" si="106"/>
        <v>0</v>
      </c>
      <c r="N242" s="397">
        <f t="shared" si="106"/>
        <v>0</v>
      </c>
      <c r="O242" s="397">
        <f t="shared" si="106"/>
        <v>0</v>
      </c>
      <c r="P242" s="351">
        <f t="shared" si="105"/>
        <v>8040572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114337862.30999999</v>
      </c>
      <c r="E243" s="389">
        <f t="shared" ref="E243:O243" si="107">E230+E236+E242</f>
        <v>127779041.47</v>
      </c>
      <c r="F243" s="389">
        <f t="shared" si="107"/>
        <v>0</v>
      </c>
      <c r="G243" s="389">
        <f t="shared" si="107"/>
        <v>0</v>
      </c>
      <c r="H243" s="389">
        <f t="shared" si="107"/>
        <v>0</v>
      </c>
      <c r="I243" s="389">
        <f t="shared" si="107"/>
        <v>0</v>
      </c>
      <c r="J243" s="389">
        <f t="shared" si="107"/>
        <v>0</v>
      </c>
      <c r="K243" s="389">
        <f t="shared" si="107"/>
        <v>0</v>
      </c>
      <c r="L243" s="389">
        <f t="shared" si="107"/>
        <v>0</v>
      </c>
      <c r="M243" s="389">
        <f t="shared" si="107"/>
        <v>0</v>
      </c>
      <c r="N243" s="389">
        <f t="shared" si="107"/>
        <v>0</v>
      </c>
      <c r="O243" s="389">
        <f t="shared" si="107"/>
        <v>0</v>
      </c>
      <c r="P243" s="351">
        <f t="shared" ref="P243" si="108">P216+P223+P236+P242</f>
        <v>242023804.89999998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94377643.260000944</v>
      </c>
      <c r="E245" s="399">
        <v>65750390.46800106</v>
      </c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295953472.16999966</v>
      </c>
      <c r="E246" s="399">
        <v>292634394.43200004</v>
      </c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390331115.4300006</v>
      </c>
      <c r="E247" s="401">
        <f t="shared" ref="E247:O247" si="109">E245+E246</f>
        <v>358384784.90000111</v>
      </c>
      <c r="F247" s="401">
        <f t="shared" si="109"/>
        <v>0</v>
      </c>
      <c r="G247" s="401">
        <f t="shared" si="109"/>
        <v>0</v>
      </c>
      <c r="H247" s="401">
        <f t="shared" si="109"/>
        <v>0</v>
      </c>
      <c r="I247" s="401">
        <f t="shared" si="109"/>
        <v>0</v>
      </c>
      <c r="J247" s="401">
        <f t="shared" si="109"/>
        <v>0</v>
      </c>
      <c r="K247" s="401">
        <f t="shared" si="109"/>
        <v>0</v>
      </c>
      <c r="L247" s="401">
        <f t="shared" si="109"/>
        <v>0</v>
      </c>
      <c r="M247" s="401">
        <f t="shared" si="109"/>
        <v>0</v>
      </c>
      <c r="N247" s="401">
        <f t="shared" si="109"/>
        <v>0</v>
      </c>
      <c r="O247" s="401">
        <f t="shared" si="109"/>
        <v>0</v>
      </c>
      <c r="P247" s="400">
        <f t="shared" ref="P247" si="110">P245+P246</f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0.53085983549314975</v>
      </c>
      <c r="E249" s="402">
        <f t="shared" ref="E249:O249" si="111">E58/E243</f>
        <v>0.46587252790866474</v>
      </c>
      <c r="F249" s="402" t="e">
        <f t="shared" si="111"/>
        <v>#DIV/0!</v>
      </c>
      <c r="G249" s="402" t="e">
        <f t="shared" si="111"/>
        <v>#DIV/0!</v>
      </c>
      <c r="H249" s="402" t="e">
        <f t="shared" si="111"/>
        <v>#DIV/0!</v>
      </c>
      <c r="I249" s="402" t="e">
        <f t="shared" si="111"/>
        <v>#DIV/0!</v>
      </c>
      <c r="J249" s="402" t="e">
        <f t="shared" si="111"/>
        <v>#DIV/0!</v>
      </c>
      <c r="K249" s="402" t="e">
        <f t="shared" si="111"/>
        <v>#DIV/0!</v>
      </c>
      <c r="L249" s="402" t="e">
        <f t="shared" si="111"/>
        <v>#DIV/0!</v>
      </c>
      <c r="M249" s="402" t="e">
        <f t="shared" si="111"/>
        <v>#DIV/0!</v>
      </c>
      <c r="N249" s="402" t="e">
        <f t="shared" si="111"/>
        <v>#DIV/0!</v>
      </c>
      <c r="O249" s="402" t="e">
        <f t="shared" si="111"/>
        <v>#DIV/0!</v>
      </c>
      <c r="P249" s="524">
        <f t="shared" ref="P249" si="112">P58/P243%</f>
        <v>49.755235394987388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0.32796712055212729</v>
      </c>
      <c r="E250" s="381">
        <f t="shared" ref="E250:O250" si="113">E210/(E223+E245)</f>
        <v>0.75801065101545084</v>
      </c>
      <c r="F250" s="381" t="e">
        <f t="shared" si="113"/>
        <v>#DIV/0!</v>
      </c>
      <c r="G250" s="381" t="e">
        <f t="shared" si="113"/>
        <v>#DIV/0!</v>
      </c>
      <c r="H250" s="381" t="e">
        <f t="shared" si="113"/>
        <v>#DIV/0!</v>
      </c>
      <c r="I250" s="381" t="e">
        <f t="shared" si="113"/>
        <v>#DIV/0!</v>
      </c>
      <c r="J250" s="381" t="e">
        <f t="shared" si="113"/>
        <v>#DIV/0!</v>
      </c>
      <c r="K250" s="381" t="e">
        <f t="shared" si="113"/>
        <v>#DIV/0!</v>
      </c>
      <c r="L250" s="381" t="e">
        <f t="shared" si="113"/>
        <v>#DIV/0!</v>
      </c>
      <c r="M250" s="381" t="e">
        <f t="shared" si="113"/>
        <v>#DIV/0!</v>
      </c>
      <c r="N250" s="381" t="e">
        <f t="shared" si="113"/>
        <v>#DIV/0!</v>
      </c>
      <c r="O250" s="381" t="e">
        <f t="shared" si="113"/>
        <v>#DIV/0!</v>
      </c>
      <c r="P250" s="523">
        <f t="shared" ref="P250" si="114">P210/(P223+P245)%</f>
        <v>131.81079659721928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0.94085352451952931</v>
      </c>
      <c r="E251" s="403">
        <f t="shared" ref="E251:O251" si="115">E210/E223</f>
        <v>1.6647259714209817</v>
      </c>
      <c r="F251" s="403" t="e">
        <f t="shared" si="115"/>
        <v>#DIV/0!</v>
      </c>
      <c r="G251" s="403" t="e">
        <f t="shared" si="115"/>
        <v>#DIV/0!</v>
      </c>
      <c r="H251" s="403" t="e">
        <f t="shared" si="115"/>
        <v>#DIV/0!</v>
      </c>
      <c r="I251" s="403" t="e">
        <f t="shared" si="115"/>
        <v>#DIV/0!</v>
      </c>
      <c r="J251" s="403" t="e">
        <f t="shared" si="115"/>
        <v>#DIV/0!</v>
      </c>
      <c r="K251" s="403" t="e">
        <f t="shared" si="115"/>
        <v>#DIV/0!</v>
      </c>
      <c r="L251" s="403" t="e">
        <f t="shared" si="115"/>
        <v>#DIV/0!</v>
      </c>
      <c r="M251" s="403" t="e">
        <f t="shared" si="115"/>
        <v>#DIV/0!</v>
      </c>
      <c r="N251" s="403" t="e">
        <f t="shared" si="115"/>
        <v>#DIV/0!</v>
      </c>
      <c r="O251" s="403" t="e">
        <f t="shared" si="115"/>
        <v>#DIV/0!</v>
      </c>
      <c r="P251" s="525">
        <f t="shared" ref="P251" si="116">P210/P223%</f>
        <v>131.81079659721928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1604</v>
      </c>
      <c r="E253" s="350">
        <v>2060</v>
      </c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3664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1</v>
      </c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2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" si="117">D95</f>
        <v>2032</v>
      </c>
      <c r="E255" s="350">
        <f t="shared" ref="E255:O255" si="118">E95</f>
        <v>2060</v>
      </c>
      <c r="F255" s="350">
        <f t="shared" si="118"/>
        <v>0</v>
      </c>
      <c r="G255" s="350">
        <f t="shared" si="118"/>
        <v>0</v>
      </c>
      <c r="H255" s="350">
        <f t="shared" si="118"/>
        <v>0</v>
      </c>
      <c r="I255" s="350">
        <f t="shared" si="118"/>
        <v>0</v>
      </c>
      <c r="J255" s="350">
        <f t="shared" si="118"/>
        <v>0</v>
      </c>
      <c r="K255" s="350">
        <f t="shared" si="118"/>
        <v>0</v>
      </c>
      <c r="L255" s="350">
        <f t="shared" si="118"/>
        <v>0</v>
      </c>
      <c r="M255" s="350">
        <f t="shared" si="118"/>
        <v>0</v>
      </c>
      <c r="N255" s="350">
        <f t="shared" si="118"/>
        <v>0</v>
      </c>
      <c r="O255" s="350">
        <f t="shared" si="118"/>
        <v>0</v>
      </c>
      <c r="P255" s="526">
        <f>SUM(D255:O255)</f>
        <v>4092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" si="119">D91</f>
        <v>115</v>
      </c>
      <c r="E256" s="350">
        <f t="shared" ref="E256:O256" si="120">E91</f>
        <v>138</v>
      </c>
      <c r="F256" s="350">
        <f t="shared" si="120"/>
        <v>0</v>
      </c>
      <c r="G256" s="350">
        <f t="shared" si="120"/>
        <v>0</v>
      </c>
      <c r="H256" s="350">
        <f t="shared" si="120"/>
        <v>0</v>
      </c>
      <c r="I256" s="350">
        <f t="shared" si="120"/>
        <v>0</v>
      </c>
      <c r="J256" s="350">
        <f t="shared" si="120"/>
        <v>0</v>
      </c>
      <c r="K256" s="350">
        <f t="shared" si="120"/>
        <v>0</v>
      </c>
      <c r="L256" s="350">
        <f t="shared" si="120"/>
        <v>0</v>
      </c>
      <c r="M256" s="350">
        <f t="shared" si="120"/>
        <v>0</v>
      </c>
      <c r="N256" s="350">
        <f t="shared" si="120"/>
        <v>0</v>
      </c>
      <c r="O256" s="350">
        <f t="shared" si="120"/>
        <v>0</v>
      </c>
      <c r="P256" s="526">
        <f>SUM(D256:O256)</f>
        <v>253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12964</v>
      </c>
      <c r="E257" s="350">
        <v>30282</v>
      </c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43246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121">D257/D256</f>
        <v>112.7304347826087</v>
      </c>
      <c r="E258" s="345">
        <f t="shared" ref="E258:O258" si="122">E257/E256</f>
        <v>219.43478260869566</v>
      </c>
      <c r="F258" s="345" t="e">
        <f t="shared" si="122"/>
        <v>#DIV/0!</v>
      </c>
      <c r="G258" s="345" t="e">
        <f t="shared" si="122"/>
        <v>#DIV/0!</v>
      </c>
      <c r="H258" s="345" t="e">
        <f t="shared" si="122"/>
        <v>#DIV/0!</v>
      </c>
      <c r="I258" s="345" t="e">
        <f t="shared" si="122"/>
        <v>#DIV/0!</v>
      </c>
      <c r="J258" s="345" t="e">
        <f t="shared" si="122"/>
        <v>#DIV/0!</v>
      </c>
      <c r="K258" s="345" t="e">
        <f t="shared" si="122"/>
        <v>#DIV/0!</v>
      </c>
      <c r="L258" s="345" t="e">
        <f t="shared" si="122"/>
        <v>#DIV/0!</v>
      </c>
      <c r="M258" s="345" t="e">
        <f t="shared" si="122"/>
        <v>#DIV/0!</v>
      </c>
      <c r="N258" s="345" t="e">
        <f t="shared" si="122"/>
        <v>#DIV/0!</v>
      </c>
      <c r="O258" s="345" t="e">
        <f t="shared" si="122"/>
        <v>#DIV/0!</v>
      </c>
      <c r="P258" s="526">
        <f t="shared" si="121"/>
        <v>170.93280632411069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123">D92/D255*100</f>
        <v>0</v>
      </c>
      <c r="E259" s="404">
        <f t="shared" ref="E259:O259" si="124">E92/E255*100</f>
        <v>0</v>
      </c>
      <c r="F259" s="404" t="e">
        <f t="shared" si="124"/>
        <v>#DIV/0!</v>
      </c>
      <c r="G259" s="404" t="e">
        <f t="shared" si="124"/>
        <v>#DIV/0!</v>
      </c>
      <c r="H259" s="404" t="e">
        <f t="shared" si="124"/>
        <v>#DIV/0!</v>
      </c>
      <c r="I259" s="404" t="e">
        <f t="shared" si="124"/>
        <v>#DIV/0!</v>
      </c>
      <c r="J259" s="404" t="e">
        <f t="shared" si="124"/>
        <v>#DIV/0!</v>
      </c>
      <c r="K259" s="404" t="e">
        <f t="shared" si="124"/>
        <v>#DIV/0!</v>
      </c>
      <c r="L259" s="404" t="e">
        <f t="shared" si="124"/>
        <v>#DIV/0!</v>
      </c>
      <c r="M259" s="404" t="e">
        <f t="shared" si="124"/>
        <v>#DIV/0!</v>
      </c>
      <c r="N259" s="404" t="e">
        <f t="shared" si="124"/>
        <v>#DIV/0!</v>
      </c>
      <c r="O259" s="404" t="e">
        <f t="shared" si="124"/>
        <v>#DIV/0!</v>
      </c>
      <c r="P259" s="527">
        <f t="shared" si="123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46</v>
      </c>
      <c r="E261" s="350">
        <v>59</v>
      </c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105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10</v>
      </c>
      <c r="E262" s="350">
        <v>6</v>
      </c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16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4.5999999999999996</v>
      </c>
      <c r="E263" s="406">
        <f t="shared" ref="E263:O263" si="125">E261/E262</f>
        <v>9.8333333333333339</v>
      </c>
      <c r="F263" s="406" t="e">
        <f t="shared" si="125"/>
        <v>#DIV/0!</v>
      </c>
      <c r="G263" s="406" t="e">
        <f t="shared" si="125"/>
        <v>#DIV/0!</v>
      </c>
      <c r="H263" s="406" t="e">
        <f t="shared" si="125"/>
        <v>#DIV/0!</v>
      </c>
      <c r="I263" s="406" t="e">
        <f t="shared" si="125"/>
        <v>#DIV/0!</v>
      </c>
      <c r="J263" s="406" t="e">
        <f t="shared" si="125"/>
        <v>#DIV/0!</v>
      </c>
      <c r="K263" s="406" t="e">
        <f t="shared" si="125"/>
        <v>#DIV/0!</v>
      </c>
      <c r="L263" s="406" t="e">
        <f t="shared" si="125"/>
        <v>#DIV/0!</v>
      </c>
      <c r="M263" s="406" t="e">
        <f t="shared" si="125"/>
        <v>#DIV/0!</v>
      </c>
      <c r="N263" s="406" t="e">
        <f t="shared" si="125"/>
        <v>#DIV/0!</v>
      </c>
      <c r="O263" s="406" t="e">
        <f t="shared" si="125"/>
        <v>#DIV/0!</v>
      </c>
      <c r="P263" s="477">
        <f t="shared" ref="P263" si="126">P261/P262</f>
        <v>6.5625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63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243" sqref="E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55334</v>
      </c>
      <c r="E9" s="321">
        <v>60716</v>
      </c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116050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16648</v>
      </c>
      <c r="E11" s="323">
        <v>19144</v>
      </c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35792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4296</v>
      </c>
      <c r="E13" s="323">
        <v>4619</v>
      </c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8915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0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20944</v>
      </c>
      <c r="E15" s="326">
        <f t="shared" si="0"/>
        <v>23763</v>
      </c>
      <c r="F15" s="326">
        <f t="shared" si="0"/>
        <v>0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44707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8292.7000000000098</v>
      </c>
      <c r="E17" s="323">
        <v>9882.4000000000033</v>
      </c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18175.100000000013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1010.3000000000002</v>
      </c>
      <c r="E18" s="323">
        <v>1234.3</v>
      </c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2244.6000000000004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2460.9</v>
      </c>
      <c r="E19" s="323">
        <v>2137.6000000000004</v>
      </c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4598.5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559.4</v>
      </c>
      <c r="E20" s="323">
        <v>608.40000000000009</v>
      </c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1167.8000000000002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12323.30000000001</v>
      </c>
      <c r="E21" s="326">
        <f t="shared" ref="E21:P21" si="1">SUM(E17:E20)</f>
        <v>13862.700000000003</v>
      </c>
      <c r="F21" s="326">
        <f t="shared" si="1"/>
        <v>0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26186.000000000011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33267.30000000001</v>
      </c>
      <c r="E22" s="326">
        <f t="shared" ref="E22:P22" si="2">E21+E15</f>
        <v>37625.700000000004</v>
      </c>
      <c r="F22" s="326">
        <f t="shared" si="2"/>
        <v>0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70893.000000000015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22066.69999999999</v>
      </c>
      <c r="E24" s="333">
        <f t="shared" ref="E24:P24" si="3">E9-E22</f>
        <v>23090.299999999996</v>
      </c>
      <c r="F24" s="333">
        <f t="shared" si="3"/>
        <v>0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45156.999999999985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0.39879097842194655</v>
      </c>
      <c r="E25" s="336">
        <f t="shared" si="4"/>
        <v>0.38030008564464057</v>
      </c>
      <c r="F25" s="336" t="e">
        <f t="shared" si="4"/>
        <v>#DIV/0!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0.38911676001723383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115</v>
      </c>
      <c r="E29" s="342">
        <v>115</v>
      </c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230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2.0782882133950191</v>
      </c>
      <c r="E30" s="345">
        <f t="shared" si="5"/>
        <v>1.8940641675999736</v>
      </c>
      <c r="F30" s="345" t="e">
        <f t="shared" si="5"/>
        <v>#DIV/0!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1.981904351572598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 t="e">
        <f t="shared" si="6"/>
        <v>#DIV/0!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 t="e">
        <f t="shared" si="7"/>
        <v>#DIV/0!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 t="e">
        <f t="shared" si="8"/>
        <v>#DIV/0!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 t="e">
        <f t="shared" si="9"/>
        <v>#DIV/0!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2751846.5</v>
      </c>
      <c r="E41" s="347">
        <f t="shared" ref="E41:O41" si="10">(E29*$B29)+(E31*$B31)+(E33*$B33)+(E35*$B35)+(E37*$B37)+(E39*$B39)</f>
        <v>2751846.5</v>
      </c>
      <c r="F41" s="347">
        <f t="shared" si="10"/>
        <v>0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5503693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49.731566487150758</v>
      </c>
      <c r="E42" s="345">
        <f t="shared" si="11"/>
        <v>45.323250872916532</v>
      </c>
      <c r="F42" s="345" t="e">
        <f t="shared" si="11"/>
        <v>#DIV/0!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47.425187419215852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26954</v>
      </c>
      <c r="E44" s="342">
        <v>23960</v>
      </c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50914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0.48711461307695086</v>
      </c>
      <c r="E45" s="345">
        <f t="shared" si="12"/>
        <v>0.3946241517886554</v>
      </c>
      <c r="F45" s="345" t="e">
        <f t="shared" si="12"/>
        <v>#DIV/0!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0.43872468763464023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4525441.335</v>
      </c>
      <c r="E46" s="349">
        <f t="shared" ref="E46:O46" si="13">1.165*(16600+(E44*143.5))</f>
        <v>4024911.9</v>
      </c>
      <c r="F46" s="349">
        <f t="shared" si="13"/>
        <v>19339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8743743.2349999994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81.78409901687931</v>
      </c>
      <c r="E47" s="345">
        <f t="shared" si="14"/>
        <v>66.290794848145467</v>
      </c>
      <c r="F47" s="345" t="e">
        <f t="shared" si="14"/>
        <v>#DIV/0!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75.344620723825926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4012076.17</v>
      </c>
      <c r="E54" s="346">
        <v>4207141.76</v>
      </c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8219217.9299999997</v>
      </c>
    </row>
    <row r="55" spans="1:16" x14ac:dyDescent="0.3">
      <c r="A55" s="352" t="s">
        <v>123</v>
      </c>
      <c r="B55" s="331"/>
      <c r="C55" s="322" t="s">
        <v>18</v>
      </c>
      <c r="D55" s="346">
        <v>1563340.9275</v>
      </c>
      <c r="E55" s="346">
        <v>1655720.85</v>
      </c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3219061.7774999999</v>
      </c>
    </row>
    <row r="56" spans="1:16" x14ac:dyDescent="0.3">
      <c r="A56" s="416" t="s">
        <v>122</v>
      </c>
      <c r="B56" s="417"/>
      <c r="C56" s="332" t="s">
        <v>18</v>
      </c>
      <c r="D56" s="346">
        <v>982120</v>
      </c>
      <c r="E56" s="346">
        <v>1026220</v>
      </c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2008340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13834824.932499999</v>
      </c>
      <c r="E58" s="346">
        <f t="shared" ref="E58:O58" si="15">E41+E46+E51+E52+E54+E55+E56</f>
        <v>13665841.01</v>
      </c>
      <c r="F58" s="346">
        <f t="shared" si="15"/>
        <v>19339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27694055.942499999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250.02394427476776</v>
      </c>
      <c r="E59" s="345">
        <f t="shared" si="16"/>
        <v>225.07808501877594</v>
      </c>
      <c r="F59" s="345" t="e">
        <f t="shared" si="16"/>
        <v>#DIV/0!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238.63899993537268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415.86858363918907</v>
      </c>
      <c r="E60" s="345">
        <f t="shared" ref="E60:O60" si="17">E58/E22</f>
        <v>363.20496389435937</v>
      </c>
      <c r="F60" s="345" t="e">
        <f t="shared" si="17"/>
        <v>#DIV/0!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390.64584574640645</v>
      </c>
    </row>
    <row r="61" spans="1:16" x14ac:dyDescent="0.3">
      <c r="A61" s="416" t="s">
        <v>116</v>
      </c>
      <c r="B61" s="417"/>
      <c r="C61" s="332" t="s">
        <v>3</v>
      </c>
      <c r="D61" s="350">
        <v>4</v>
      </c>
      <c r="E61" s="350">
        <v>4</v>
      </c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2.2409368561824556</v>
      </c>
      <c r="E62" s="345">
        <f t="shared" si="18"/>
        <v>2.0422952763686673</v>
      </c>
      <c r="F62" s="345" t="e">
        <f t="shared" si="18"/>
        <v>#DIV/0!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13</v>
      </c>
      <c r="E63" s="350">
        <v>13</v>
      </c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26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77</v>
      </c>
      <c r="E66" s="354">
        <v>53</v>
      </c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77</v>
      </c>
    </row>
    <row r="67" spans="1:16" x14ac:dyDescent="0.3">
      <c r="A67" s="410"/>
      <c r="B67" s="322" t="s">
        <v>106</v>
      </c>
      <c r="C67" s="332" t="s">
        <v>3</v>
      </c>
      <c r="D67" s="356">
        <v>26</v>
      </c>
      <c r="E67" s="356">
        <v>31</v>
      </c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57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57</v>
      </c>
      <c r="E69" s="350">
        <v>50</v>
      </c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107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57</v>
      </c>
      <c r="E70" s="356">
        <f t="shared" ref="E70:P70" si="20">E68+E69</f>
        <v>50</v>
      </c>
      <c r="F70" s="356">
        <f t="shared" si="20"/>
        <v>0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8">
        <f t="shared" si="20"/>
        <v>107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46</v>
      </c>
      <c r="E71" s="359">
        <f t="shared" ref="E71:O71" si="21">E66+E67-E70</f>
        <v>34</v>
      </c>
      <c r="F71" s="359">
        <f t="shared" si="21"/>
        <v>0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27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>
        <v>7</v>
      </c>
      <c r="E78" s="354">
        <v>7</v>
      </c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7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>
        <v>1</v>
      </c>
      <c r="E81" s="356">
        <v>1</v>
      </c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2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1</v>
      </c>
      <c r="E82" s="356">
        <f t="shared" ref="E82:P82" si="25">E80+E81</f>
        <v>1</v>
      </c>
      <c r="F82" s="356">
        <f t="shared" si="25"/>
        <v>0</v>
      </c>
      <c r="G82" s="356">
        <f t="shared" si="25"/>
        <v>0</v>
      </c>
      <c r="H82" s="356">
        <f t="shared" si="25"/>
        <v>0</v>
      </c>
      <c r="I82" s="356">
        <f t="shared" si="25"/>
        <v>0</v>
      </c>
      <c r="J82" s="356">
        <f t="shared" si="25"/>
        <v>0</v>
      </c>
      <c r="K82" s="356">
        <f t="shared" si="25"/>
        <v>0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si="25"/>
        <v>2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6</v>
      </c>
      <c r="E83" s="359">
        <f t="shared" ref="E83:P83" si="26">E78+E79-E82</f>
        <v>6</v>
      </c>
      <c r="F83" s="359">
        <f t="shared" si="26"/>
        <v>0</v>
      </c>
      <c r="G83" s="359">
        <f t="shared" si="26"/>
        <v>0</v>
      </c>
      <c r="H83" s="359">
        <f t="shared" si="26"/>
        <v>0</v>
      </c>
      <c r="I83" s="359">
        <f t="shared" si="26"/>
        <v>0</v>
      </c>
      <c r="J83" s="359">
        <f t="shared" si="26"/>
        <v>0</v>
      </c>
      <c r="K83" s="359">
        <f t="shared" si="26"/>
        <v>0</v>
      </c>
      <c r="L83" s="359">
        <f t="shared" si="26"/>
        <v>0</v>
      </c>
      <c r="M83" s="359">
        <f t="shared" si="26"/>
        <v>0</v>
      </c>
      <c r="N83" s="359">
        <f t="shared" si="26"/>
        <v>0</v>
      </c>
      <c r="O83" s="359">
        <f t="shared" si="26"/>
        <v>0</v>
      </c>
      <c r="P83" s="360">
        <f t="shared" si="26"/>
        <v>5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7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7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8">E86+E87</f>
        <v>0</v>
      </c>
      <c r="F88" s="356">
        <f t="shared" si="28"/>
        <v>0</v>
      </c>
      <c r="G88" s="356">
        <f t="shared" si="28"/>
        <v>0</v>
      </c>
      <c r="H88" s="356">
        <f t="shared" si="28"/>
        <v>0</v>
      </c>
      <c r="I88" s="356">
        <f t="shared" si="28"/>
        <v>0</v>
      </c>
      <c r="J88" s="356">
        <f t="shared" si="28"/>
        <v>0</v>
      </c>
      <c r="K88" s="356">
        <f t="shared" si="28"/>
        <v>0</v>
      </c>
      <c r="L88" s="356">
        <f t="shared" si="28"/>
        <v>0</v>
      </c>
      <c r="M88" s="356">
        <f t="shared" si="28"/>
        <v>0</v>
      </c>
      <c r="N88" s="356">
        <f t="shared" si="28"/>
        <v>0</v>
      </c>
      <c r="O88" s="356">
        <f t="shared" si="28"/>
        <v>0</v>
      </c>
      <c r="P88" s="355">
        <f t="shared" si="27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29">E84+E85-E88</f>
        <v>0</v>
      </c>
      <c r="F89" s="521">
        <f t="shared" si="29"/>
        <v>0</v>
      </c>
      <c r="G89" s="521">
        <f t="shared" si="29"/>
        <v>0</v>
      </c>
      <c r="H89" s="521">
        <f t="shared" si="29"/>
        <v>0</v>
      </c>
      <c r="I89" s="521">
        <f t="shared" si="29"/>
        <v>0</v>
      </c>
      <c r="J89" s="521">
        <f t="shared" si="29"/>
        <v>0</v>
      </c>
      <c r="K89" s="521">
        <f t="shared" si="29"/>
        <v>0</v>
      </c>
      <c r="L89" s="521">
        <f t="shared" si="29"/>
        <v>0</v>
      </c>
      <c r="M89" s="521">
        <f t="shared" si="29"/>
        <v>0</v>
      </c>
      <c r="N89" s="521">
        <f t="shared" si="29"/>
        <v>0</v>
      </c>
      <c r="O89" s="521">
        <f t="shared" si="29"/>
        <v>0</v>
      </c>
      <c r="P89" s="360">
        <f t="shared" ref="P89" si="30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1">D66+D72+D78+D84</f>
        <v>84</v>
      </c>
      <c r="E90" s="362">
        <f t="shared" si="31"/>
        <v>60</v>
      </c>
      <c r="F90" s="362">
        <f t="shared" si="31"/>
        <v>0</v>
      </c>
      <c r="G90" s="362">
        <f t="shared" si="31"/>
        <v>0</v>
      </c>
      <c r="H90" s="362">
        <f t="shared" si="31"/>
        <v>0</v>
      </c>
      <c r="I90" s="362">
        <f t="shared" si="31"/>
        <v>0</v>
      </c>
      <c r="J90" s="362">
        <f t="shared" si="31"/>
        <v>0</v>
      </c>
      <c r="K90" s="362">
        <f t="shared" si="31"/>
        <v>0</v>
      </c>
      <c r="L90" s="362">
        <f t="shared" si="31"/>
        <v>0</v>
      </c>
      <c r="M90" s="362">
        <f t="shared" si="31"/>
        <v>0</v>
      </c>
      <c r="N90" s="362">
        <f t="shared" si="31"/>
        <v>0</v>
      </c>
      <c r="O90" s="362">
        <f t="shared" si="31"/>
        <v>0</v>
      </c>
      <c r="P90" s="355">
        <f>D90</f>
        <v>84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1"/>
        <v>26</v>
      </c>
      <c r="E91" s="362">
        <f t="shared" si="31"/>
        <v>31</v>
      </c>
      <c r="F91" s="362">
        <f t="shared" si="31"/>
        <v>0</v>
      </c>
      <c r="G91" s="362">
        <f t="shared" si="31"/>
        <v>0</v>
      </c>
      <c r="H91" s="362">
        <f t="shared" si="31"/>
        <v>0</v>
      </c>
      <c r="I91" s="362">
        <f t="shared" si="31"/>
        <v>0</v>
      </c>
      <c r="J91" s="362">
        <f t="shared" si="31"/>
        <v>0</v>
      </c>
      <c r="K91" s="362">
        <f t="shared" si="31"/>
        <v>0</v>
      </c>
      <c r="L91" s="362">
        <f t="shared" si="31"/>
        <v>0</v>
      </c>
      <c r="M91" s="362">
        <f t="shared" si="31"/>
        <v>0</v>
      </c>
      <c r="N91" s="362">
        <f t="shared" si="31"/>
        <v>0</v>
      </c>
      <c r="O91" s="362">
        <f t="shared" si="31"/>
        <v>0</v>
      </c>
      <c r="P91" s="355">
        <f>SUM(D91:O91)</f>
        <v>57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1"/>
        <v>0</v>
      </c>
      <c r="E92" s="362">
        <f t="shared" si="31"/>
        <v>0</v>
      </c>
      <c r="F92" s="362">
        <f t="shared" si="31"/>
        <v>0</v>
      </c>
      <c r="G92" s="362">
        <f t="shared" si="31"/>
        <v>0</v>
      </c>
      <c r="H92" s="362">
        <f t="shared" si="31"/>
        <v>0</v>
      </c>
      <c r="I92" s="362">
        <f t="shared" si="31"/>
        <v>0</v>
      </c>
      <c r="J92" s="362">
        <f t="shared" si="31"/>
        <v>0</v>
      </c>
      <c r="K92" s="362">
        <f t="shared" si="31"/>
        <v>0</v>
      </c>
      <c r="L92" s="362">
        <f t="shared" si="31"/>
        <v>0</v>
      </c>
      <c r="M92" s="362">
        <f t="shared" si="31"/>
        <v>0</v>
      </c>
      <c r="N92" s="362">
        <f t="shared" si="31"/>
        <v>0</v>
      </c>
      <c r="O92" s="362">
        <f t="shared" si="3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31"/>
        <v>58</v>
      </c>
      <c r="E93" s="362">
        <f t="shared" si="31"/>
        <v>51</v>
      </c>
      <c r="F93" s="362">
        <f t="shared" si="31"/>
        <v>0</v>
      </c>
      <c r="G93" s="362">
        <f t="shared" si="31"/>
        <v>0</v>
      </c>
      <c r="H93" s="362">
        <f t="shared" si="31"/>
        <v>0</v>
      </c>
      <c r="I93" s="362">
        <f t="shared" si="31"/>
        <v>0</v>
      </c>
      <c r="J93" s="362">
        <f t="shared" si="31"/>
        <v>0</v>
      </c>
      <c r="K93" s="362">
        <f t="shared" si="31"/>
        <v>0</v>
      </c>
      <c r="L93" s="362">
        <f t="shared" si="31"/>
        <v>0</v>
      </c>
      <c r="M93" s="362">
        <f t="shared" si="31"/>
        <v>0</v>
      </c>
      <c r="N93" s="362">
        <f t="shared" si="31"/>
        <v>0</v>
      </c>
      <c r="O93" s="362">
        <f t="shared" si="31"/>
        <v>0</v>
      </c>
      <c r="P93" s="355">
        <f>SUM(D93:O93)</f>
        <v>109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58</v>
      </c>
      <c r="E94" s="363">
        <f t="shared" ref="E94:P94" si="32">E93+E92</f>
        <v>51</v>
      </c>
      <c r="F94" s="363">
        <f t="shared" si="32"/>
        <v>0</v>
      </c>
      <c r="G94" s="363">
        <f t="shared" si="32"/>
        <v>0</v>
      </c>
      <c r="H94" s="363">
        <f t="shared" si="32"/>
        <v>0</v>
      </c>
      <c r="I94" s="363">
        <f t="shared" si="32"/>
        <v>0</v>
      </c>
      <c r="J94" s="363">
        <f t="shared" si="32"/>
        <v>0</v>
      </c>
      <c r="K94" s="363">
        <f t="shared" si="32"/>
        <v>0</v>
      </c>
      <c r="L94" s="363">
        <f t="shared" si="32"/>
        <v>0</v>
      </c>
      <c r="M94" s="363">
        <f t="shared" si="32"/>
        <v>0</v>
      </c>
      <c r="N94" s="363">
        <f t="shared" si="32"/>
        <v>0</v>
      </c>
      <c r="O94" s="363">
        <f t="shared" si="32"/>
        <v>0</v>
      </c>
      <c r="P94" s="365">
        <f t="shared" si="32"/>
        <v>109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52</v>
      </c>
      <c r="E95" s="366">
        <f t="shared" ref="E95:P95" si="33">E90+E91-E94</f>
        <v>40</v>
      </c>
      <c r="F95" s="366">
        <f t="shared" si="33"/>
        <v>0</v>
      </c>
      <c r="G95" s="366">
        <f t="shared" si="33"/>
        <v>0</v>
      </c>
      <c r="H95" s="366">
        <f t="shared" si="33"/>
        <v>0</v>
      </c>
      <c r="I95" s="366">
        <f t="shared" si="33"/>
        <v>0</v>
      </c>
      <c r="J95" s="366">
        <f t="shared" si="33"/>
        <v>0</v>
      </c>
      <c r="K95" s="366">
        <f t="shared" si="33"/>
        <v>0</v>
      </c>
      <c r="L95" s="366">
        <f t="shared" si="33"/>
        <v>0</v>
      </c>
      <c r="M95" s="366">
        <f t="shared" si="33"/>
        <v>0</v>
      </c>
      <c r="N95" s="366">
        <f t="shared" si="33"/>
        <v>0</v>
      </c>
      <c r="O95" s="366">
        <f t="shared" si="33"/>
        <v>0</v>
      </c>
      <c r="P95" s="367">
        <f t="shared" si="33"/>
        <v>32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58</v>
      </c>
      <c r="E98" s="372">
        <v>51</v>
      </c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109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422</v>
      </c>
      <c r="E101" s="350">
        <v>397</v>
      </c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34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>
        <v>18</v>
      </c>
      <c r="E102" s="350">
        <v>18</v>
      </c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34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22</v>
      </c>
      <c r="E103" s="350">
        <v>22</v>
      </c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34"/>
        <v>0</v>
      </c>
    </row>
    <row r="104" spans="1:16" x14ac:dyDescent="0.3">
      <c r="A104" s="423" t="s">
        <v>99</v>
      </c>
      <c r="B104" s="424"/>
      <c r="C104" s="322" t="s">
        <v>3</v>
      </c>
      <c r="D104" s="350">
        <v>3</v>
      </c>
      <c r="E104" s="350">
        <v>3</v>
      </c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34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465</v>
      </c>
      <c r="E105" s="374">
        <f t="shared" ref="E105:O105" si="35">SUM(E101:E104)</f>
        <v>440</v>
      </c>
      <c r="F105" s="374">
        <f t="shared" si="35"/>
        <v>0</v>
      </c>
      <c r="G105" s="374">
        <f t="shared" si="35"/>
        <v>0</v>
      </c>
      <c r="H105" s="374">
        <f t="shared" si="35"/>
        <v>0</v>
      </c>
      <c r="I105" s="374">
        <f t="shared" si="35"/>
        <v>0</v>
      </c>
      <c r="J105" s="374">
        <f t="shared" si="35"/>
        <v>0</v>
      </c>
      <c r="K105" s="374">
        <f t="shared" si="35"/>
        <v>0</v>
      </c>
      <c r="L105" s="374">
        <f t="shared" si="35"/>
        <v>0</v>
      </c>
      <c r="M105" s="374">
        <f t="shared" si="35"/>
        <v>0</v>
      </c>
      <c r="N105" s="374">
        <f t="shared" si="35"/>
        <v>0</v>
      </c>
      <c r="O105" s="374">
        <f t="shared" si="35"/>
        <v>0</v>
      </c>
      <c r="P105" s="373">
        <f t="shared" si="34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1475</v>
      </c>
      <c r="E107" s="350">
        <v>1500</v>
      </c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34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10</v>
      </c>
      <c r="E108" s="350">
        <v>10</v>
      </c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34"/>
        <v>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34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4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1485</v>
      </c>
      <c r="E111" s="374">
        <f t="shared" ref="E111:O111" si="36">SUM(E107:E110)</f>
        <v>1510</v>
      </c>
      <c r="F111" s="374">
        <f t="shared" si="36"/>
        <v>0</v>
      </c>
      <c r="G111" s="374">
        <f t="shared" si="36"/>
        <v>0</v>
      </c>
      <c r="H111" s="374">
        <f t="shared" si="36"/>
        <v>0</v>
      </c>
      <c r="I111" s="374">
        <f t="shared" si="36"/>
        <v>0</v>
      </c>
      <c r="J111" s="374">
        <f t="shared" si="36"/>
        <v>0</v>
      </c>
      <c r="K111" s="374">
        <f t="shared" si="36"/>
        <v>0</v>
      </c>
      <c r="L111" s="374">
        <f t="shared" si="36"/>
        <v>0</v>
      </c>
      <c r="M111" s="374">
        <f t="shared" si="36"/>
        <v>0</v>
      </c>
      <c r="N111" s="374">
        <f t="shared" si="36"/>
        <v>0</v>
      </c>
      <c r="O111" s="374">
        <f t="shared" si="36"/>
        <v>0</v>
      </c>
      <c r="P111" s="373">
        <f t="shared" si="34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942</v>
      </c>
      <c r="E113" s="375">
        <v>992</v>
      </c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34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46</v>
      </c>
      <c r="E114" s="375">
        <v>46</v>
      </c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34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84</v>
      </c>
      <c r="E115" s="375">
        <v>85</v>
      </c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34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21</v>
      </c>
      <c r="E116" s="375">
        <v>21</v>
      </c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34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1093</v>
      </c>
      <c r="E117" s="374">
        <f t="shared" ref="E117:P117" si="37">SUM(E113:E116)</f>
        <v>1144</v>
      </c>
      <c r="F117" s="374">
        <f t="shared" si="37"/>
        <v>0</v>
      </c>
      <c r="G117" s="374">
        <f t="shared" si="37"/>
        <v>0</v>
      </c>
      <c r="H117" s="374">
        <f t="shared" si="37"/>
        <v>0</v>
      </c>
      <c r="I117" s="374">
        <f t="shared" si="37"/>
        <v>0</v>
      </c>
      <c r="J117" s="374">
        <f t="shared" si="37"/>
        <v>0</v>
      </c>
      <c r="K117" s="374">
        <f t="shared" si="37"/>
        <v>0</v>
      </c>
      <c r="L117" s="374">
        <f t="shared" si="37"/>
        <v>0</v>
      </c>
      <c r="M117" s="374">
        <f t="shared" si="37"/>
        <v>0</v>
      </c>
      <c r="N117" s="374">
        <f t="shared" si="37"/>
        <v>0</v>
      </c>
      <c r="O117" s="374">
        <f t="shared" si="37"/>
        <v>0</v>
      </c>
      <c r="P117" s="324">
        <f t="shared" si="37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8">D111+D117</f>
        <v>2578</v>
      </c>
      <c r="E118" s="374">
        <f t="shared" si="38"/>
        <v>2654</v>
      </c>
      <c r="F118" s="374">
        <f t="shared" si="38"/>
        <v>0</v>
      </c>
      <c r="G118" s="374">
        <f t="shared" si="38"/>
        <v>0</v>
      </c>
      <c r="H118" s="374">
        <f t="shared" si="38"/>
        <v>0</v>
      </c>
      <c r="I118" s="374">
        <f t="shared" si="38"/>
        <v>0</v>
      </c>
      <c r="J118" s="374">
        <f t="shared" si="38"/>
        <v>0</v>
      </c>
      <c r="K118" s="374">
        <f t="shared" si="38"/>
        <v>0</v>
      </c>
      <c r="L118" s="374">
        <f t="shared" si="38"/>
        <v>0</v>
      </c>
      <c r="M118" s="374">
        <f t="shared" si="38"/>
        <v>0</v>
      </c>
      <c r="N118" s="374">
        <f t="shared" si="38"/>
        <v>0</v>
      </c>
      <c r="O118" s="374">
        <f t="shared" si="38"/>
        <v>0</v>
      </c>
      <c r="P118" s="374">
        <f t="shared" si="38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39">D105+D118</f>
        <v>3043</v>
      </c>
      <c r="E119" s="374">
        <f t="shared" si="39"/>
        <v>3094</v>
      </c>
      <c r="F119" s="374">
        <f t="shared" si="39"/>
        <v>0</v>
      </c>
      <c r="G119" s="374">
        <f t="shared" si="39"/>
        <v>0</v>
      </c>
      <c r="H119" s="374">
        <f t="shared" si="39"/>
        <v>0</v>
      </c>
      <c r="I119" s="374">
        <f t="shared" si="39"/>
        <v>0</v>
      </c>
      <c r="J119" s="374">
        <f t="shared" si="39"/>
        <v>0</v>
      </c>
      <c r="K119" s="374">
        <f t="shared" si="39"/>
        <v>0</v>
      </c>
      <c r="L119" s="374">
        <f t="shared" si="39"/>
        <v>0</v>
      </c>
      <c r="M119" s="374">
        <f t="shared" si="39"/>
        <v>0</v>
      </c>
      <c r="N119" s="374">
        <f t="shared" si="39"/>
        <v>0</v>
      </c>
      <c r="O119" s="374">
        <f t="shared" si="39"/>
        <v>0</v>
      </c>
      <c r="P119" s="374">
        <f t="shared" si="39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21783</v>
      </c>
      <c r="E121" s="378">
        <v>21818</v>
      </c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19932</v>
      </c>
      <c r="E122" s="378">
        <v>20187</v>
      </c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0">D122/D121</f>
        <v>0.91502547858421701</v>
      </c>
      <c r="E123" s="381">
        <f t="shared" si="40"/>
        <v>0.92524521037675311</v>
      </c>
      <c r="F123" s="381" t="e">
        <f t="shared" si="40"/>
        <v>#DIV/0!</v>
      </c>
      <c r="G123" s="381" t="e">
        <f t="shared" si="40"/>
        <v>#DIV/0!</v>
      </c>
      <c r="H123" s="381" t="e">
        <f t="shared" si="40"/>
        <v>#DIV/0!</v>
      </c>
      <c r="I123" s="381" t="e">
        <f t="shared" si="40"/>
        <v>#DIV/0!</v>
      </c>
      <c r="J123" s="381" t="e">
        <f t="shared" si="40"/>
        <v>#DIV/0!</v>
      </c>
      <c r="K123" s="381" t="e">
        <f t="shared" si="40"/>
        <v>#DIV/0!</v>
      </c>
      <c r="L123" s="381" t="e">
        <f t="shared" si="40"/>
        <v>#DIV/0!</v>
      </c>
      <c r="M123" s="381" t="e">
        <f t="shared" si="40"/>
        <v>#DIV/0!</v>
      </c>
      <c r="N123" s="381" t="e">
        <f t="shared" si="40"/>
        <v>#DIV/0!</v>
      </c>
      <c r="O123" s="381" t="e">
        <f t="shared" si="40"/>
        <v>#DIV/0!</v>
      </c>
      <c r="P123" s="523" t="e">
        <f t="shared" si="40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1">D125+D126-D127-D128</f>
        <v>0</v>
      </c>
      <c r="E129" s="354">
        <f t="shared" si="41"/>
        <v>0</v>
      </c>
      <c r="F129" s="354">
        <f t="shared" si="41"/>
        <v>0</v>
      </c>
      <c r="G129" s="354">
        <f t="shared" si="41"/>
        <v>0</v>
      </c>
      <c r="H129" s="354">
        <f t="shared" si="41"/>
        <v>0</v>
      </c>
      <c r="I129" s="354">
        <f t="shared" si="41"/>
        <v>0</v>
      </c>
      <c r="J129" s="354">
        <f t="shared" si="41"/>
        <v>0</v>
      </c>
      <c r="K129" s="354">
        <f t="shared" si="41"/>
        <v>0</v>
      </c>
      <c r="L129" s="354">
        <f t="shared" si="41"/>
        <v>0</v>
      </c>
      <c r="M129" s="354">
        <f t="shared" si="41"/>
        <v>0</v>
      </c>
      <c r="N129" s="354">
        <f t="shared" si="41"/>
        <v>0</v>
      </c>
      <c r="O129" s="354">
        <f t="shared" si="41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2">D130+D131-D132-D133</f>
        <v>0</v>
      </c>
      <c r="E134" s="354">
        <f t="shared" si="42"/>
        <v>0</v>
      </c>
      <c r="F134" s="354">
        <f t="shared" si="42"/>
        <v>0</v>
      </c>
      <c r="G134" s="354">
        <f t="shared" si="42"/>
        <v>0</v>
      </c>
      <c r="H134" s="354">
        <f t="shared" si="42"/>
        <v>0</v>
      </c>
      <c r="I134" s="354">
        <f t="shared" si="42"/>
        <v>0</v>
      </c>
      <c r="J134" s="354">
        <f t="shared" si="42"/>
        <v>0</v>
      </c>
      <c r="K134" s="354">
        <f t="shared" si="42"/>
        <v>0</v>
      </c>
      <c r="L134" s="354">
        <f t="shared" si="42"/>
        <v>0</v>
      </c>
      <c r="M134" s="354">
        <f t="shared" si="42"/>
        <v>0</v>
      </c>
      <c r="N134" s="354">
        <f t="shared" si="42"/>
        <v>0</v>
      </c>
      <c r="O134" s="354">
        <f t="shared" si="42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3">D135+D136-D137-D138</f>
        <v>0</v>
      </c>
      <c r="E139" s="354">
        <f t="shared" si="43"/>
        <v>0</v>
      </c>
      <c r="F139" s="354">
        <f t="shared" si="43"/>
        <v>0</v>
      </c>
      <c r="G139" s="354">
        <f t="shared" si="43"/>
        <v>0</v>
      </c>
      <c r="H139" s="354">
        <f t="shared" si="43"/>
        <v>0</v>
      </c>
      <c r="I139" s="354">
        <f t="shared" si="43"/>
        <v>0</v>
      </c>
      <c r="J139" s="354">
        <f t="shared" si="43"/>
        <v>0</v>
      </c>
      <c r="K139" s="354">
        <f t="shared" si="43"/>
        <v>0</v>
      </c>
      <c r="L139" s="354">
        <f t="shared" si="43"/>
        <v>0</v>
      </c>
      <c r="M139" s="354">
        <f t="shared" si="43"/>
        <v>0</v>
      </c>
      <c r="N139" s="354">
        <f t="shared" si="43"/>
        <v>0</v>
      </c>
      <c r="O139" s="354">
        <f t="shared" si="4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8</v>
      </c>
      <c r="E140" s="354">
        <v>17</v>
      </c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8</v>
      </c>
    </row>
    <row r="141" spans="1:16" x14ac:dyDescent="0.3">
      <c r="A141" s="425"/>
      <c r="B141" s="322" t="s">
        <v>84</v>
      </c>
      <c r="C141" s="322" t="s">
        <v>3</v>
      </c>
      <c r="D141" s="356">
        <v>9</v>
      </c>
      <c r="E141" s="356">
        <v>13</v>
      </c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22</v>
      </c>
    </row>
    <row r="142" spans="1:16" x14ac:dyDescent="0.3">
      <c r="A142" s="425"/>
      <c r="B142" s="322" t="s">
        <v>83</v>
      </c>
      <c r="C142" s="322" t="s">
        <v>3</v>
      </c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0</v>
      </c>
    </row>
    <row r="143" spans="1:16" x14ac:dyDescent="0.3">
      <c r="A143" s="425"/>
      <c r="B143" s="322" t="s">
        <v>82</v>
      </c>
      <c r="C143" s="322" t="s">
        <v>3</v>
      </c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0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4">D140+D141-D142-D143</f>
        <v>17</v>
      </c>
      <c r="E144" s="354">
        <f t="shared" si="44"/>
        <v>30</v>
      </c>
      <c r="F144" s="354">
        <f t="shared" si="44"/>
        <v>0</v>
      </c>
      <c r="G144" s="354">
        <f t="shared" si="44"/>
        <v>0</v>
      </c>
      <c r="H144" s="354">
        <f t="shared" si="44"/>
        <v>0</v>
      </c>
      <c r="I144" s="354">
        <f t="shared" si="44"/>
        <v>0</v>
      </c>
      <c r="J144" s="354">
        <f t="shared" si="44"/>
        <v>0</v>
      </c>
      <c r="K144" s="354">
        <f t="shared" si="44"/>
        <v>0</v>
      </c>
      <c r="L144" s="354">
        <f t="shared" si="44"/>
        <v>0</v>
      </c>
      <c r="M144" s="354">
        <f t="shared" si="44"/>
        <v>0</v>
      </c>
      <c r="N144" s="354">
        <f t="shared" si="44"/>
        <v>0</v>
      </c>
      <c r="O144" s="354">
        <f t="shared" si="44"/>
        <v>0</v>
      </c>
      <c r="P144" s="355">
        <f>P140+P141-P142-P143</f>
        <v>30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5">D125+D130+D135+D140</f>
        <v>8</v>
      </c>
      <c r="E145" s="359">
        <f t="shared" si="45"/>
        <v>17</v>
      </c>
      <c r="F145" s="359">
        <f t="shared" si="45"/>
        <v>0</v>
      </c>
      <c r="G145" s="359">
        <f t="shared" si="45"/>
        <v>0</v>
      </c>
      <c r="H145" s="359">
        <f t="shared" si="45"/>
        <v>0</v>
      </c>
      <c r="I145" s="359">
        <f t="shared" si="45"/>
        <v>0</v>
      </c>
      <c r="J145" s="359">
        <f t="shared" si="45"/>
        <v>0</v>
      </c>
      <c r="K145" s="359">
        <f t="shared" si="45"/>
        <v>0</v>
      </c>
      <c r="L145" s="359">
        <f t="shared" si="45"/>
        <v>0</v>
      </c>
      <c r="M145" s="359">
        <f t="shared" si="45"/>
        <v>0</v>
      </c>
      <c r="N145" s="359">
        <f t="shared" si="45"/>
        <v>0</v>
      </c>
      <c r="O145" s="359">
        <f t="shared" si="45"/>
        <v>0</v>
      </c>
      <c r="P145" s="384">
        <f t="shared" si="45"/>
        <v>8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5"/>
        <v>9</v>
      </c>
      <c r="E146" s="359">
        <f t="shared" si="45"/>
        <v>13</v>
      </c>
      <c r="F146" s="359">
        <f t="shared" si="45"/>
        <v>0</v>
      </c>
      <c r="G146" s="359">
        <f t="shared" si="45"/>
        <v>0</v>
      </c>
      <c r="H146" s="359">
        <f t="shared" si="45"/>
        <v>0</v>
      </c>
      <c r="I146" s="359">
        <f t="shared" si="45"/>
        <v>0</v>
      </c>
      <c r="J146" s="359">
        <f t="shared" si="45"/>
        <v>0</v>
      </c>
      <c r="K146" s="359">
        <f t="shared" si="45"/>
        <v>0</v>
      </c>
      <c r="L146" s="359">
        <f t="shared" si="45"/>
        <v>0</v>
      </c>
      <c r="M146" s="359">
        <f t="shared" si="45"/>
        <v>0</v>
      </c>
      <c r="N146" s="359">
        <f t="shared" si="45"/>
        <v>0</v>
      </c>
      <c r="O146" s="359">
        <f t="shared" si="45"/>
        <v>0</v>
      </c>
      <c r="P146" s="384">
        <f t="shared" si="45"/>
        <v>22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5"/>
        <v>0</v>
      </c>
      <c r="E147" s="359">
        <f t="shared" si="45"/>
        <v>0</v>
      </c>
      <c r="F147" s="359">
        <f t="shared" si="45"/>
        <v>0</v>
      </c>
      <c r="G147" s="359">
        <f t="shared" si="45"/>
        <v>0</v>
      </c>
      <c r="H147" s="359">
        <f t="shared" si="45"/>
        <v>0</v>
      </c>
      <c r="I147" s="359">
        <f t="shared" si="45"/>
        <v>0</v>
      </c>
      <c r="J147" s="359">
        <f t="shared" si="45"/>
        <v>0</v>
      </c>
      <c r="K147" s="359">
        <f t="shared" si="45"/>
        <v>0</v>
      </c>
      <c r="L147" s="359">
        <f t="shared" si="45"/>
        <v>0</v>
      </c>
      <c r="M147" s="359">
        <f t="shared" si="45"/>
        <v>0</v>
      </c>
      <c r="N147" s="359">
        <f t="shared" si="45"/>
        <v>0</v>
      </c>
      <c r="O147" s="359">
        <f t="shared" si="45"/>
        <v>0</v>
      </c>
      <c r="P147" s="384">
        <f t="shared" si="45"/>
        <v>0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5"/>
        <v>0</v>
      </c>
      <c r="E148" s="359">
        <f t="shared" si="45"/>
        <v>0</v>
      </c>
      <c r="F148" s="359">
        <f t="shared" si="45"/>
        <v>0</v>
      </c>
      <c r="G148" s="359">
        <f t="shared" si="45"/>
        <v>0</v>
      </c>
      <c r="H148" s="359">
        <f t="shared" si="45"/>
        <v>0</v>
      </c>
      <c r="I148" s="359">
        <f t="shared" si="45"/>
        <v>0</v>
      </c>
      <c r="J148" s="359">
        <f t="shared" si="45"/>
        <v>0</v>
      </c>
      <c r="K148" s="359">
        <f t="shared" si="45"/>
        <v>0</v>
      </c>
      <c r="L148" s="359">
        <f t="shared" si="45"/>
        <v>0</v>
      </c>
      <c r="M148" s="359">
        <f t="shared" si="45"/>
        <v>0</v>
      </c>
      <c r="N148" s="359">
        <f t="shared" si="45"/>
        <v>0</v>
      </c>
      <c r="O148" s="359">
        <f t="shared" si="45"/>
        <v>0</v>
      </c>
      <c r="P148" s="384">
        <f t="shared" si="45"/>
        <v>0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6">D145+D146-D147-D148</f>
        <v>17</v>
      </c>
      <c r="E149" s="354">
        <f t="shared" si="46"/>
        <v>30</v>
      </c>
      <c r="F149" s="354">
        <f t="shared" si="46"/>
        <v>0</v>
      </c>
      <c r="G149" s="354">
        <f t="shared" si="46"/>
        <v>0</v>
      </c>
      <c r="H149" s="354">
        <f t="shared" si="46"/>
        <v>0</v>
      </c>
      <c r="I149" s="354">
        <f t="shared" si="46"/>
        <v>0</v>
      </c>
      <c r="J149" s="354">
        <f t="shared" si="46"/>
        <v>0</v>
      </c>
      <c r="K149" s="354">
        <f t="shared" si="46"/>
        <v>0</v>
      </c>
      <c r="L149" s="354">
        <f t="shared" si="46"/>
        <v>0</v>
      </c>
      <c r="M149" s="354">
        <f t="shared" si="46"/>
        <v>0</v>
      </c>
      <c r="N149" s="354">
        <f t="shared" si="46"/>
        <v>0</v>
      </c>
      <c r="O149" s="354">
        <f t="shared" si="46"/>
        <v>0</v>
      </c>
      <c r="P149" s="384">
        <f t="shared" si="45"/>
        <v>30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>
        <v>13</v>
      </c>
      <c r="E152" s="345">
        <v>25</v>
      </c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1</v>
      </c>
      <c r="E153" s="350">
        <v>8</v>
      </c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47">SUM(D153:O153)</f>
        <v>9</v>
      </c>
    </row>
    <row r="154" spans="1:16" x14ac:dyDescent="0.3">
      <c r="A154" s="443"/>
      <c r="B154" s="20" t="s">
        <v>72</v>
      </c>
      <c r="C154" s="322" t="s">
        <v>57</v>
      </c>
      <c r="D154" s="350">
        <v>6</v>
      </c>
      <c r="E154" s="350">
        <v>6</v>
      </c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47"/>
        <v>12</v>
      </c>
    </row>
    <row r="155" spans="1:16" x14ac:dyDescent="0.3">
      <c r="A155" s="443"/>
      <c r="B155" s="20" t="s">
        <v>53</v>
      </c>
      <c r="C155" s="322" t="s">
        <v>57</v>
      </c>
      <c r="D155" s="350">
        <v>1</v>
      </c>
      <c r="E155" s="350">
        <v>1</v>
      </c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47"/>
        <v>2</v>
      </c>
    </row>
    <row r="156" spans="1:16" x14ac:dyDescent="0.3">
      <c r="A156" s="443"/>
      <c r="B156" s="20" t="s">
        <v>71</v>
      </c>
      <c r="C156" s="322" t="s">
        <v>57</v>
      </c>
      <c r="D156" s="350">
        <v>2</v>
      </c>
      <c r="E156" s="350">
        <v>2</v>
      </c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47"/>
        <v>4</v>
      </c>
    </row>
    <row r="157" spans="1:16" x14ac:dyDescent="0.3">
      <c r="A157" s="443"/>
      <c r="B157" s="20" t="s">
        <v>52</v>
      </c>
      <c r="C157" s="322" t="s">
        <v>57</v>
      </c>
      <c r="D157" s="350">
        <v>4</v>
      </c>
      <c r="E157" s="350">
        <v>4</v>
      </c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47"/>
        <v>8</v>
      </c>
    </row>
    <row r="158" spans="1:16" x14ac:dyDescent="0.3">
      <c r="A158" s="443"/>
      <c r="B158" s="20" t="s">
        <v>51</v>
      </c>
      <c r="C158" s="322" t="s">
        <v>57</v>
      </c>
      <c r="D158" s="350">
        <v>1</v>
      </c>
      <c r="E158" s="350">
        <v>7</v>
      </c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47"/>
        <v>8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47"/>
        <v>0</v>
      </c>
    </row>
    <row r="160" spans="1:16" x14ac:dyDescent="0.3">
      <c r="A160" s="443"/>
      <c r="B160" s="20" t="s">
        <v>50</v>
      </c>
      <c r="C160" s="322" t="s">
        <v>57</v>
      </c>
      <c r="D160" s="350">
        <v>2</v>
      </c>
      <c r="E160" s="350">
        <v>6</v>
      </c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47"/>
        <v>8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47"/>
        <v>0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47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47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47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7"/>
        <v>0</v>
      </c>
    </row>
    <row r="166" spans="1:16" x14ac:dyDescent="0.3">
      <c r="A166" s="442" t="s">
        <v>75</v>
      </c>
      <c r="B166" s="386" t="s">
        <v>63</v>
      </c>
      <c r="C166" s="322"/>
      <c r="D166" s="350">
        <v>2</v>
      </c>
      <c r="E166" s="350">
        <v>4</v>
      </c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48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48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8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8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8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8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8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8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8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49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49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49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49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49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49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SUM(D152:D192)</f>
        <v>32</v>
      </c>
      <c r="E193" s="389">
        <f t="shared" ref="E193:P193" si="50">SUM(E152:E192)</f>
        <v>63</v>
      </c>
      <c r="F193" s="389">
        <f t="shared" si="50"/>
        <v>0</v>
      </c>
      <c r="G193" s="389">
        <f t="shared" si="50"/>
        <v>0</v>
      </c>
      <c r="H193" s="389">
        <f t="shared" si="50"/>
        <v>0</v>
      </c>
      <c r="I193" s="389">
        <f t="shared" si="50"/>
        <v>0</v>
      </c>
      <c r="J193" s="389">
        <f t="shared" si="50"/>
        <v>0</v>
      </c>
      <c r="K193" s="389">
        <f t="shared" si="50"/>
        <v>0</v>
      </c>
      <c r="L193" s="389">
        <f t="shared" si="50"/>
        <v>0</v>
      </c>
      <c r="M193" s="389">
        <f t="shared" si="50"/>
        <v>0</v>
      </c>
      <c r="N193" s="389">
        <f t="shared" si="50"/>
        <v>0</v>
      </c>
      <c r="O193" s="389">
        <f t="shared" si="50"/>
        <v>0</v>
      </c>
      <c r="P193" s="389">
        <f t="shared" si="50"/>
        <v>51</v>
      </c>
    </row>
    <row r="194" spans="1:16" x14ac:dyDescent="0.3">
      <c r="A194" s="420" t="s">
        <v>58</v>
      </c>
      <c r="B194" s="445"/>
      <c r="C194" s="322" t="s">
        <v>57</v>
      </c>
      <c r="D194" s="350">
        <v>6</v>
      </c>
      <c r="E194" s="350">
        <v>6</v>
      </c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12</v>
      </c>
    </row>
    <row r="195" spans="1:16" x14ac:dyDescent="0.3">
      <c r="A195" s="422"/>
      <c r="B195" s="446"/>
      <c r="C195" s="390" t="s">
        <v>55</v>
      </c>
      <c r="D195" s="350">
        <v>596</v>
      </c>
      <c r="E195" s="350">
        <v>596</v>
      </c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1192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>
        <v>24</v>
      </c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4</v>
      </c>
    </row>
    <row r="197" spans="1:16" x14ac:dyDescent="0.3">
      <c r="A197" s="416" t="s">
        <v>56</v>
      </c>
      <c r="B197" s="417"/>
      <c r="C197" s="390" t="s">
        <v>55</v>
      </c>
      <c r="D197" s="350">
        <v>135</v>
      </c>
      <c r="E197" s="350">
        <v>141</v>
      </c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276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1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1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1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51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1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2">SUM(D199:D203)</f>
        <v>0</v>
      </c>
      <c r="E204" s="345">
        <f t="shared" si="52"/>
        <v>0</v>
      </c>
      <c r="F204" s="345">
        <f t="shared" si="52"/>
        <v>0</v>
      </c>
      <c r="G204" s="345">
        <f t="shared" si="52"/>
        <v>0</v>
      </c>
      <c r="H204" s="345">
        <f t="shared" si="52"/>
        <v>0</v>
      </c>
      <c r="I204" s="345">
        <f t="shared" si="52"/>
        <v>0</v>
      </c>
      <c r="J204" s="345">
        <f t="shared" si="52"/>
        <v>0</v>
      </c>
      <c r="K204" s="345">
        <f t="shared" si="52"/>
        <v>0</v>
      </c>
      <c r="L204" s="345">
        <f t="shared" si="52"/>
        <v>0</v>
      </c>
      <c r="M204" s="345">
        <f t="shared" si="52"/>
        <v>0</v>
      </c>
      <c r="N204" s="345">
        <f t="shared" si="52"/>
        <v>0</v>
      </c>
      <c r="O204" s="345">
        <f t="shared" si="52"/>
        <v>0</v>
      </c>
      <c r="P204" s="394">
        <f t="shared" si="51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>
        <v>14410042</v>
      </c>
      <c r="E206" s="346">
        <v>19982561</v>
      </c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34392603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>
        <v>25000</v>
      </c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25000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3">SUM(D206:D209)</f>
        <v>14435042</v>
      </c>
      <c r="E210" s="389">
        <f t="shared" si="53"/>
        <v>19982561</v>
      </c>
      <c r="F210" s="389">
        <f t="shared" si="53"/>
        <v>0</v>
      </c>
      <c r="G210" s="389">
        <f t="shared" si="53"/>
        <v>0</v>
      </c>
      <c r="H210" s="389">
        <f t="shared" si="53"/>
        <v>0</v>
      </c>
      <c r="I210" s="389">
        <f t="shared" si="53"/>
        <v>0</v>
      </c>
      <c r="J210" s="389">
        <f t="shared" si="53"/>
        <v>0</v>
      </c>
      <c r="K210" s="389">
        <f t="shared" si="53"/>
        <v>0</v>
      </c>
      <c r="L210" s="389">
        <f t="shared" si="53"/>
        <v>0</v>
      </c>
      <c r="M210" s="389">
        <f t="shared" si="53"/>
        <v>0</v>
      </c>
      <c r="N210" s="389">
        <f t="shared" si="53"/>
        <v>0</v>
      </c>
      <c r="O210" s="389">
        <f t="shared" si="53"/>
        <v>0</v>
      </c>
      <c r="P210" s="348">
        <f>SUM(D210:O210)</f>
        <v>34417603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10400025</v>
      </c>
      <c r="E212" s="346">
        <v>12323237</v>
      </c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22723262</v>
      </c>
    </row>
    <row r="213" spans="1:16" x14ac:dyDescent="0.3">
      <c r="A213" s="416" t="s">
        <v>42</v>
      </c>
      <c r="B213" s="417"/>
      <c r="C213" s="322" t="s">
        <v>31</v>
      </c>
      <c r="D213" s="346">
        <v>214700</v>
      </c>
      <c r="E213" s="346">
        <v>262230</v>
      </c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476930</v>
      </c>
    </row>
    <row r="214" spans="1:16" x14ac:dyDescent="0.3">
      <c r="A214" s="423" t="s">
        <v>41</v>
      </c>
      <c r="B214" s="424"/>
      <c r="C214" s="322" t="s">
        <v>31</v>
      </c>
      <c r="D214" s="346">
        <v>2671200</v>
      </c>
      <c r="E214" s="346">
        <v>2889635</v>
      </c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5560835</v>
      </c>
    </row>
    <row r="215" spans="1:16" x14ac:dyDescent="0.3">
      <c r="A215" s="416" t="s">
        <v>40</v>
      </c>
      <c r="B215" s="417"/>
      <c r="C215" s="322" t="s">
        <v>31</v>
      </c>
      <c r="D215" s="346">
        <v>7422800</v>
      </c>
      <c r="E215" s="346">
        <v>6497450</v>
      </c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13920250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4">SUM(D212:D215)</f>
        <v>20708725</v>
      </c>
      <c r="E216" s="389">
        <f t="shared" si="54"/>
        <v>21972552</v>
      </c>
      <c r="F216" s="389">
        <f t="shared" si="54"/>
        <v>0</v>
      </c>
      <c r="G216" s="389">
        <f t="shared" si="54"/>
        <v>0</v>
      </c>
      <c r="H216" s="389">
        <f t="shared" si="54"/>
        <v>0</v>
      </c>
      <c r="I216" s="389">
        <f t="shared" si="54"/>
        <v>0</v>
      </c>
      <c r="J216" s="389">
        <f t="shared" si="54"/>
        <v>0</v>
      </c>
      <c r="K216" s="389">
        <f t="shared" si="54"/>
        <v>0</v>
      </c>
      <c r="L216" s="389">
        <f t="shared" si="54"/>
        <v>0</v>
      </c>
      <c r="M216" s="389">
        <f t="shared" si="54"/>
        <v>0</v>
      </c>
      <c r="N216" s="389">
        <f t="shared" si="54"/>
        <v>0</v>
      </c>
      <c r="O216" s="389">
        <f t="shared" si="54"/>
        <v>0</v>
      </c>
      <c r="P216" s="348">
        <f>SUM(D216:O216)</f>
        <v>42681277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35143767</v>
      </c>
      <c r="E217" s="389">
        <f t="shared" ref="E217:P217" si="55">E210+E216</f>
        <v>41955113</v>
      </c>
      <c r="F217" s="389">
        <f t="shared" si="55"/>
        <v>0</v>
      </c>
      <c r="G217" s="389">
        <f t="shared" si="55"/>
        <v>0</v>
      </c>
      <c r="H217" s="389">
        <f t="shared" si="55"/>
        <v>0</v>
      </c>
      <c r="I217" s="389">
        <f t="shared" si="55"/>
        <v>0</v>
      </c>
      <c r="J217" s="389">
        <f t="shared" si="55"/>
        <v>0</v>
      </c>
      <c r="K217" s="389">
        <f t="shared" si="55"/>
        <v>0</v>
      </c>
      <c r="L217" s="389">
        <f t="shared" si="55"/>
        <v>0</v>
      </c>
      <c r="M217" s="389">
        <f t="shared" si="55"/>
        <v>0</v>
      </c>
      <c r="N217" s="389">
        <f t="shared" si="55"/>
        <v>0</v>
      </c>
      <c r="O217" s="389">
        <f t="shared" si="55"/>
        <v>0</v>
      </c>
      <c r="P217" s="351">
        <f t="shared" si="55"/>
        <v>77098880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15247991</v>
      </c>
      <c r="E219" s="346">
        <v>17555921</v>
      </c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32803912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14760078.33</v>
      </c>
      <c r="E221" s="346">
        <v>15869935.99</v>
      </c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30630014.32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0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6">SUM(D219:D222)</f>
        <v>30008069.329999998</v>
      </c>
      <c r="E223" s="397">
        <f t="shared" si="56"/>
        <v>33425856.990000002</v>
      </c>
      <c r="F223" s="397">
        <f t="shared" si="56"/>
        <v>0</v>
      </c>
      <c r="G223" s="397">
        <f t="shared" si="56"/>
        <v>0</v>
      </c>
      <c r="H223" s="397">
        <f t="shared" si="56"/>
        <v>0</v>
      </c>
      <c r="I223" s="397">
        <f t="shared" si="56"/>
        <v>0</v>
      </c>
      <c r="J223" s="397">
        <f t="shared" si="56"/>
        <v>0</v>
      </c>
      <c r="K223" s="397">
        <f t="shared" si="56"/>
        <v>0</v>
      </c>
      <c r="L223" s="397">
        <f t="shared" si="56"/>
        <v>0</v>
      </c>
      <c r="M223" s="397">
        <f t="shared" si="56"/>
        <v>0</v>
      </c>
      <c r="N223" s="397">
        <f t="shared" si="56"/>
        <v>0</v>
      </c>
      <c r="O223" s="397">
        <f t="shared" si="56"/>
        <v>0</v>
      </c>
      <c r="P223" s="348">
        <f>SUM(D223:O223)</f>
        <v>63433926.32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10345719.65</v>
      </c>
      <c r="E225" s="346">
        <v>12329033.73</v>
      </c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57">SUM(D225:O225)</f>
        <v>22674753.380000003</v>
      </c>
    </row>
    <row r="226" spans="1:16" x14ac:dyDescent="0.3">
      <c r="A226" s="416" t="s">
        <v>34</v>
      </c>
      <c r="B226" s="417"/>
      <c r="C226" s="322" t="s">
        <v>31</v>
      </c>
      <c r="D226" s="346">
        <v>214700</v>
      </c>
      <c r="E226" s="346">
        <v>262230</v>
      </c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57"/>
        <v>476930</v>
      </c>
    </row>
    <row r="227" spans="1:16" x14ac:dyDescent="0.3">
      <c r="A227" s="416" t="s">
        <v>33</v>
      </c>
      <c r="B227" s="417"/>
      <c r="C227" s="322" t="s">
        <v>31</v>
      </c>
      <c r="D227" s="346">
        <v>7479500</v>
      </c>
      <c r="E227" s="346">
        <v>6497450</v>
      </c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57"/>
        <v>13976950</v>
      </c>
    </row>
    <row r="228" spans="1:16" x14ac:dyDescent="0.3">
      <c r="A228" s="416" t="s">
        <v>32</v>
      </c>
      <c r="B228" s="417"/>
      <c r="C228" s="322" t="s">
        <v>31</v>
      </c>
      <c r="D228" s="346">
        <v>2639610</v>
      </c>
      <c r="E228" s="346">
        <v>2871635</v>
      </c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57"/>
        <v>5511245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8">SUM(D225:D228)</f>
        <v>20679529.649999999</v>
      </c>
      <c r="E229" s="397">
        <f t="shared" si="58"/>
        <v>21960348.73</v>
      </c>
      <c r="F229" s="397">
        <f t="shared" si="58"/>
        <v>0</v>
      </c>
      <c r="G229" s="397">
        <f t="shared" si="58"/>
        <v>0</v>
      </c>
      <c r="H229" s="397">
        <f t="shared" si="58"/>
        <v>0</v>
      </c>
      <c r="I229" s="397">
        <f t="shared" si="58"/>
        <v>0</v>
      </c>
      <c r="J229" s="397">
        <f t="shared" si="58"/>
        <v>0</v>
      </c>
      <c r="K229" s="397">
        <f t="shared" si="58"/>
        <v>0</v>
      </c>
      <c r="L229" s="397">
        <f t="shared" si="58"/>
        <v>0</v>
      </c>
      <c r="M229" s="397">
        <f t="shared" si="58"/>
        <v>0</v>
      </c>
      <c r="N229" s="397">
        <f t="shared" si="58"/>
        <v>0</v>
      </c>
      <c r="O229" s="397">
        <f t="shared" si="58"/>
        <v>0</v>
      </c>
      <c r="P229" s="348">
        <f t="shared" si="57"/>
        <v>42639878.379999995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50687598.979999997</v>
      </c>
      <c r="E230" s="397">
        <f t="shared" ref="E230:O230" si="59">E223+E229</f>
        <v>55386205.719999999</v>
      </c>
      <c r="F230" s="397">
        <f t="shared" si="59"/>
        <v>0</v>
      </c>
      <c r="G230" s="397">
        <f t="shared" si="59"/>
        <v>0</v>
      </c>
      <c r="H230" s="397">
        <f t="shared" si="59"/>
        <v>0</v>
      </c>
      <c r="I230" s="397">
        <f t="shared" si="59"/>
        <v>0</v>
      </c>
      <c r="J230" s="397">
        <f t="shared" si="59"/>
        <v>0</v>
      </c>
      <c r="K230" s="397">
        <f t="shared" si="59"/>
        <v>0</v>
      </c>
      <c r="L230" s="397">
        <f t="shared" si="59"/>
        <v>0</v>
      </c>
      <c r="M230" s="397">
        <f t="shared" si="59"/>
        <v>0</v>
      </c>
      <c r="N230" s="397">
        <f t="shared" si="59"/>
        <v>0</v>
      </c>
      <c r="O230" s="397">
        <f t="shared" si="59"/>
        <v>0</v>
      </c>
      <c r="P230" s="348">
        <f t="shared" si="57"/>
        <v>106073804.69999999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747036</v>
      </c>
      <c r="E232" s="346">
        <v>759676</v>
      </c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1506712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33936.400000000001</v>
      </c>
      <c r="E234" s="346">
        <v>33936.400000000001</v>
      </c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67872.800000000003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0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0">SUM(D232:D235)</f>
        <v>780972.4</v>
      </c>
      <c r="E236" s="397">
        <f t="shared" si="60"/>
        <v>793612.4</v>
      </c>
      <c r="F236" s="397">
        <f t="shared" si="60"/>
        <v>0</v>
      </c>
      <c r="G236" s="397">
        <f t="shared" si="60"/>
        <v>0</v>
      </c>
      <c r="H236" s="397">
        <f t="shared" si="60"/>
        <v>0</v>
      </c>
      <c r="I236" s="397">
        <f t="shared" si="60"/>
        <v>0</v>
      </c>
      <c r="J236" s="397">
        <f t="shared" si="60"/>
        <v>0</v>
      </c>
      <c r="K236" s="397">
        <f t="shared" si="60"/>
        <v>0</v>
      </c>
      <c r="L236" s="397">
        <f t="shared" si="60"/>
        <v>0</v>
      </c>
      <c r="M236" s="397">
        <f t="shared" si="60"/>
        <v>0</v>
      </c>
      <c r="N236" s="397">
        <f t="shared" si="60"/>
        <v>0</v>
      </c>
      <c r="O236" s="397">
        <f t="shared" si="60"/>
        <v>0</v>
      </c>
      <c r="P236" s="351">
        <f t="shared" si="60"/>
        <v>1574584.8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1317175</v>
      </c>
      <c r="E238" s="345">
        <v>1339500</v>
      </c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2656675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8930</v>
      </c>
      <c r="E240" s="345">
        <v>8930</v>
      </c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17860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0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1">SUM(D238:D241)</f>
        <v>1326105</v>
      </c>
      <c r="E242" s="397">
        <f t="shared" si="61"/>
        <v>1348430</v>
      </c>
      <c r="F242" s="397">
        <f t="shared" si="61"/>
        <v>0</v>
      </c>
      <c r="G242" s="397">
        <f t="shared" si="61"/>
        <v>0</v>
      </c>
      <c r="H242" s="397">
        <f t="shared" si="61"/>
        <v>0</v>
      </c>
      <c r="I242" s="397">
        <f t="shared" si="61"/>
        <v>0</v>
      </c>
      <c r="J242" s="397">
        <f t="shared" si="61"/>
        <v>0</v>
      </c>
      <c r="K242" s="397">
        <f t="shared" si="61"/>
        <v>0</v>
      </c>
      <c r="L242" s="397">
        <f t="shared" si="61"/>
        <v>0</v>
      </c>
      <c r="M242" s="397">
        <f t="shared" si="61"/>
        <v>0</v>
      </c>
      <c r="N242" s="397">
        <f t="shared" si="61"/>
        <v>0</v>
      </c>
      <c r="O242" s="397">
        <f t="shared" si="61"/>
        <v>0</v>
      </c>
      <c r="P242" s="351">
        <f t="shared" si="61"/>
        <v>2674535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52794676.379999995</v>
      </c>
      <c r="E243" s="389">
        <f t="shared" ref="E243:O243" si="62">E230+E236+E242</f>
        <v>57528248.119999997</v>
      </c>
      <c r="F243" s="389">
        <f t="shared" si="62"/>
        <v>0</v>
      </c>
      <c r="G243" s="389">
        <f t="shared" si="62"/>
        <v>0</v>
      </c>
      <c r="H243" s="389">
        <f t="shared" si="62"/>
        <v>0</v>
      </c>
      <c r="I243" s="389">
        <f t="shared" si="62"/>
        <v>0</v>
      </c>
      <c r="J243" s="389">
        <f t="shared" si="62"/>
        <v>0</v>
      </c>
      <c r="K243" s="389">
        <f t="shared" si="62"/>
        <v>0</v>
      </c>
      <c r="L243" s="389">
        <f t="shared" si="62"/>
        <v>0</v>
      </c>
      <c r="M243" s="389">
        <f t="shared" si="62"/>
        <v>0</v>
      </c>
      <c r="N243" s="389">
        <f t="shared" si="62"/>
        <v>0</v>
      </c>
      <c r="O243" s="389">
        <f t="shared" si="62"/>
        <v>0</v>
      </c>
      <c r="P243" s="351">
        <f t="shared" ref="P243" si="63">P216+P223+P236+P242</f>
        <v>110364323.11999999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15248062.369999958</v>
      </c>
      <c r="E245" s="399">
        <v>13625901.84000108</v>
      </c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335554088.52000004</v>
      </c>
      <c r="E246" s="399">
        <v>352525814.28999996</v>
      </c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350802150.88999999</v>
      </c>
      <c r="E247" s="401">
        <f t="shared" ref="E247:P247" si="64">E245+E246</f>
        <v>366151716.13000107</v>
      </c>
      <c r="F247" s="401">
        <f t="shared" si="64"/>
        <v>0</v>
      </c>
      <c r="G247" s="401">
        <f t="shared" si="64"/>
        <v>0</v>
      </c>
      <c r="H247" s="401">
        <f t="shared" si="64"/>
        <v>0</v>
      </c>
      <c r="I247" s="401">
        <f t="shared" si="64"/>
        <v>0</v>
      </c>
      <c r="J247" s="401">
        <f t="shared" si="64"/>
        <v>0</v>
      </c>
      <c r="K247" s="401">
        <f t="shared" si="64"/>
        <v>0</v>
      </c>
      <c r="L247" s="401">
        <f t="shared" si="64"/>
        <v>0</v>
      </c>
      <c r="M247" s="401">
        <f t="shared" si="64"/>
        <v>0</v>
      </c>
      <c r="N247" s="401">
        <f t="shared" si="64"/>
        <v>0</v>
      </c>
      <c r="O247" s="401">
        <f t="shared" si="64"/>
        <v>0</v>
      </c>
      <c r="P247" s="400">
        <f t="shared" si="64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0.26204962092998058</v>
      </c>
      <c r="E249" s="402">
        <f t="shared" ref="E249:O249" si="65">E58/E243</f>
        <v>0.23755009854452699</v>
      </c>
      <c r="F249" s="402" t="e">
        <f t="shared" si="65"/>
        <v>#DIV/0!</v>
      </c>
      <c r="G249" s="402" t="e">
        <f t="shared" si="65"/>
        <v>#DIV/0!</v>
      </c>
      <c r="H249" s="402" t="e">
        <f t="shared" si="65"/>
        <v>#DIV/0!</v>
      </c>
      <c r="I249" s="402" t="e">
        <f t="shared" si="65"/>
        <v>#DIV/0!</v>
      </c>
      <c r="J249" s="402" t="e">
        <f t="shared" si="65"/>
        <v>#DIV/0!</v>
      </c>
      <c r="K249" s="402" t="e">
        <f t="shared" si="65"/>
        <v>#DIV/0!</v>
      </c>
      <c r="L249" s="402" t="e">
        <f t="shared" si="65"/>
        <v>#DIV/0!</v>
      </c>
      <c r="M249" s="402" t="e">
        <f t="shared" si="65"/>
        <v>#DIV/0!</v>
      </c>
      <c r="N249" s="402" t="e">
        <f t="shared" si="65"/>
        <v>#DIV/0!</v>
      </c>
      <c r="O249" s="402" t="e">
        <f t="shared" si="65"/>
        <v>#DIV/0!</v>
      </c>
      <c r="P249" s="524">
        <f t="shared" ref="P249" si="66">P58/P243%</f>
        <v>25.093304756092273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0.31896323122994652</v>
      </c>
      <c r="E250" s="381">
        <f t="shared" ref="E250:O250" si="67">E210/(E223+E245)</f>
        <v>0.42469317825498043</v>
      </c>
      <c r="F250" s="381" t="e">
        <f t="shared" si="67"/>
        <v>#DIV/0!</v>
      </c>
      <c r="G250" s="381" t="e">
        <f t="shared" si="67"/>
        <v>#DIV/0!</v>
      </c>
      <c r="H250" s="381" t="e">
        <f t="shared" si="67"/>
        <v>#DIV/0!</v>
      </c>
      <c r="I250" s="381" t="e">
        <f t="shared" si="67"/>
        <v>#DIV/0!</v>
      </c>
      <c r="J250" s="381" t="e">
        <f t="shared" si="67"/>
        <v>#DIV/0!</v>
      </c>
      <c r="K250" s="381" t="e">
        <f t="shared" si="67"/>
        <v>#DIV/0!</v>
      </c>
      <c r="L250" s="381" t="e">
        <f t="shared" si="67"/>
        <v>#DIV/0!</v>
      </c>
      <c r="M250" s="381" t="e">
        <f t="shared" si="67"/>
        <v>#DIV/0!</v>
      </c>
      <c r="N250" s="381" t="e">
        <f t="shared" si="67"/>
        <v>#DIV/0!</v>
      </c>
      <c r="O250" s="381" t="e">
        <f t="shared" si="67"/>
        <v>#DIV/0!</v>
      </c>
      <c r="P250" s="523">
        <f t="shared" ref="P250" si="68">P210/(P223+P245)%</f>
        <v>54.257406086415493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0.48103867800548034</v>
      </c>
      <c r="E251" s="403">
        <f t="shared" ref="E251:O251" si="69">E210/E223</f>
        <v>0.59781746227114452</v>
      </c>
      <c r="F251" s="403" t="e">
        <f t="shared" si="69"/>
        <v>#DIV/0!</v>
      </c>
      <c r="G251" s="403" t="e">
        <f t="shared" si="69"/>
        <v>#DIV/0!</v>
      </c>
      <c r="H251" s="403" t="e">
        <f t="shared" si="69"/>
        <v>#DIV/0!</v>
      </c>
      <c r="I251" s="403" t="e">
        <f t="shared" si="69"/>
        <v>#DIV/0!</v>
      </c>
      <c r="J251" s="403" t="e">
        <f t="shared" si="69"/>
        <v>#DIV/0!</v>
      </c>
      <c r="K251" s="403" t="e">
        <f t="shared" si="69"/>
        <v>#DIV/0!</v>
      </c>
      <c r="L251" s="403" t="e">
        <f t="shared" si="69"/>
        <v>#DIV/0!</v>
      </c>
      <c r="M251" s="403" t="e">
        <f t="shared" si="69"/>
        <v>#DIV/0!</v>
      </c>
      <c r="N251" s="403" t="e">
        <f t="shared" si="69"/>
        <v>#DIV/0!</v>
      </c>
      <c r="O251" s="403" t="e">
        <f t="shared" si="69"/>
        <v>#DIV/0!</v>
      </c>
      <c r="P251" s="525">
        <f t="shared" ref="P251" si="70">P210/P223%</f>
        <v>54.257406086415493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34</v>
      </c>
      <c r="E253" s="350">
        <v>40</v>
      </c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74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1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1">D95</f>
        <v>52</v>
      </c>
      <c r="E255" s="350">
        <f t="shared" si="71"/>
        <v>40</v>
      </c>
      <c r="F255" s="350">
        <f t="shared" si="71"/>
        <v>0</v>
      </c>
      <c r="G255" s="350">
        <f t="shared" si="71"/>
        <v>0</v>
      </c>
      <c r="H255" s="350">
        <f t="shared" si="71"/>
        <v>0</v>
      </c>
      <c r="I255" s="350">
        <f t="shared" si="71"/>
        <v>0</v>
      </c>
      <c r="J255" s="350">
        <f t="shared" si="71"/>
        <v>0</v>
      </c>
      <c r="K255" s="350">
        <f t="shared" si="71"/>
        <v>0</v>
      </c>
      <c r="L255" s="350">
        <f t="shared" si="71"/>
        <v>0</v>
      </c>
      <c r="M255" s="350">
        <f t="shared" si="71"/>
        <v>0</v>
      </c>
      <c r="N255" s="350">
        <f t="shared" si="71"/>
        <v>0</v>
      </c>
      <c r="O255" s="350">
        <f t="shared" si="71"/>
        <v>0</v>
      </c>
      <c r="P255" s="526">
        <f>SUM(D255:O255)</f>
        <v>92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2">D91</f>
        <v>26</v>
      </c>
      <c r="E256" s="350">
        <f t="shared" si="72"/>
        <v>31</v>
      </c>
      <c r="F256" s="350">
        <f t="shared" si="72"/>
        <v>0</v>
      </c>
      <c r="G256" s="350">
        <f t="shared" si="72"/>
        <v>0</v>
      </c>
      <c r="H256" s="350">
        <f t="shared" si="72"/>
        <v>0</v>
      </c>
      <c r="I256" s="350">
        <f t="shared" si="72"/>
        <v>0</v>
      </c>
      <c r="J256" s="350">
        <f t="shared" si="72"/>
        <v>0</v>
      </c>
      <c r="K256" s="350">
        <f t="shared" si="72"/>
        <v>0</v>
      </c>
      <c r="L256" s="350">
        <f t="shared" si="72"/>
        <v>0</v>
      </c>
      <c r="M256" s="350">
        <f t="shared" si="72"/>
        <v>0</v>
      </c>
      <c r="N256" s="350">
        <f t="shared" si="72"/>
        <v>0</v>
      </c>
      <c r="O256" s="350">
        <f t="shared" si="72"/>
        <v>0</v>
      </c>
      <c r="P256" s="526">
        <f>SUM(D256:O256)</f>
        <v>57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30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30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3">D257/D256</f>
        <v>1.1538461538461537</v>
      </c>
      <c r="E258" s="345">
        <f t="shared" si="73"/>
        <v>0</v>
      </c>
      <c r="F258" s="345" t="e">
        <f t="shared" si="73"/>
        <v>#DIV/0!</v>
      </c>
      <c r="G258" s="345" t="e">
        <f t="shared" si="73"/>
        <v>#DIV/0!</v>
      </c>
      <c r="H258" s="345" t="e">
        <f t="shared" si="73"/>
        <v>#DIV/0!</v>
      </c>
      <c r="I258" s="345" t="e">
        <f t="shared" si="73"/>
        <v>#DIV/0!</v>
      </c>
      <c r="J258" s="345" t="e">
        <f t="shared" si="73"/>
        <v>#DIV/0!</v>
      </c>
      <c r="K258" s="345" t="e">
        <f t="shared" si="73"/>
        <v>#DIV/0!</v>
      </c>
      <c r="L258" s="345" t="e">
        <f t="shared" si="73"/>
        <v>#DIV/0!</v>
      </c>
      <c r="M258" s="345" t="e">
        <f t="shared" si="73"/>
        <v>#DIV/0!</v>
      </c>
      <c r="N258" s="345" t="e">
        <f t="shared" si="73"/>
        <v>#DIV/0!</v>
      </c>
      <c r="O258" s="345" t="e">
        <f t="shared" si="73"/>
        <v>#DIV/0!</v>
      </c>
      <c r="P258" s="526">
        <f t="shared" si="73"/>
        <v>0.52631578947368418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4">D92/D255*100</f>
        <v>0</v>
      </c>
      <c r="E259" s="404">
        <f t="shared" si="74"/>
        <v>0</v>
      </c>
      <c r="F259" s="404" t="e">
        <f t="shared" si="74"/>
        <v>#DIV/0!</v>
      </c>
      <c r="G259" s="404" t="e">
        <f t="shared" si="74"/>
        <v>#DIV/0!</v>
      </c>
      <c r="H259" s="404" t="e">
        <f t="shared" si="74"/>
        <v>#DIV/0!</v>
      </c>
      <c r="I259" s="404" t="e">
        <f t="shared" si="74"/>
        <v>#DIV/0!</v>
      </c>
      <c r="J259" s="404" t="e">
        <f t="shared" si="74"/>
        <v>#DIV/0!</v>
      </c>
      <c r="K259" s="404" t="e">
        <f t="shared" si="74"/>
        <v>#DIV/0!</v>
      </c>
      <c r="L259" s="404" t="e">
        <f t="shared" si="74"/>
        <v>#DIV/0!</v>
      </c>
      <c r="M259" s="404" t="e">
        <f t="shared" si="74"/>
        <v>#DIV/0!</v>
      </c>
      <c r="N259" s="404" t="e">
        <f t="shared" si="74"/>
        <v>#DIV/0!</v>
      </c>
      <c r="O259" s="404" t="e">
        <f t="shared" si="74"/>
        <v>#DIV/0!</v>
      </c>
      <c r="P259" s="527">
        <f t="shared" si="74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40</v>
      </c>
      <c r="E261" s="350">
        <v>37</v>
      </c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77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24</v>
      </c>
      <c r="E262" s="350">
        <v>8</v>
      </c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32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1.6666666666666667</v>
      </c>
      <c r="E263" s="406">
        <f t="shared" ref="E263:P263" si="75">E261/E262</f>
        <v>4.625</v>
      </c>
      <c r="F263" s="406" t="e">
        <f t="shared" si="75"/>
        <v>#DIV/0!</v>
      </c>
      <c r="G263" s="406" t="e">
        <f t="shared" si="75"/>
        <v>#DIV/0!</v>
      </c>
      <c r="H263" s="406" t="e">
        <f t="shared" si="75"/>
        <v>#DIV/0!</v>
      </c>
      <c r="I263" s="406" t="e">
        <f t="shared" si="75"/>
        <v>#DIV/0!</v>
      </c>
      <c r="J263" s="406" t="e">
        <f t="shared" si="75"/>
        <v>#DIV/0!</v>
      </c>
      <c r="K263" s="406" t="e">
        <f t="shared" si="75"/>
        <v>#DIV/0!</v>
      </c>
      <c r="L263" s="406" t="e">
        <f t="shared" si="75"/>
        <v>#DIV/0!</v>
      </c>
      <c r="M263" s="406" t="e">
        <f t="shared" si="75"/>
        <v>#DIV/0!</v>
      </c>
      <c r="N263" s="406" t="e">
        <f t="shared" si="75"/>
        <v>#DIV/0!</v>
      </c>
      <c r="O263" s="406" t="e">
        <f t="shared" si="75"/>
        <v>#DIV/0!</v>
      </c>
      <c r="P263" s="477">
        <f t="shared" si="75"/>
        <v>2.40625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243" sqref="E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3422</v>
      </c>
      <c r="E9" s="321">
        <v>4964</v>
      </c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8386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6</v>
      </c>
      <c r="E11" s="323">
        <v>15</v>
      </c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21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4</v>
      </c>
      <c r="E13" s="323">
        <v>3</v>
      </c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7</v>
      </c>
    </row>
    <row r="14" spans="1:16" x14ac:dyDescent="0.3">
      <c r="A14" s="416" t="s">
        <v>156</v>
      </c>
      <c r="B14" s="417"/>
      <c r="C14" s="322" t="s">
        <v>154</v>
      </c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0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10</v>
      </c>
      <c r="E15" s="326">
        <f t="shared" si="0"/>
        <v>18</v>
      </c>
      <c r="F15" s="326">
        <f t="shared" si="0"/>
        <v>0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28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2707.099999999999</v>
      </c>
      <c r="E17" s="323">
        <v>4142.7000000000007</v>
      </c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6849.7999999999993</v>
      </c>
    </row>
    <row r="18" spans="1:16" s="328" customFormat="1" x14ac:dyDescent="0.3">
      <c r="A18" s="423" t="s">
        <v>183</v>
      </c>
      <c r="B18" s="424"/>
      <c r="C18" s="322" t="s">
        <v>154</v>
      </c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0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580.30000000000007</v>
      </c>
      <c r="E19" s="323">
        <v>173.6</v>
      </c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753.90000000000009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11.4</v>
      </c>
      <c r="E20" s="323">
        <v>16.399999999999999</v>
      </c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27.799999999999997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3298.7999999999993</v>
      </c>
      <c r="E21" s="326">
        <f t="shared" ref="E21:P21" si="1">SUM(E17:E20)</f>
        <v>4332.7000000000007</v>
      </c>
      <c r="F21" s="326">
        <f t="shared" si="1"/>
        <v>0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7631.4999999999991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3308.7999999999993</v>
      </c>
      <c r="E22" s="326">
        <f t="shared" ref="E22:P22" si="2">E21+E15</f>
        <v>4350.7000000000007</v>
      </c>
      <c r="F22" s="326">
        <f t="shared" si="2"/>
        <v>0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7659.4999999999991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113.20000000000073</v>
      </c>
      <c r="E24" s="333">
        <f t="shared" ref="E24:P24" si="3">E9-E22</f>
        <v>613.29999999999927</v>
      </c>
      <c r="F24" s="333">
        <f t="shared" si="3"/>
        <v>0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726.50000000000091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3.3080070134424523E-2</v>
      </c>
      <c r="E25" s="336">
        <f t="shared" si="4"/>
        <v>0.12354955680902484</v>
      </c>
      <c r="F25" s="336" t="e">
        <f t="shared" si="4"/>
        <v>#DIV/0!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8.6632482709277481E-2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4.5</v>
      </c>
      <c r="E29" s="342">
        <v>4</v>
      </c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8.5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1.3150204558737579</v>
      </c>
      <c r="E30" s="345">
        <f t="shared" si="5"/>
        <v>0.80580177276389997</v>
      </c>
      <c r="F30" s="345" t="e">
        <f t="shared" si="5"/>
        <v>#DIV/0!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1.013594085380396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 t="e">
        <f t="shared" si="6"/>
        <v>#DIV/0!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 t="e">
        <f t="shared" si="7"/>
        <v>#DIV/0!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 t="e">
        <f t="shared" si="8"/>
        <v>#DIV/0!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 t="e">
        <f t="shared" si="9"/>
        <v>#DIV/0!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107680.95</v>
      </c>
      <c r="E41" s="347">
        <f t="shared" ref="E41:O41" si="10">(E29*$B29)+(E31*$B31)+(E33*$B33)+(E35*$B35)+(E37*$B37)+(E39*$B39)</f>
        <v>95716.4</v>
      </c>
      <c r="F41" s="347">
        <f t="shared" si="10"/>
        <v>0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203397.34999999998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31.467255990648741</v>
      </c>
      <c r="E42" s="345">
        <f t="shared" si="11"/>
        <v>19.282111200644639</v>
      </c>
      <c r="F42" s="345" t="e">
        <f t="shared" si="11"/>
        <v>#DIV/0!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24.254394228476027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3342</v>
      </c>
      <c r="E44" s="342">
        <v>5068</v>
      </c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8410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0.97662185856224426</v>
      </c>
      <c r="E45" s="345">
        <f t="shared" si="12"/>
        <v>1.0209508460918615</v>
      </c>
      <c r="F45" s="345" t="e">
        <f t="shared" si="12"/>
        <v>#DIV/0!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1.0028619127116623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578046.20500000007</v>
      </c>
      <c r="E46" s="349">
        <f t="shared" ref="E46:O46" si="13">1.165*(16600+(E44*143.5))</f>
        <v>866594.57000000007</v>
      </c>
      <c r="F46" s="349">
        <f t="shared" si="13"/>
        <v>19339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1638030.7750000001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168.9205742255991</v>
      </c>
      <c r="E47" s="345">
        <f t="shared" si="14"/>
        <v>174.57586019339243</v>
      </c>
      <c r="F47" s="345" t="e">
        <f t="shared" si="14"/>
        <v>#DIV/0!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195.32921237777251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4293180.8999999994</v>
      </c>
      <c r="E54" s="346">
        <v>4203021.68</v>
      </c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8496202.5799999982</v>
      </c>
    </row>
    <row r="55" spans="1:16" x14ac:dyDescent="0.3">
      <c r="A55" s="352" t="s">
        <v>123</v>
      </c>
      <c r="B55" s="331"/>
      <c r="C55" s="322" t="s">
        <v>18</v>
      </c>
      <c r="D55" s="346">
        <v>919558.86</v>
      </c>
      <c r="E55" s="346">
        <v>934400.23</v>
      </c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1853959.0899999999</v>
      </c>
    </row>
    <row r="56" spans="1:16" x14ac:dyDescent="0.3">
      <c r="A56" s="416" t="s">
        <v>122</v>
      </c>
      <c r="B56" s="417"/>
      <c r="C56" s="332" t="s">
        <v>18</v>
      </c>
      <c r="D56" s="346">
        <v>239490</v>
      </c>
      <c r="E56" s="346">
        <v>244920</v>
      </c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484410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6137956.915</v>
      </c>
      <c r="E58" s="346">
        <f t="shared" ref="E58:O58" si="15">E41+E46+E51+E52+E54+E55+E56</f>
        <v>6344652.879999999</v>
      </c>
      <c r="F58" s="346">
        <f t="shared" si="15"/>
        <v>19339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12675999.794999998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1793.6753112215079</v>
      </c>
      <c r="E59" s="345">
        <f t="shared" si="16"/>
        <v>1278.1331345688959</v>
      </c>
      <c r="F59" s="345" t="e">
        <f t="shared" si="16"/>
        <v>#DIV/0!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1511.5668727641305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1855.0401701523215</v>
      </c>
      <c r="E60" s="345">
        <f t="shared" ref="E60:O60" si="17">E58/E22</f>
        <v>1458.3062219872659</v>
      </c>
      <c r="F60" s="345" t="e">
        <f t="shared" si="17"/>
        <v>#DIV/0!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1654.9382851361054</v>
      </c>
    </row>
    <row r="61" spans="1:16" x14ac:dyDescent="0.3">
      <c r="A61" s="416" t="s">
        <v>116</v>
      </c>
      <c r="B61" s="417"/>
      <c r="C61" s="332" t="s">
        <v>3</v>
      </c>
      <c r="D61" s="350">
        <v>3</v>
      </c>
      <c r="E61" s="350">
        <v>3</v>
      </c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27.177089421390999</v>
      </c>
      <c r="E62" s="345">
        <f t="shared" si="18"/>
        <v>18.734891216760676</v>
      </c>
      <c r="F62" s="345" t="e">
        <f t="shared" si="18"/>
        <v>#DIV/0!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6</v>
      </c>
      <c r="E63" s="350">
        <v>6</v>
      </c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12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76</v>
      </c>
      <c r="E66" s="354">
        <v>76</v>
      </c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76</v>
      </c>
    </row>
    <row r="67" spans="1:16" x14ac:dyDescent="0.3">
      <c r="A67" s="410"/>
      <c r="B67" s="322" t="s">
        <v>106</v>
      </c>
      <c r="C67" s="332" t="s">
        <v>3</v>
      </c>
      <c r="D67" s="356">
        <v>4</v>
      </c>
      <c r="E67" s="356">
        <v>13</v>
      </c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17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4</v>
      </c>
      <c r="E69" s="350">
        <v>5</v>
      </c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9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4</v>
      </c>
      <c r="E70" s="356">
        <f t="shared" ref="E70:P70" si="20">E68+E69</f>
        <v>5</v>
      </c>
      <c r="F70" s="356">
        <f t="shared" si="20"/>
        <v>0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8">
        <f t="shared" si="20"/>
        <v>9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76</v>
      </c>
      <c r="E71" s="359">
        <f t="shared" ref="E71:O71" si="21">E66+E67-E70</f>
        <v>84</v>
      </c>
      <c r="F71" s="359">
        <f t="shared" si="21"/>
        <v>0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84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0</v>
      </c>
      <c r="E77" s="359">
        <f t="shared" ref="E77:O77" si="24">E72+E73-E76</f>
        <v>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0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:P82" si="25">E80+E81</f>
        <v>0</v>
      </c>
      <c r="F82" s="356">
        <f t="shared" si="25"/>
        <v>0</v>
      </c>
      <c r="G82" s="356">
        <f t="shared" si="25"/>
        <v>0</v>
      </c>
      <c r="H82" s="356">
        <f t="shared" si="25"/>
        <v>0</v>
      </c>
      <c r="I82" s="356">
        <f t="shared" si="25"/>
        <v>0</v>
      </c>
      <c r="J82" s="356">
        <f t="shared" si="25"/>
        <v>0</v>
      </c>
      <c r="K82" s="356">
        <f t="shared" si="25"/>
        <v>0</v>
      </c>
      <c r="L82" s="356">
        <f t="shared" si="25"/>
        <v>0</v>
      </c>
      <c r="M82" s="356">
        <f t="shared" si="25"/>
        <v>0</v>
      </c>
      <c r="N82" s="356">
        <f t="shared" si="25"/>
        <v>0</v>
      </c>
      <c r="O82" s="356">
        <f t="shared" si="25"/>
        <v>0</v>
      </c>
      <c r="P82" s="358">
        <f t="shared" si="25"/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0</v>
      </c>
      <c r="E83" s="359">
        <f t="shared" ref="E83:P83" si="26">E78+E79-E82</f>
        <v>0</v>
      </c>
      <c r="F83" s="359">
        <f t="shared" si="26"/>
        <v>0</v>
      </c>
      <c r="G83" s="359">
        <f t="shared" si="26"/>
        <v>0</v>
      </c>
      <c r="H83" s="359">
        <f t="shared" si="26"/>
        <v>0</v>
      </c>
      <c r="I83" s="359">
        <f t="shared" si="26"/>
        <v>0</v>
      </c>
      <c r="J83" s="359">
        <f t="shared" si="26"/>
        <v>0</v>
      </c>
      <c r="K83" s="359">
        <f t="shared" si="26"/>
        <v>0</v>
      </c>
      <c r="L83" s="359">
        <f t="shared" si="26"/>
        <v>0</v>
      </c>
      <c r="M83" s="359">
        <f t="shared" si="26"/>
        <v>0</v>
      </c>
      <c r="N83" s="359">
        <f t="shared" si="26"/>
        <v>0</v>
      </c>
      <c r="O83" s="359">
        <f t="shared" si="26"/>
        <v>0</v>
      </c>
      <c r="P83" s="360">
        <f t="shared" si="26"/>
        <v>0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27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27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28">E86+E87</f>
        <v>0</v>
      </c>
      <c r="F88" s="356">
        <f t="shared" si="28"/>
        <v>0</v>
      </c>
      <c r="G88" s="356">
        <f t="shared" si="28"/>
        <v>0</v>
      </c>
      <c r="H88" s="356">
        <f t="shared" si="28"/>
        <v>0</v>
      </c>
      <c r="I88" s="356">
        <f t="shared" si="28"/>
        <v>0</v>
      </c>
      <c r="J88" s="356">
        <f t="shared" si="28"/>
        <v>0</v>
      </c>
      <c r="K88" s="356">
        <f t="shared" si="28"/>
        <v>0</v>
      </c>
      <c r="L88" s="356">
        <f t="shared" si="28"/>
        <v>0</v>
      </c>
      <c r="M88" s="356">
        <f t="shared" si="28"/>
        <v>0</v>
      </c>
      <c r="N88" s="356">
        <f t="shared" si="28"/>
        <v>0</v>
      </c>
      <c r="O88" s="356">
        <f t="shared" si="28"/>
        <v>0</v>
      </c>
      <c r="P88" s="355">
        <f t="shared" si="27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29">E84+E85-E88</f>
        <v>0</v>
      </c>
      <c r="F89" s="521">
        <f t="shared" si="29"/>
        <v>0</v>
      </c>
      <c r="G89" s="521">
        <f t="shared" si="29"/>
        <v>0</v>
      </c>
      <c r="H89" s="521">
        <f t="shared" si="29"/>
        <v>0</v>
      </c>
      <c r="I89" s="521">
        <f t="shared" si="29"/>
        <v>0</v>
      </c>
      <c r="J89" s="521">
        <f t="shared" si="29"/>
        <v>0</v>
      </c>
      <c r="K89" s="521">
        <f t="shared" si="29"/>
        <v>0</v>
      </c>
      <c r="L89" s="521">
        <f t="shared" si="29"/>
        <v>0</v>
      </c>
      <c r="M89" s="521">
        <f t="shared" si="29"/>
        <v>0</v>
      </c>
      <c r="N89" s="521">
        <f t="shared" si="29"/>
        <v>0</v>
      </c>
      <c r="O89" s="521">
        <f t="shared" si="29"/>
        <v>0</v>
      </c>
      <c r="P89" s="360">
        <f t="shared" ref="P89" si="30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31">D66+D72+D78+D84</f>
        <v>76</v>
      </c>
      <c r="E90" s="362">
        <f t="shared" si="31"/>
        <v>76</v>
      </c>
      <c r="F90" s="362">
        <f t="shared" si="31"/>
        <v>0</v>
      </c>
      <c r="G90" s="362">
        <f t="shared" si="31"/>
        <v>0</v>
      </c>
      <c r="H90" s="362">
        <f t="shared" si="31"/>
        <v>0</v>
      </c>
      <c r="I90" s="362">
        <f t="shared" si="31"/>
        <v>0</v>
      </c>
      <c r="J90" s="362">
        <f t="shared" si="31"/>
        <v>0</v>
      </c>
      <c r="K90" s="362">
        <f t="shared" si="31"/>
        <v>0</v>
      </c>
      <c r="L90" s="362">
        <f t="shared" si="31"/>
        <v>0</v>
      </c>
      <c r="M90" s="362">
        <f t="shared" si="31"/>
        <v>0</v>
      </c>
      <c r="N90" s="362">
        <f t="shared" si="31"/>
        <v>0</v>
      </c>
      <c r="O90" s="362">
        <f t="shared" si="31"/>
        <v>0</v>
      </c>
      <c r="P90" s="355">
        <f>D90</f>
        <v>76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31"/>
        <v>4</v>
      </c>
      <c r="E91" s="362">
        <f t="shared" si="31"/>
        <v>13</v>
      </c>
      <c r="F91" s="362">
        <f t="shared" si="31"/>
        <v>0</v>
      </c>
      <c r="G91" s="362">
        <f t="shared" si="31"/>
        <v>0</v>
      </c>
      <c r="H91" s="362">
        <f t="shared" si="31"/>
        <v>0</v>
      </c>
      <c r="I91" s="362">
        <f t="shared" si="31"/>
        <v>0</v>
      </c>
      <c r="J91" s="362">
        <f t="shared" si="31"/>
        <v>0</v>
      </c>
      <c r="K91" s="362">
        <f t="shared" si="31"/>
        <v>0</v>
      </c>
      <c r="L91" s="362">
        <f t="shared" si="31"/>
        <v>0</v>
      </c>
      <c r="M91" s="362">
        <f t="shared" si="31"/>
        <v>0</v>
      </c>
      <c r="N91" s="362">
        <f t="shared" si="31"/>
        <v>0</v>
      </c>
      <c r="O91" s="362">
        <f t="shared" si="31"/>
        <v>0</v>
      </c>
      <c r="P91" s="355">
        <f>SUM(D91:O91)</f>
        <v>17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31"/>
        <v>0</v>
      </c>
      <c r="E92" s="362">
        <f t="shared" si="31"/>
        <v>0</v>
      </c>
      <c r="F92" s="362">
        <f t="shared" si="31"/>
        <v>0</v>
      </c>
      <c r="G92" s="362">
        <f t="shared" si="31"/>
        <v>0</v>
      </c>
      <c r="H92" s="362">
        <f t="shared" si="31"/>
        <v>0</v>
      </c>
      <c r="I92" s="362">
        <f t="shared" si="31"/>
        <v>0</v>
      </c>
      <c r="J92" s="362">
        <f t="shared" si="31"/>
        <v>0</v>
      </c>
      <c r="K92" s="362">
        <f t="shared" si="31"/>
        <v>0</v>
      </c>
      <c r="L92" s="362">
        <f t="shared" si="31"/>
        <v>0</v>
      </c>
      <c r="M92" s="362">
        <f t="shared" si="31"/>
        <v>0</v>
      </c>
      <c r="N92" s="362">
        <f t="shared" si="31"/>
        <v>0</v>
      </c>
      <c r="O92" s="362">
        <f t="shared" si="31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31"/>
        <v>4</v>
      </c>
      <c r="E93" s="362">
        <f t="shared" si="31"/>
        <v>5</v>
      </c>
      <c r="F93" s="362">
        <f t="shared" si="31"/>
        <v>0</v>
      </c>
      <c r="G93" s="362">
        <f t="shared" si="31"/>
        <v>0</v>
      </c>
      <c r="H93" s="362">
        <f t="shared" si="31"/>
        <v>0</v>
      </c>
      <c r="I93" s="362">
        <f t="shared" si="31"/>
        <v>0</v>
      </c>
      <c r="J93" s="362">
        <f t="shared" si="31"/>
        <v>0</v>
      </c>
      <c r="K93" s="362">
        <f t="shared" si="31"/>
        <v>0</v>
      </c>
      <c r="L93" s="362">
        <f t="shared" si="31"/>
        <v>0</v>
      </c>
      <c r="M93" s="362">
        <f t="shared" si="31"/>
        <v>0</v>
      </c>
      <c r="N93" s="362">
        <f t="shared" si="31"/>
        <v>0</v>
      </c>
      <c r="O93" s="362">
        <f t="shared" si="31"/>
        <v>0</v>
      </c>
      <c r="P93" s="355">
        <f>SUM(D93:O93)</f>
        <v>9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4</v>
      </c>
      <c r="E94" s="363">
        <f t="shared" ref="E94:P94" si="32">E93+E92</f>
        <v>5</v>
      </c>
      <c r="F94" s="363">
        <f t="shared" si="32"/>
        <v>0</v>
      </c>
      <c r="G94" s="363">
        <f t="shared" si="32"/>
        <v>0</v>
      </c>
      <c r="H94" s="363">
        <f t="shared" si="32"/>
        <v>0</v>
      </c>
      <c r="I94" s="363">
        <f t="shared" si="32"/>
        <v>0</v>
      </c>
      <c r="J94" s="363">
        <f t="shared" si="32"/>
        <v>0</v>
      </c>
      <c r="K94" s="363">
        <f t="shared" si="32"/>
        <v>0</v>
      </c>
      <c r="L94" s="363">
        <f t="shared" si="32"/>
        <v>0</v>
      </c>
      <c r="M94" s="363">
        <f t="shared" si="32"/>
        <v>0</v>
      </c>
      <c r="N94" s="363">
        <f t="shared" si="32"/>
        <v>0</v>
      </c>
      <c r="O94" s="363">
        <f t="shared" si="32"/>
        <v>0</v>
      </c>
      <c r="P94" s="365">
        <f t="shared" si="32"/>
        <v>9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76</v>
      </c>
      <c r="E95" s="366">
        <f t="shared" ref="E95:P95" si="33">E90+E91-E94</f>
        <v>84</v>
      </c>
      <c r="F95" s="366">
        <f t="shared" si="33"/>
        <v>0</v>
      </c>
      <c r="G95" s="366">
        <f t="shared" si="33"/>
        <v>0</v>
      </c>
      <c r="H95" s="366">
        <f t="shared" si="33"/>
        <v>0</v>
      </c>
      <c r="I95" s="366">
        <f t="shared" si="33"/>
        <v>0</v>
      </c>
      <c r="J95" s="366">
        <f t="shared" si="33"/>
        <v>0</v>
      </c>
      <c r="K95" s="366">
        <f t="shared" si="33"/>
        <v>0</v>
      </c>
      <c r="L95" s="366">
        <f t="shared" si="33"/>
        <v>0</v>
      </c>
      <c r="M95" s="366">
        <f t="shared" si="33"/>
        <v>0</v>
      </c>
      <c r="N95" s="366">
        <f t="shared" si="33"/>
        <v>0</v>
      </c>
      <c r="O95" s="366">
        <f t="shared" si="33"/>
        <v>0</v>
      </c>
      <c r="P95" s="367">
        <f t="shared" si="33"/>
        <v>84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4</v>
      </c>
      <c r="E98" s="372">
        <v>5</v>
      </c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9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217</v>
      </c>
      <c r="E101" s="350">
        <v>217</v>
      </c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34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34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34"/>
        <v>0</v>
      </c>
    </row>
    <row r="104" spans="1:16" x14ac:dyDescent="0.3">
      <c r="A104" s="423" t="s">
        <v>99</v>
      </c>
      <c r="B104" s="424"/>
      <c r="C104" s="322" t="s">
        <v>3</v>
      </c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34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217</v>
      </c>
      <c r="E105" s="374">
        <f t="shared" ref="E105:O105" si="35">SUM(E101:E104)</f>
        <v>217</v>
      </c>
      <c r="F105" s="374">
        <f t="shared" si="35"/>
        <v>0</v>
      </c>
      <c r="G105" s="374">
        <f t="shared" si="35"/>
        <v>0</v>
      </c>
      <c r="H105" s="374">
        <f t="shared" si="35"/>
        <v>0</v>
      </c>
      <c r="I105" s="374">
        <f t="shared" si="35"/>
        <v>0</v>
      </c>
      <c r="J105" s="374">
        <f t="shared" si="35"/>
        <v>0</v>
      </c>
      <c r="K105" s="374">
        <f t="shared" si="35"/>
        <v>0</v>
      </c>
      <c r="L105" s="374">
        <f t="shared" si="35"/>
        <v>0</v>
      </c>
      <c r="M105" s="374">
        <f t="shared" si="35"/>
        <v>0</v>
      </c>
      <c r="N105" s="374">
        <f t="shared" si="35"/>
        <v>0</v>
      </c>
      <c r="O105" s="374">
        <f t="shared" si="35"/>
        <v>0</v>
      </c>
      <c r="P105" s="373">
        <f t="shared" si="34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>
        <v>3</v>
      </c>
      <c r="E107" s="350">
        <v>3</v>
      </c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34"/>
        <v>0</v>
      </c>
    </row>
    <row r="108" spans="1:16" x14ac:dyDescent="0.3">
      <c r="A108" s="416" t="s">
        <v>196</v>
      </c>
      <c r="B108" s="417"/>
      <c r="C108" s="322" t="s">
        <v>3</v>
      </c>
      <c r="D108" s="350">
        <v>1</v>
      </c>
      <c r="E108" s="350">
        <v>1</v>
      </c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34"/>
        <v>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34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34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4</v>
      </c>
      <c r="E111" s="374">
        <f t="shared" ref="E111:O111" si="36">SUM(E107:E110)</f>
        <v>4</v>
      </c>
      <c r="F111" s="374">
        <f t="shared" si="36"/>
        <v>0</v>
      </c>
      <c r="G111" s="374">
        <f t="shared" si="36"/>
        <v>0</v>
      </c>
      <c r="H111" s="374">
        <f t="shared" si="36"/>
        <v>0</v>
      </c>
      <c r="I111" s="374">
        <f t="shared" si="36"/>
        <v>0</v>
      </c>
      <c r="J111" s="374">
        <f t="shared" si="36"/>
        <v>0</v>
      </c>
      <c r="K111" s="374">
        <f t="shared" si="36"/>
        <v>0</v>
      </c>
      <c r="L111" s="374">
        <f t="shared" si="36"/>
        <v>0</v>
      </c>
      <c r="M111" s="374">
        <f t="shared" si="36"/>
        <v>0</v>
      </c>
      <c r="N111" s="374">
        <f t="shared" si="36"/>
        <v>0</v>
      </c>
      <c r="O111" s="374">
        <f t="shared" si="36"/>
        <v>0</v>
      </c>
      <c r="P111" s="373">
        <f t="shared" si="34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815</v>
      </c>
      <c r="E113" s="375">
        <v>820</v>
      </c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34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26</v>
      </c>
      <c r="E114" s="375">
        <v>26</v>
      </c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34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9</v>
      </c>
      <c r="E115" s="375">
        <v>9</v>
      </c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34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1</v>
      </c>
      <c r="E116" s="375">
        <v>1</v>
      </c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34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851</v>
      </c>
      <c r="E117" s="374">
        <f t="shared" ref="E117:P117" si="37">SUM(E113:E116)</f>
        <v>856</v>
      </c>
      <c r="F117" s="374">
        <f t="shared" si="37"/>
        <v>0</v>
      </c>
      <c r="G117" s="374">
        <f t="shared" si="37"/>
        <v>0</v>
      </c>
      <c r="H117" s="374">
        <f t="shared" si="37"/>
        <v>0</v>
      </c>
      <c r="I117" s="374">
        <f t="shared" si="37"/>
        <v>0</v>
      </c>
      <c r="J117" s="374">
        <f t="shared" si="37"/>
        <v>0</v>
      </c>
      <c r="K117" s="374">
        <f t="shared" si="37"/>
        <v>0</v>
      </c>
      <c r="L117" s="374">
        <f t="shared" si="37"/>
        <v>0</v>
      </c>
      <c r="M117" s="374">
        <f t="shared" si="37"/>
        <v>0</v>
      </c>
      <c r="N117" s="374">
        <f t="shared" si="37"/>
        <v>0</v>
      </c>
      <c r="O117" s="374">
        <f t="shared" si="37"/>
        <v>0</v>
      </c>
      <c r="P117" s="324">
        <f t="shared" si="37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38">D111+D117</f>
        <v>855</v>
      </c>
      <c r="E118" s="374">
        <f t="shared" si="38"/>
        <v>860</v>
      </c>
      <c r="F118" s="374">
        <f t="shared" si="38"/>
        <v>0</v>
      </c>
      <c r="G118" s="374">
        <f t="shared" si="38"/>
        <v>0</v>
      </c>
      <c r="H118" s="374">
        <f t="shared" si="38"/>
        <v>0</v>
      </c>
      <c r="I118" s="374">
        <f t="shared" si="38"/>
        <v>0</v>
      </c>
      <c r="J118" s="374">
        <f t="shared" si="38"/>
        <v>0</v>
      </c>
      <c r="K118" s="374">
        <f t="shared" si="38"/>
        <v>0</v>
      </c>
      <c r="L118" s="374">
        <f t="shared" si="38"/>
        <v>0</v>
      </c>
      <c r="M118" s="374">
        <f t="shared" si="38"/>
        <v>0</v>
      </c>
      <c r="N118" s="374">
        <f t="shared" si="38"/>
        <v>0</v>
      </c>
      <c r="O118" s="374">
        <f t="shared" si="38"/>
        <v>0</v>
      </c>
      <c r="P118" s="374">
        <f t="shared" si="38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39">D105+D118</f>
        <v>1072</v>
      </c>
      <c r="E119" s="374">
        <f t="shared" si="39"/>
        <v>1077</v>
      </c>
      <c r="F119" s="374">
        <f t="shared" si="39"/>
        <v>0</v>
      </c>
      <c r="G119" s="374">
        <f t="shared" si="39"/>
        <v>0</v>
      </c>
      <c r="H119" s="374">
        <f t="shared" si="39"/>
        <v>0</v>
      </c>
      <c r="I119" s="374">
        <f t="shared" si="39"/>
        <v>0</v>
      </c>
      <c r="J119" s="374">
        <f t="shared" si="39"/>
        <v>0</v>
      </c>
      <c r="K119" s="374">
        <f t="shared" si="39"/>
        <v>0</v>
      </c>
      <c r="L119" s="374">
        <f t="shared" si="39"/>
        <v>0</v>
      </c>
      <c r="M119" s="374">
        <f t="shared" si="39"/>
        <v>0</v>
      </c>
      <c r="N119" s="374">
        <f t="shared" si="39"/>
        <v>0</v>
      </c>
      <c r="O119" s="374">
        <f t="shared" si="39"/>
        <v>0</v>
      </c>
      <c r="P119" s="374">
        <f t="shared" si="39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9323</v>
      </c>
      <c r="E121" s="378">
        <v>9338</v>
      </c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6426</v>
      </c>
      <c r="E122" s="378">
        <v>6451</v>
      </c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40">D122/D121</f>
        <v>0.68926311273195329</v>
      </c>
      <c r="E123" s="381">
        <f t="shared" si="40"/>
        <v>0.69083315485114583</v>
      </c>
      <c r="F123" s="381" t="e">
        <f t="shared" si="40"/>
        <v>#DIV/0!</v>
      </c>
      <c r="G123" s="381" t="e">
        <f t="shared" si="40"/>
        <v>#DIV/0!</v>
      </c>
      <c r="H123" s="381" t="e">
        <f t="shared" si="40"/>
        <v>#DIV/0!</v>
      </c>
      <c r="I123" s="381" t="e">
        <f t="shared" si="40"/>
        <v>#DIV/0!</v>
      </c>
      <c r="J123" s="381" t="e">
        <f t="shared" si="40"/>
        <v>#DIV/0!</v>
      </c>
      <c r="K123" s="381" t="e">
        <f t="shared" si="40"/>
        <v>#DIV/0!</v>
      </c>
      <c r="L123" s="381" t="e">
        <f t="shared" si="40"/>
        <v>#DIV/0!</v>
      </c>
      <c r="M123" s="381" t="e">
        <f t="shared" si="40"/>
        <v>#DIV/0!</v>
      </c>
      <c r="N123" s="381" t="e">
        <f t="shared" si="40"/>
        <v>#DIV/0!</v>
      </c>
      <c r="O123" s="381" t="e">
        <f t="shared" si="40"/>
        <v>#DIV/0!</v>
      </c>
      <c r="P123" s="523" t="e">
        <f t="shared" si="40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41">D125+D126-D127-D128</f>
        <v>0</v>
      </c>
      <c r="E129" s="354">
        <f t="shared" si="41"/>
        <v>0</v>
      </c>
      <c r="F129" s="354">
        <f t="shared" si="41"/>
        <v>0</v>
      </c>
      <c r="G129" s="354">
        <f t="shared" si="41"/>
        <v>0</v>
      </c>
      <c r="H129" s="354">
        <f t="shared" si="41"/>
        <v>0</v>
      </c>
      <c r="I129" s="354">
        <f t="shared" si="41"/>
        <v>0</v>
      </c>
      <c r="J129" s="354">
        <f t="shared" si="41"/>
        <v>0</v>
      </c>
      <c r="K129" s="354">
        <f t="shared" si="41"/>
        <v>0</v>
      </c>
      <c r="L129" s="354">
        <f t="shared" si="41"/>
        <v>0</v>
      </c>
      <c r="M129" s="354">
        <f t="shared" si="41"/>
        <v>0</v>
      </c>
      <c r="N129" s="354">
        <f t="shared" si="41"/>
        <v>0</v>
      </c>
      <c r="O129" s="354">
        <f t="shared" si="41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42">D130+D131-D132-D133</f>
        <v>0</v>
      </c>
      <c r="E134" s="354">
        <f t="shared" si="42"/>
        <v>0</v>
      </c>
      <c r="F134" s="354">
        <f t="shared" si="42"/>
        <v>0</v>
      </c>
      <c r="G134" s="354">
        <f t="shared" si="42"/>
        <v>0</v>
      </c>
      <c r="H134" s="354">
        <f t="shared" si="42"/>
        <v>0</v>
      </c>
      <c r="I134" s="354">
        <f t="shared" si="42"/>
        <v>0</v>
      </c>
      <c r="J134" s="354">
        <f t="shared" si="42"/>
        <v>0</v>
      </c>
      <c r="K134" s="354">
        <f t="shared" si="42"/>
        <v>0</v>
      </c>
      <c r="L134" s="354">
        <f t="shared" si="42"/>
        <v>0</v>
      </c>
      <c r="M134" s="354">
        <f t="shared" si="42"/>
        <v>0</v>
      </c>
      <c r="N134" s="354">
        <f t="shared" si="42"/>
        <v>0</v>
      </c>
      <c r="O134" s="354">
        <f t="shared" si="42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43">D135+D136-D137-D138</f>
        <v>0</v>
      </c>
      <c r="E139" s="354">
        <f t="shared" si="43"/>
        <v>0</v>
      </c>
      <c r="F139" s="354">
        <f t="shared" si="43"/>
        <v>0</v>
      </c>
      <c r="G139" s="354">
        <f t="shared" si="43"/>
        <v>0</v>
      </c>
      <c r="H139" s="354">
        <f t="shared" si="43"/>
        <v>0</v>
      </c>
      <c r="I139" s="354">
        <f t="shared" si="43"/>
        <v>0</v>
      </c>
      <c r="J139" s="354">
        <f t="shared" si="43"/>
        <v>0</v>
      </c>
      <c r="K139" s="354">
        <f t="shared" si="43"/>
        <v>0</v>
      </c>
      <c r="L139" s="354">
        <f t="shared" si="43"/>
        <v>0</v>
      </c>
      <c r="M139" s="354">
        <f t="shared" si="43"/>
        <v>0</v>
      </c>
      <c r="N139" s="354">
        <f t="shared" si="43"/>
        <v>0</v>
      </c>
      <c r="O139" s="354">
        <f t="shared" si="43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5</v>
      </c>
      <c r="E140" s="354">
        <v>3</v>
      </c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5</v>
      </c>
    </row>
    <row r="141" spans="1:16" x14ac:dyDescent="0.3">
      <c r="A141" s="425"/>
      <c r="B141" s="322" t="s">
        <v>84</v>
      </c>
      <c r="C141" s="322" t="s">
        <v>3</v>
      </c>
      <c r="D141" s="356">
        <v>6</v>
      </c>
      <c r="E141" s="356">
        <v>1</v>
      </c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7</v>
      </c>
    </row>
    <row r="142" spans="1:16" x14ac:dyDescent="0.3">
      <c r="A142" s="425"/>
      <c r="B142" s="322" t="s">
        <v>83</v>
      </c>
      <c r="C142" s="322" t="s">
        <v>3</v>
      </c>
      <c r="D142" s="356">
        <v>8</v>
      </c>
      <c r="E142" s="356">
        <v>3</v>
      </c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11</v>
      </c>
    </row>
    <row r="143" spans="1:16" x14ac:dyDescent="0.3">
      <c r="A143" s="425"/>
      <c r="B143" s="322" t="s">
        <v>82</v>
      </c>
      <c r="C143" s="322" t="s">
        <v>3</v>
      </c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0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44">D140+D141-D142-D143</f>
        <v>3</v>
      </c>
      <c r="E144" s="354">
        <f t="shared" si="44"/>
        <v>1</v>
      </c>
      <c r="F144" s="354">
        <f t="shared" si="44"/>
        <v>0</v>
      </c>
      <c r="G144" s="354">
        <f t="shared" si="44"/>
        <v>0</v>
      </c>
      <c r="H144" s="354">
        <f t="shared" si="44"/>
        <v>0</v>
      </c>
      <c r="I144" s="354">
        <f t="shared" si="44"/>
        <v>0</v>
      </c>
      <c r="J144" s="354">
        <f t="shared" si="44"/>
        <v>0</v>
      </c>
      <c r="K144" s="354">
        <f t="shared" si="44"/>
        <v>0</v>
      </c>
      <c r="L144" s="354">
        <f t="shared" si="44"/>
        <v>0</v>
      </c>
      <c r="M144" s="354">
        <f t="shared" si="44"/>
        <v>0</v>
      </c>
      <c r="N144" s="354">
        <f t="shared" si="44"/>
        <v>0</v>
      </c>
      <c r="O144" s="354">
        <f t="shared" si="44"/>
        <v>0</v>
      </c>
      <c r="P144" s="355">
        <f>P140+P141-P142-P143</f>
        <v>1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45">D125+D130+D135+D140</f>
        <v>5</v>
      </c>
      <c r="E145" s="359">
        <f t="shared" si="45"/>
        <v>3</v>
      </c>
      <c r="F145" s="359">
        <f t="shared" si="45"/>
        <v>0</v>
      </c>
      <c r="G145" s="359">
        <f t="shared" si="45"/>
        <v>0</v>
      </c>
      <c r="H145" s="359">
        <f t="shared" si="45"/>
        <v>0</v>
      </c>
      <c r="I145" s="359">
        <f t="shared" si="45"/>
        <v>0</v>
      </c>
      <c r="J145" s="359">
        <f t="shared" si="45"/>
        <v>0</v>
      </c>
      <c r="K145" s="359">
        <f t="shared" si="45"/>
        <v>0</v>
      </c>
      <c r="L145" s="359">
        <f t="shared" si="45"/>
        <v>0</v>
      </c>
      <c r="M145" s="359">
        <f t="shared" si="45"/>
        <v>0</v>
      </c>
      <c r="N145" s="359">
        <f t="shared" si="45"/>
        <v>0</v>
      </c>
      <c r="O145" s="359">
        <f t="shared" si="45"/>
        <v>0</v>
      </c>
      <c r="P145" s="384">
        <f t="shared" si="45"/>
        <v>5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45"/>
        <v>6</v>
      </c>
      <c r="E146" s="359">
        <f t="shared" si="45"/>
        <v>1</v>
      </c>
      <c r="F146" s="359">
        <f t="shared" si="45"/>
        <v>0</v>
      </c>
      <c r="G146" s="359">
        <f t="shared" si="45"/>
        <v>0</v>
      </c>
      <c r="H146" s="359">
        <f t="shared" si="45"/>
        <v>0</v>
      </c>
      <c r="I146" s="359">
        <f t="shared" si="45"/>
        <v>0</v>
      </c>
      <c r="J146" s="359">
        <f t="shared" si="45"/>
        <v>0</v>
      </c>
      <c r="K146" s="359">
        <f t="shared" si="45"/>
        <v>0</v>
      </c>
      <c r="L146" s="359">
        <f t="shared" si="45"/>
        <v>0</v>
      </c>
      <c r="M146" s="359">
        <f t="shared" si="45"/>
        <v>0</v>
      </c>
      <c r="N146" s="359">
        <f t="shared" si="45"/>
        <v>0</v>
      </c>
      <c r="O146" s="359">
        <f t="shared" si="45"/>
        <v>0</v>
      </c>
      <c r="P146" s="384">
        <f t="shared" si="45"/>
        <v>7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45"/>
        <v>8</v>
      </c>
      <c r="E147" s="359">
        <f t="shared" si="45"/>
        <v>3</v>
      </c>
      <c r="F147" s="359">
        <f t="shared" si="45"/>
        <v>0</v>
      </c>
      <c r="G147" s="359">
        <f t="shared" si="45"/>
        <v>0</v>
      </c>
      <c r="H147" s="359">
        <f t="shared" si="45"/>
        <v>0</v>
      </c>
      <c r="I147" s="359">
        <f t="shared" si="45"/>
        <v>0</v>
      </c>
      <c r="J147" s="359">
        <f t="shared" si="45"/>
        <v>0</v>
      </c>
      <c r="K147" s="359">
        <f t="shared" si="45"/>
        <v>0</v>
      </c>
      <c r="L147" s="359">
        <f t="shared" si="45"/>
        <v>0</v>
      </c>
      <c r="M147" s="359">
        <f t="shared" si="45"/>
        <v>0</v>
      </c>
      <c r="N147" s="359">
        <f t="shared" si="45"/>
        <v>0</v>
      </c>
      <c r="O147" s="359">
        <f t="shared" si="45"/>
        <v>0</v>
      </c>
      <c r="P147" s="384">
        <f t="shared" si="45"/>
        <v>11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45"/>
        <v>0</v>
      </c>
      <c r="E148" s="359">
        <f t="shared" si="45"/>
        <v>0</v>
      </c>
      <c r="F148" s="359">
        <f t="shared" si="45"/>
        <v>0</v>
      </c>
      <c r="G148" s="359">
        <f t="shared" si="45"/>
        <v>0</v>
      </c>
      <c r="H148" s="359">
        <f t="shared" si="45"/>
        <v>0</v>
      </c>
      <c r="I148" s="359">
        <f t="shared" si="45"/>
        <v>0</v>
      </c>
      <c r="J148" s="359">
        <f t="shared" si="45"/>
        <v>0</v>
      </c>
      <c r="K148" s="359">
        <f t="shared" si="45"/>
        <v>0</v>
      </c>
      <c r="L148" s="359">
        <f t="shared" si="45"/>
        <v>0</v>
      </c>
      <c r="M148" s="359">
        <f t="shared" si="45"/>
        <v>0</v>
      </c>
      <c r="N148" s="359">
        <f t="shared" si="45"/>
        <v>0</v>
      </c>
      <c r="O148" s="359">
        <f t="shared" si="45"/>
        <v>0</v>
      </c>
      <c r="P148" s="384">
        <f t="shared" si="45"/>
        <v>0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46">D145+D146-D147-D148</f>
        <v>3</v>
      </c>
      <c r="E149" s="354">
        <f t="shared" si="46"/>
        <v>1</v>
      </c>
      <c r="F149" s="354">
        <f t="shared" si="46"/>
        <v>0</v>
      </c>
      <c r="G149" s="354">
        <f t="shared" si="46"/>
        <v>0</v>
      </c>
      <c r="H149" s="354">
        <f t="shared" si="46"/>
        <v>0</v>
      </c>
      <c r="I149" s="354">
        <f t="shared" si="46"/>
        <v>0</v>
      </c>
      <c r="J149" s="354">
        <f t="shared" si="46"/>
        <v>0</v>
      </c>
      <c r="K149" s="354">
        <f t="shared" si="46"/>
        <v>0</v>
      </c>
      <c r="L149" s="354">
        <f t="shared" si="46"/>
        <v>0</v>
      </c>
      <c r="M149" s="354">
        <f t="shared" si="46"/>
        <v>0</v>
      </c>
      <c r="N149" s="354">
        <f t="shared" si="46"/>
        <v>0</v>
      </c>
      <c r="O149" s="354">
        <f t="shared" si="46"/>
        <v>0</v>
      </c>
      <c r="P149" s="384">
        <f t="shared" si="45"/>
        <v>1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23</v>
      </c>
      <c r="E153" s="350">
        <v>19</v>
      </c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47">SUM(D153:O153)</f>
        <v>42</v>
      </c>
    </row>
    <row r="154" spans="1:16" x14ac:dyDescent="0.3">
      <c r="A154" s="443"/>
      <c r="B154" s="20" t="s">
        <v>72</v>
      </c>
      <c r="C154" s="322" t="s">
        <v>57</v>
      </c>
      <c r="D154" s="350">
        <v>12</v>
      </c>
      <c r="E154" s="350">
        <v>9</v>
      </c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47"/>
        <v>21</v>
      </c>
    </row>
    <row r="155" spans="1:16" x14ac:dyDescent="0.3">
      <c r="A155" s="443"/>
      <c r="B155" s="20" t="s">
        <v>53</v>
      </c>
      <c r="C155" s="322" t="s">
        <v>57</v>
      </c>
      <c r="D155" s="350">
        <v>4</v>
      </c>
      <c r="E155" s="350">
        <v>4</v>
      </c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47"/>
        <v>8</v>
      </c>
    </row>
    <row r="156" spans="1:16" x14ac:dyDescent="0.3">
      <c r="A156" s="443"/>
      <c r="B156" s="20" t="s">
        <v>71</v>
      </c>
      <c r="C156" s="322" t="s">
        <v>57</v>
      </c>
      <c r="D156" s="350">
        <v>1</v>
      </c>
      <c r="E156" s="350">
        <v>2</v>
      </c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47"/>
        <v>3</v>
      </c>
    </row>
    <row r="157" spans="1:16" x14ac:dyDescent="0.3">
      <c r="A157" s="443"/>
      <c r="B157" s="20" t="s">
        <v>52</v>
      </c>
      <c r="C157" s="322" t="s">
        <v>57</v>
      </c>
      <c r="D157" s="350">
        <v>1</v>
      </c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47"/>
        <v>1</v>
      </c>
    </row>
    <row r="158" spans="1:16" x14ac:dyDescent="0.3">
      <c r="A158" s="443"/>
      <c r="B158" s="20" t="s">
        <v>51</v>
      </c>
      <c r="C158" s="322" t="s">
        <v>57</v>
      </c>
      <c r="D158" s="350">
        <v>1</v>
      </c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47"/>
        <v>1</v>
      </c>
    </row>
    <row r="159" spans="1:16" x14ac:dyDescent="0.3">
      <c r="A159" s="443"/>
      <c r="B159" s="20" t="s">
        <v>62</v>
      </c>
      <c r="C159" s="322" t="s">
        <v>57</v>
      </c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47"/>
        <v>0</v>
      </c>
    </row>
    <row r="160" spans="1:16" x14ac:dyDescent="0.3">
      <c r="A160" s="443"/>
      <c r="B160" s="20" t="s">
        <v>50</v>
      </c>
      <c r="C160" s="322" t="s">
        <v>57</v>
      </c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47"/>
        <v>0</v>
      </c>
    </row>
    <row r="161" spans="1:16" x14ac:dyDescent="0.3">
      <c r="A161" s="443"/>
      <c r="B161" s="20" t="s">
        <v>49</v>
      </c>
      <c r="C161" s="322" t="s">
        <v>57</v>
      </c>
      <c r="D161" s="350">
        <v>3</v>
      </c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47"/>
        <v>3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47"/>
        <v>0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47"/>
        <v>0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47"/>
        <v>0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47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48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48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48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48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48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48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48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48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48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49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49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49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49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49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49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45</v>
      </c>
      <c r="E193" s="389">
        <f t="shared" ref="E193:P193" si="50">SUM(E153:E192)</f>
        <v>34</v>
      </c>
      <c r="F193" s="389">
        <f t="shared" si="50"/>
        <v>0</v>
      </c>
      <c r="G193" s="389">
        <f t="shared" si="50"/>
        <v>0</v>
      </c>
      <c r="H193" s="389">
        <f t="shared" si="50"/>
        <v>0</v>
      </c>
      <c r="I193" s="389">
        <f t="shared" si="50"/>
        <v>0</v>
      </c>
      <c r="J193" s="389">
        <f t="shared" si="50"/>
        <v>0</v>
      </c>
      <c r="K193" s="389">
        <f t="shared" si="50"/>
        <v>0</v>
      </c>
      <c r="L193" s="389">
        <f t="shared" si="50"/>
        <v>0</v>
      </c>
      <c r="M193" s="389">
        <f t="shared" si="50"/>
        <v>0</v>
      </c>
      <c r="N193" s="389">
        <f t="shared" si="50"/>
        <v>0</v>
      </c>
      <c r="O193" s="389">
        <f t="shared" si="50"/>
        <v>0</v>
      </c>
      <c r="P193" s="351">
        <f t="shared" si="50"/>
        <v>79</v>
      </c>
    </row>
    <row r="194" spans="1:16" x14ac:dyDescent="0.3">
      <c r="A194" s="420" t="s">
        <v>58</v>
      </c>
      <c r="B194" s="445"/>
      <c r="C194" s="322" t="s">
        <v>57</v>
      </c>
      <c r="D194" s="350">
        <v>2</v>
      </c>
      <c r="E194" s="350">
        <v>2</v>
      </c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4</v>
      </c>
    </row>
    <row r="195" spans="1:16" x14ac:dyDescent="0.3">
      <c r="A195" s="422"/>
      <c r="B195" s="446"/>
      <c r="C195" s="390" t="s">
        <v>55</v>
      </c>
      <c r="D195" s="350">
        <v>576</v>
      </c>
      <c r="E195" s="350">
        <v>576</v>
      </c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1152</v>
      </c>
    </row>
    <row r="196" spans="1:16" x14ac:dyDescent="0.3">
      <c r="A196" s="391" t="s">
        <v>204</v>
      </c>
      <c r="B196" s="392"/>
      <c r="C196" s="390" t="s">
        <v>55</v>
      </c>
      <c r="D196" s="350"/>
      <c r="E196" s="350">
        <v>15</v>
      </c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1.25</v>
      </c>
    </row>
    <row r="197" spans="1:16" x14ac:dyDescent="0.3">
      <c r="A197" s="416" t="s">
        <v>56</v>
      </c>
      <c r="B197" s="417"/>
      <c r="C197" s="390" t="s">
        <v>55</v>
      </c>
      <c r="D197" s="350">
        <v>144</v>
      </c>
      <c r="E197" s="350">
        <v>168</v>
      </c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312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51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51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51"/>
        <v>0</v>
      </c>
    </row>
    <row r="202" spans="1:16" x14ac:dyDescent="0.3">
      <c r="A202" s="421"/>
      <c r="B202" s="331" t="s">
        <v>50</v>
      </c>
      <c r="C202" s="322" t="s">
        <v>47</v>
      </c>
      <c r="D202" s="350">
        <v>150</v>
      </c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51"/>
        <v>150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51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52">SUM(D199:D203)</f>
        <v>150</v>
      </c>
      <c r="E204" s="345">
        <f t="shared" si="52"/>
        <v>0</v>
      </c>
      <c r="F204" s="345">
        <f t="shared" si="52"/>
        <v>0</v>
      </c>
      <c r="G204" s="345">
        <f t="shared" si="52"/>
        <v>0</v>
      </c>
      <c r="H204" s="345">
        <f t="shared" si="52"/>
        <v>0</v>
      </c>
      <c r="I204" s="345">
        <f t="shared" si="52"/>
        <v>0</v>
      </c>
      <c r="J204" s="345">
        <f t="shared" si="52"/>
        <v>0</v>
      </c>
      <c r="K204" s="345">
        <f t="shared" si="52"/>
        <v>0</v>
      </c>
      <c r="L204" s="345">
        <f t="shared" si="52"/>
        <v>0</v>
      </c>
      <c r="M204" s="345">
        <f t="shared" si="52"/>
        <v>0</v>
      </c>
      <c r="N204" s="345">
        <f t="shared" si="52"/>
        <v>0</v>
      </c>
      <c r="O204" s="345">
        <f t="shared" si="52"/>
        <v>0</v>
      </c>
      <c r="P204" s="394">
        <f t="shared" si="51"/>
        <v>150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0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53">SUM(D206:D209)</f>
        <v>0</v>
      </c>
      <c r="E210" s="389">
        <f t="shared" si="53"/>
        <v>0</v>
      </c>
      <c r="F210" s="389">
        <f t="shared" si="53"/>
        <v>0</v>
      </c>
      <c r="G210" s="389">
        <f t="shared" si="53"/>
        <v>0</v>
      </c>
      <c r="H210" s="389">
        <f t="shared" si="53"/>
        <v>0</v>
      </c>
      <c r="I210" s="389">
        <f t="shared" si="53"/>
        <v>0</v>
      </c>
      <c r="J210" s="389">
        <f t="shared" si="53"/>
        <v>0</v>
      </c>
      <c r="K210" s="389">
        <f t="shared" si="53"/>
        <v>0</v>
      </c>
      <c r="L210" s="389">
        <f t="shared" si="53"/>
        <v>0</v>
      </c>
      <c r="M210" s="389">
        <f t="shared" si="53"/>
        <v>0</v>
      </c>
      <c r="N210" s="389">
        <f t="shared" si="53"/>
        <v>0</v>
      </c>
      <c r="O210" s="389">
        <f t="shared" si="53"/>
        <v>0</v>
      </c>
      <c r="P210" s="348">
        <f>SUM(D210:O210)</f>
        <v>0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4154523</v>
      </c>
      <c r="E212" s="346">
        <v>6238900</v>
      </c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10393423</v>
      </c>
    </row>
    <row r="213" spans="1:16" x14ac:dyDescent="0.3">
      <c r="A213" s="416" t="s">
        <v>42</v>
      </c>
      <c r="B213" s="417"/>
      <c r="C213" s="322" t="s">
        <v>31</v>
      </c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0</v>
      </c>
    </row>
    <row r="214" spans="1:16" x14ac:dyDescent="0.3">
      <c r="A214" s="423" t="s">
        <v>41</v>
      </c>
      <c r="B214" s="424"/>
      <c r="C214" s="322" t="s">
        <v>31</v>
      </c>
      <c r="D214" s="346">
        <v>54200</v>
      </c>
      <c r="E214" s="346">
        <v>77700</v>
      </c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131900</v>
      </c>
    </row>
    <row r="215" spans="1:16" x14ac:dyDescent="0.3">
      <c r="A215" s="416" t="s">
        <v>40</v>
      </c>
      <c r="B215" s="417"/>
      <c r="C215" s="322" t="s">
        <v>31</v>
      </c>
      <c r="D215" s="346">
        <v>1763500</v>
      </c>
      <c r="E215" s="346">
        <v>527700</v>
      </c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2291200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54">SUM(D212:D215)</f>
        <v>5972223</v>
      </c>
      <c r="E216" s="389">
        <f t="shared" si="54"/>
        <v>6844300</v>
      </c>
      <c r="F216" s="389">
        <f t="shared" si="54"/>
        <v>0</v>
      </c>
      <c r="G216" s="389">
        <f t="shared" si="54"/>
        <v>0</v>
      </c>
      <c r="H216" s="389">
        <f t="shared" si="54"/>
        <v>0</v>
      </c>
      <c r="I216" s="389">
        <f t="shared" si="54"/>
        <v>0</v>
      </c>
      <c r="J216" s="389">
        <f t="shared" si="54"/>
        <v>0</v>
      </c>
      <c r="K216" s="389">
        <f t="shared" si="54"/>
        <v>0</v>
      </c>
      <c r="L216" s="389">
        <f t="shared" si="54"/>
        <v>0</v>
      </c>
      <c r="M216" s="389">
        <f t="shared" si="54"/>
        <v>0</v>
      </c>
      <c r="N216" s="389">
        <f t="shared" si="54"/>
        <v>0</v>
      </c>
      <c r="O216" s="389">
        <f t="shared" si="54"/>
        <v>0</v>
      </c>
      <c r="P216" s="348">
        <f>SUM(D216:O216)</f>
        <v>12816523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5972223</v>
      </c>
      <c r="E217" s="389">
        <f t="shared" ref="E217:P217" si="55">E210+E216</f>
        <v>6844300</v>
      </c>
      <c r="F217" s="389">
        <f t="shared" si="55"/>
        <v>0</v>
      </c>
      <c r="G217" s="389">
        <f t="shared" si="55"/>
        <v>0</v>
      </c>
      <c r="H217" s="389">
        <f t="shared" si="55"/>
        <v>0</v>
      </c>
      <c r="I217" s="389">
        <f t="shared" si="55"/>
        <v>0</v>
      </c>
      <c r="J217" s="389">
        <f t="shared" si="55"/>
        <v>0</v>
      </c>
      <c r="K217" s="389">
        <f t="shared" si="55"/>
        <v>0</v>
      </c>
      <c r="L217" s="389">
        <f t="shared" si="55"/>
        <v>0</v>
      </c>
      <c r="M217" s="389">
        <f t="shared" si="55"/>
        <v>0</v>
      </c>
      <c r="N217" s="389">
        <f t="shared" si="55"/>
        <v>0</v>
      </c>
      <c r="O217" s="389">
        <f t="shared" si="55"/>
        <v>0</v>
      </c>
      <c r="P217" s="351">
        <f t="shared" si="55"/>
        <v>12816523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10020.780000000001</v>
      </c>
      <c r="E219" s="346">
        <v>17128.740000000002</v>
      </c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27149.520000000004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8410.99</v>
      </c>
      <c r="E221" s="346">
        <v>8410.99</v>
      </c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16821.98</v>
      </c>
    </row>
    <row r="222" spans="1:16" x14ac:dyDescent="0.3">
      <c r="A222" s="416" t="s">
        <v>32</v>
      </c>
      <c r="B222" s="417"/>
      <c r="C222" s="322" t="s">
        <v>31</v>
      </c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0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56">SUM(D219:D222)</f>
        <v>18431.77</v>
      </c>
      <c r="E223" s="397">
        <f t="shared" si="56"/>
        <v>25539.730000000003</v>
      </c>
      <c r="F223" s="397">
        <f t="shared" si="56"/>
        <v>0</v>
      </c>
      <c r="G223" s="397">
        <f t="shared" si="56"/>
        <v>0</v>
      </c>
      <c r="H223" s="397">
        <f t="shared" si="56"/>
        <v>0</v>
      </c>
      <c r="I223" s="397">
        <f t="shared" si="56"/>
        <v>0</v>
      </c>
      <c r="J223" s="397">
        <f t="shared" si="56"/>
        <v>0</v>
      </c>
      <c r="K223" s="397">
        <f t="shared" si="56"/>
        <v>0</v>
      </c>
      <c r="L223" s="397">
        <f t="shared" si="56"/>
        <v>0</v>
      </c>
      <c r="M223" s="397">
        <f t="shared" si="56"/>
        <v>0</v>
      </c>
      <c r="N223" s="397">
        <f t="shared" si="56"/>
        <v>0</v>
      </c>
      <c r="O223" s="397">
        <f t="shared" si="56"/>
        <v>0</v>
      </c>
      <c r="P223" s="348">
        <f>SUM(D223:O223)</f>
        <v>43971.5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3376459.9000000004</v>
      </c>
      <c r="E225" s="346">
        <v>5164867.0200000005</v>
      </c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57">SUM(D225:O225)</f>
        <v>8541326.9200000018</v>
      </c>
    </row>
    <row r="226" spans="1:16" x14ac:dyDescent="0.3">
      <c r="A226" s="416" t="s">
        <v>34</v>
      </c>
      <c r="B226" s="417"/>
      <c r="C226" s="322" t="s">
        <v>31</v>
      </c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57"/>
        <v>0</v>
      </c>
    </row>
    <row r="227" spans="1:16" x14ac:dyDescent="0.3">
      <c r="A227" s="416" t="s">
        <v>33</v>
      </c>
      <c r="B227" s="417"/>
      <c r="C227" s="322" t="s">
        <v>31</v>
      </c>
      <c r="D227" s="346">
        <v>1763500</v>
      </c>
      <c r="E227" s="346">
        <v>527700</v>
      </c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57"/>
        <v>2291200</v>
      </c>
    </row>
    <row r="228" spans="1:16" x14ac:dyDescent="0.3">
      <c r="A228" s="416" t="s">
        <v>32</v>
      </c>
      <c r="B228" s="417"/>
      <c r="C228" s="322" t="s">
        <v>31</v>
      </c>
      <c r="D228" s="346">
        <v>54200</v>
      </c>
      <c r="E228" s="346">
        <v>77700</v>
      </c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57"/>
        <v>131900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58">SUM(D225:D228)</f>
        <v>5194159.9000000004</v>
      </c>
      <c r="E229" s="397">
        <f t="shared" si="58"/>
        <v>5770267.0200000005</v>
      </c>
      <c r="F229" s="397">
        <f t="shared" si="58"/>
        <v>0</v>
      </c>
      <c r="G229" s="397">
        <f t="shared" si="58"/>
        <v>0</v>
      </c>
      <c r="H229" s="397">
        <f t="shared" si="58"/>
        <v>0</v>
      </c>
      <c r="I229" s="397">
        <f t="shared" si="58"/>
        <v>0</v>
      </c>
      <c r="J229" s="397">
        <f t="shared" si="58"/>
        <v>0</v>
      </c>
      <c r="K229" s="397">
        <f t="shared" si="58"/>
        <v>0</v>
      </c>
      <c r="L229" s="397">
        <f t="shared" si="58"/>
        <v>0</v>
      </c>
      <c r="M229" s="397">
        <f t="shared" si="58"/>
        <v>0</v>
      </c>
      <c r="N229" s="397">
        <f t="shared" si="58"/>
        <v>0</v>
      </c>
      <c r="O229" s="397">
        <f t="shared" si="58"/>
        <v>0</v>
      </c>
      <c r="P229" s="348">
        <f t="shared" si="57"/>
        <v>10964426.920000002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5212591.67</v>
      </c>
      <c r="E230" s="397">
        <f t="shared" ref="E230:O230" si="59">E223+E229</f>
        <v>5795806.7500000009</v>
      </c>
      <c r="F230" s="397">
        <f t="shared" si="59"/>
        <v>0</v>
      </c>
      <c r="G230" s="397">
        <f t="shared" si="59"/>
        <v>0</v>
      </c>
      <c r="H230" s="397">
        <f t="shared" si="59"/>
        <v>0</v>
      </c>
      <c r="I230" s="397">
        <f t="shared" si="59"/>
        <v>0</v>
      </c>
      <c r="J230" s="397">
        <f t="shared" si="59"/>
        <v>0</v>
      </c>
      <c r="K230" s="397">
        <f t="shared" si="59"/>
        <v>0</v>
      </c>
      <c r="L230" s="397">
        <f t="shared" si="59"/>
        <v>0</v>
      </c>
      <c r="M230" s="397">
        <f t="shared" si="59"/>
        <v>0</v>
      </c>
      <c r="N230" s="397">
        <f t="shared" si="59"/>
        <v>0</v>
      </c>
      <c r="O230" s="397">
        <f t="shared" si="59"/>
        <v>0</v>
      </c>
      <c r="P230" s="348">
        <f t="shared" si="57"/>
        <v>11008398.420000002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1860</v>
      </c>
      <c r="E232" s="346">
        <v>1860</v>
      </c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3720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3393.64</v>
      </c>
      <c r="E234" s="346">
        <v>3393.64</v>
      </c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6787.28</v>
      </c>
    </row>
    <row r="235" spans="1:16" x14ac:dyDescent="0.3">
      <c r="A235" s="416" t="s">
        <v>26</v>
      </c>
      <c r="B235" s="417"/>
      <c r="C235" s="322" t="s">
        <v>18</v>
      </c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0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60">SUM(D232:D235)</f>
        <v>5253.6399999999994</v>
      </c>
      <c r="E236" s="397">
        <f t="shared" si="60"/>
        <v>5253.6399999999994</v>
      </c>
      <c r="F236" s="397">
        <f t="shared" si="60"/>
        <v>0</v>
      </c>
      <c r="G236" s="397">
        <f t="shared" si="60"/>
        <v>0</v>
      </c>
      <c r="H236" s="397">
        <f t="shared" si="60"/>
        <v>0</v>
      </c>
      <c r="I236" s="397">
        <f t="shared" si="60"/>
        <v>0</v>
      </c>
      <c r="J236" s="397">
        <f t="shared" si="60"/>
        <v>0</v>
      </c>
      <c r="K236" s="397">
        <f t="shared" si="60"/>
        <v>0</v>
      </c>
      <c r="L236" s="397">
        <f t="shared" si="60"/>
        <v>0</v>
      </c>
      <c r="M236" s="397">
        <f t="shared" si="60"/>
        <v>0</v>
      </c>
      <c r="N236" s="397">
        <f t="shared" si="60"/>
        <v>0</v>
      </c>
      <c r="O236" s="397">
        <f t="shared" si="60"/>
        <v>0</v>
      </c>
      <c r="P236" s="351">
        <f t="shared" si="60"/>
        <v>10507.279999999999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2679</v>
      </c>
      <c r="E238" s="345">
        <v>2679</v>
      </c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5358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893</v>
      </c>
      <c r="E240" s="345">
        <v>893</v>
      </c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1786</v>
      </c>
    </row>
    <row r="241" spans="1:16" x14ac:dyDescent="0.3">
      <c r="A241" s="416" t="s">
        <v>20</v>
      </c>
      <c r="B241" s="417"/>
      <c r="C241" s="322" t="s">
        <v>18</v>
      </c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0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61">SUM(D238:D241)</f>
        <v>3572</v>
      </c>
      <c r="E242" s="397">
        <f t="shared" si="61"/>
        <v>3572</v>
      </c>
      <c r="F242" s="397">
        <f t="shared" si="61"/>
        <v>0</v>
      </c>
      <c r="G242" s="397">
        <f t="shared" si="61"/>
        <v>0</v>
      </c>
      <c r="H242" s="397">
        <f t="shared" si="61"/>
        <v>0</v>
      </c>
      <c r="I242" s="397">
        <f t="shared" si="61"/>
        <v>0</v>
      </c>
      <c r="J242" s="397">
        <f t="shared" si="61"/>
        <v>0</v>
      </c>
      <c r="K242" s="397">
        <f t="shared" si="61"/>
        <v>0</v>
      </c>
      <c r="L242" s="397">
        <f t="shared" si="61"/>
        <v>0</v>
      </c>
      <c r="M242" s="397">
        <f t="shared" si="61"/>
        <v>0</v>
      </c>
      <c r="N242" s="397">
        <f t="shared" si="61"/>
        <v>0</v>
      </c>
      <c r="O242" s="397">
        <f t="shared" si="61"/>
        <v>0</v>
      </c>
      <c r="P242" s="351">
        <f t="shared" si="61"/>
        <v>7144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5221417.3099999996</v>
      </c>
      <c r="E243" s="389">
        <f t="shared" ref="E243:O243" si="62">E230+E236+E242</f>
        <v>5804632.3900000006</v>
      </c>
      <c r="F243" s="389">
        <f t="shared" si="62"/>
        <v>0</v>
      </c>
      <c r="G243" s="389">
        <f t="shared" si="62"/>
        <v>0</v>
      </c>
      <c r="H243" s="389">
        <f t="shared" si="62"/>
        <v>0</v>
      </c>
      <c r="I243" s="389">
        <f t="shared" si="62"/>
        <v>0</v>
      </c>
      <c r="J243" s="389">
        <f t="shared" si="62"/>
        <v>0</v>
      </c>
      <c r="K243" s="389">
        <f t="shared" si="62"/>
        <v>0</v>
      </c>
      <c r="L243" s="389">
        <f t="shared" si="62"/>
        <v>0</v>
      </c>
      <c r="M243" s="389">
        <f t="shared" si="62"/>
        <v>0</v>
      </c>
      <c r="N243" s="389">
        <f t="shared" si="62"/>
        <v>0</v>
      </c>
      <c r="O243" s="389">
        <f t="shared" si="62"/>
        <v>0</v>
      </c>
      <c r="P243" s="351">
        <f t="shared" ref="P243" si="63">P216+P223+P236+P242</f>
        <v>12878145.779999999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-2823470.9899999644</v>
      </c>
      <c r="E245" s="399">
        <v>-2825361.8199999691</v>
      </c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55760805.510000005</v>
      </c>
      <c r="E246" s="399">
        <v>55472819.860000007</v>
      </c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52937334.520000041</v>
      </c>
      <c r="E247" s="401">
        <f t="shared" ref="E247:P247" si="64">E245+E246</f>
        <v>52647458.040000036</v>
      </c>
      <c r="F247" s="401">
        <f t="shared" si="64"/>
        <v>0</v>
      </c>
      <c r="G247" s="401">
        <f t="shared" si="64"/>
        <v>0</v>
      </c>
      <c r="H247" s="401">
        <f t="shared" si="64"/>
        <v>0</v>
      </c>
      <c r="I247" s="401">
        <f t="shared" si="64"/>
        <v>0</v>
      </c>
      <c r="J247" s="401">
        <f t="shared" si="64"/>
        <v>0</v>
      </c>
      <c r="K247" s="401">
        <f t="shared" si="64"/>
        <v>0</v>
      </c>
      <c r="L247" s="401">
        <f t="shared" si="64"/>
        <v>0</v>
      </c>
      <c r="M247" s="401">
        <f t="shared" si="64"/>
        <v>0</v>
      </c>
      <c r="N247" s="401">
        <f t="shared" si="64"/>
        <v>0</v>
      </c>
      <c r="O247" s="401">
        <f t="shared" si="64"/>
        <v>0</v>
      </c>
      <c r="P247" s="400">
        <f t="shared" si="64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1.1755346394636288</v>
      </c>
      <c r="E249" s="402">
        <f t="shared" ref="E249:O249" si="65">E58/E243</f>
        <v>1.0930326769582042</v>
      </c>
      <c r="F249" s="402" t="e">
        <f t="shared" si="65"/>
        <v>#DIV/0!</v>
      </c>
      <c r="G249" s="402" t="e">
        <f t="shared" si="65"/>
        <v>#DIV/0!</v>
      </c>
      <c r="H249" s="402" t="e">
        <f t="shared" si="65"/>
        <v>#DIV/0!</v>
      </c>
      <c r="I249" s="402" t="e">
        <f t="shared" si="65"/>
        <v>#DIV/0!</v>
      </c>
      <c r="J249" s="402" t="e">
        <f t="shared" si="65"/>
        <v>#DIV/0!</v>
      </c>
      <c r="K249" s="402" t="e">
        <f t="shared" si="65"/>
        <v>#DIV/0!</v>
      </c>
      <c r="L249" s="402" t="e">
        <f t="shared" si="65"/>
        <v>#DIV/0!</v>
      </c>
      <c r="M249" s="402" t="e">
        <f t="shared" si="65"/>
        <v>#DIV/0!</v>
      </c>
      <c r="N249" s="402" t="e">
        <f t="shared" si="65"/>
        <v>#DIV/0!</v>
      </c>
      <c r="O249" s="402" t="e">
        <f t="shared" si="65"/>
        <v>#DIV/0!</v>
      </c>
      <c r="P249" s="524">
        <f t="shared" ref="P249" si="66">P58/P243%</f>
        <v>98.430317621392845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</v>
      </c>
      <c r="E250" s="381">
        <f t="shared" ref="E250:O250" si="67">E210/(E223+E245)</f>
        <v>0</v>
      </c>
      <c r="F250" s="381" t="e">
        <f t="shared" si="67"/>
        <v>#DIV/0!</v>
      </c>
      <c r="G250" s="381" t="e">
        <f t="shared" si="67"/>
        <v>#DIV/0!</v>
      </c>
      <c r="H250" s="381" t="e">
        <f t="shared" si="67"/>
        <v>#DIV/0!</v>
      </c>
      <c r="I250" s="381" t="e">
        <f t="shared" si="67"/>
        <v>#DIV/0!</v>
      </c>
      <c r="J250" s="381" t="e">
        <f t="shared" si="67"/>
        <v>#DIV/0!</v>
      </c>
      <c r="K250" s="381" t="e">
        <f t="shared" si="67"/>
        <v>#DIV/0!</v>
      </c>
      <c r="L250" s="381" t="e">
        <f t="shared" si="67"/>
        <v>#DIV/0!</v>
      </c>
      <c r="M250" s="381" t="e">
        <f t="shared" si="67"/>
        <v>#DIV/0!</v>
      </c>
      <c r="N250" s="381" t="e">
        <f t="shared" si="67"/>
        <v>#DIV/0!</v>
      </c>
      <c r="O250" s="381" t="e">
        <f t="shared" si="67"/>
        <v>#DIV/0!</v>
      </c>
      <c r="P250" s="523">
        <f t="shared" ref="P250" si="68">P210/(P223+P245)%</f>
        <v>0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</v>
      </c>
      <c r="E251" s="403">
        <f t="shared" ref="E251:O251" si="69">E210/E223</f>
        <v>0</v>
      </c>
      <c r="F251" s="403" t="e">
        <f t="shared" si="69"/>
        <v>#DIV/0!</v>
      </c>
      <c r="G251" s="403" t="e">
        <f t="shared" si="69"/>
        <v>#DIV/0!</v>
      </c>
      <c r="H251" s="403" t="e">
        <f t="shared" si="69"/>
        <v>#DIV/0!</v>
      </c>
      <c r="I251" s="403" t="e">
        <f t="shared" si="69"/>
        <v>#DIV/0!</v>
      </c>
      <c r="J251" s="403" t="e">
        <f t="shared" si="69"/>
        <v>#DIV/0!</v>
      </c>
      <c r="K251" s="403" t="e">
        <f t="shared" si="69"/>
        <v>#DIV/0!</v>
      </c>
      <c r="L251" s="403" t="e">
        <f t="shared" si="69"/>
        <v>#DIV/0!</v>
      </c>
      <c r="M251" s="403" t="e">
        <f t="shared" si="69"/>
        <v>#DIV/0!</v>
      </c>
      <c r="N251" s="403" t="e">
        <f t="shared" si="69"/>
        <v>#DIV/0!</v>
      </c>
      <c r="O251" s="403" t="e">
        <f t="shared" si="69"/>
        <v>#DIV/0!</v>
      </c>
      <c r="P251" s="525">
        <f t="shared" ref="P251" si="70">P210/P223%</f>
        <v>0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4</v>
      </c>
      <c r="E253" s="350">
        <v>84</v>
      </c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88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1</v>
      </c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2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71">D95</f>
        <v>76</v>
      </c>
      <c r="E255" s="350">
        <f t="shared" si="71"/>
        <v>84</v>
      </c>
      <c r="F255" s="350">
        <f t="shared" si="71"/>
        <v>0</v>
      </c>
      <c r="G255" s="350">
        <f t="shared" si="71"/>
        <v>0</v>
      </c>
      <c r="H255" s="350">
        <f t="shared" si="71"/>
        <v>0</v>
      </c>
      <c r="I255" s="350">
        <f t="shared" si="71"/>
        <v>0</v>
      </c>
      <c r="J255" s="350">
        <f t="shared" si="71"/>
        <v>0</v>
      </c>
      <c r="K255" s="350">
        <f t="shared" si="71"/>
        <v>0</v>
      </c>
      <c r="L255" s="350">
        <f t="shared" si="71"/>
        <v>0</v>
      </c>
      <c r="M255" s="350">
        <f t="shared" si="71"/>
        <v>0</v>
      </c>
      <c r="N255" s="350">
        <f t="shared" si="71"/>
        <v>0</v>
      </c>
      <c r="O255" s="350">
        <f t="shared" si="71"/>
        <v>0</v>
      </c>
      <c r="P255" s="526">
        <f>SUM(D255:O255)</f>
        <v>160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72">D91</f>
        <v>4</v>
      </c>
      <c r="E256" s="350">
        <f t="shared" si="72"/>
        <v>13</v>
      </c>
      <c r="F256" s="350">
        <f t="shared" si="72"/>
        <v>0</v>
      </c>
      <c r="G256" s="350">
        <f t="shared" si="72"/>
        <v>0</v>
      </c>
      <c r="H256" s="350">
        <f t="shared" si="72"/>
        <v>0</v>
      </c>
      <c r="I256" s="350">
        <f t="shared" si="72"/>
        <v>0</v>
      </c>
      <c r="J256" s="350">
        <f t="shared" si="72"/>
        <v>0</v>
      </c>
      <c r="K256" s="350">
        <f t="shared" si="72"/>
        <v>0</v>
      </c>
      <c r="L256" s="350">
        <f t="shared" si="72"/>
        <v>0</v>
      </c>
      <c r="M256" s="350">
        <f t="shared" si="72"/>
        <v>0</v>
      </c>
      <c r="N256" s="350">
        <f t="shared" si="72"/>
        <v>0</v>
      </c>
      <c r="O256" s="350">
        <f t="shared" si="72"/>
        <v>0</v>
      </c>
      <c r="P256" s="526">
        <f>SUM(D256:O256)</f>
        <v>17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4</v>
      </c>
      <c r="E257" s="350">
        <v>84</v>
      </c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88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73">D257/D256</f>
        <v>1</v>
      </c>
      <c r="E258" s="345">
        <f t="shared" si="73"/>
        <v>6.4615384615384617</v>
      </c>
      <c r="F258" s="345" t="e">
        <f t="shared" si="73"/>
        <v>#DIV/0!</v>
      </c>
      <c r="G258" s="345" t="e">
        <f t="shared" si="73"/>
        <v>#DIV/0!</v>
      </c>
      <c r="H258" s="345" t="e">
        <f t="shared" si="73"/>
        <v>#DIV/0!</v>
      </c>
      <c r="I258" s="345" t="e">
        <f t="shared" si="73"/>
        <v>#DIV/0!</v>
      </c>
      <c r="J258" s="345" t="e">
        <f t="shared" si="73"/>
        <v>#DIV/0!</v>
      </c>
      <c r="K258" s="345" t="e">
        <f t="shared" si="73"/>
        <v>#DIV/0!</v>
      </c>
      <c r="L258" s="345" t="e">
        <f t="shared" si="73"/>
        <v>#DIV/0!</v>
      </c>
      <c r="M258" s="345" t="e">
        <f t="shared" si="73"/>
        <v>#DIV/0!</v>
      </c>
      <c r="N258" s="345" t="e">
        <f t="shared" si="73"/>
        <v>#DIV/0!</v>
      </c>
      <c r="O258" s="345" t="e">
        <f t="shared" si="73"/>
        <v>#DIV/0!</v>
      </c>
      <c r="P258" s="526">
        <f t="shared" si="73"/>
        <v>5.1764705882352944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74">D92/D255*100</f>
        <v>0</v>
      </c>
      <c r="E259" s="404">
        <f t="shared" si="74"/>
        <v>0</v>
      </c>
      <c r="F259" s="404" t="e">
        <f t="shared" si="74"/>
        <v>#DIV/0!</v>
      </c>
      <c r="G259" s="404" t="e">
        <f t="shared" si="74"/>
        <v>#DIV/0!</v>
      </c>
      <c r="H259" s="404" t="e">
        <f t="shared" si="74"/>
        <v>#DIV/0!</v>
      </c>
      <c r="I259" s="404" t="e">
        <f t="shared" si="74"/>
        <v>#DIV/0!</v>
      </c>
      <c r="J259" s="404" t="e">
        <f t="shared" si="74"/>
        <v>#DIV/0!</v>
      </c>
      <c r="K259" s="404" t="e">
        <f t="shared" si="74"/>
        <v>#DIV/0!</v>
      </c>
      <c r="L259" s="404" t="e">
        <f t="shared" si="74"/>
        <v>#DIV/0!</v>
      </c>
      <c r="M259" s="404" t="e">
        <f t="shared" si="74"/>
        <v>#DIV/0!</v>
      </c>
      <c r="N259" s="404" t="e">
        <f t="shared" si="74"/>
        <v>#DIV/0!</v>
      </c>
      <c r="O259" s="404" t="e">
        <f t="shared" si="74"/>
        <v>#DIV/0!</v>
      </c>
      <c r="P259" s="527">
        <f t="shared" si="74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41</v>
      </c>
      <c r="E261" s="350">
        <v>48</v>
      </c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89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36</v>
      </c>
      <c r="E262" s="350">
        <v>3</v>
      </c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39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1.1388888888888888</v>
      </c>
      <c r="E263" s="406">
        <f t="shared" ref="E263:P263" si="75">E261/E262</f>
        <v>16</v>
      </c>
      <c r="F263" s="406" t="e">
        <f t="shared" si="75"/>
        <v>#DIV/0!</v>
      </c>
      <c r="G263" s="406" t="e">
        <f t="shared" si="75"/>
        <v>#DIV/0!</v>
      </c>
      <c r="H263" s="406" t="e">
        <f t="shared" si="75"/>
        <v>#DIV/0!</v>
      </c>
      <c r="I263" s="406" t="e">
        <f t="shared" si="75"/>
        <v>#DIV/0!</v>
      </c>
      <c r="J263" s="406" t="e">
        <f t="shared" si="75"/>
        <v>#DIV/0!</v>
      </c>
      <c r="K263" s="406" t="e">
        <f t="shared" si="75"/>
        <v>#DIV/0!</v>
      </c>
      <c r="L263" s="406" t="e">
        <f t="shared" si="75"/>
        <v>#DIV/0!</v>
      </c>
      <c r="M263" s="406" t="e">
        <f t="shared" si="75"/>
        <v>#DIV/0!</v>
      </c>
      <c r="N263" s="406" t="e">
        <f t="shared" si="75"/>
        <v>#DIV/0!</v>
      </c>
      <c r="O263" s="406" t="e">
        <f t="shared" si="75"/>
        <v>#DIV/0!</v>
      </c>
      <c r="P263" s="477">
        <f t="shared" si="75"/>
        <v>2.2820512820512819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3"/>
  <sheetViews>
    <sheetView topLeftCell="A238" workbookViewId="0">
      <pane xSplit="2" topLeftCell="C1" activePane="topRight" state="frozen"/>
      <selection pane="topRight" activeCell="E243" sqref="E243"/>
    </sheetView>
  </sheetViews>
  <sheetFormatPr defaultRowHeight="15.6" x14ac:dyDescent="0.3"/>
  <cols>
    <col min="1" max="1" width="39" style="319" customWidth="1"/>
    <col min="2" max="2" width="16.88671875" style="319" customWidth="1"/>
    <col min="3" max="3" width="12.5546875" style="319" customWidth="1"/>
    <col min="4" max="4" width="20.109375" style="319" bestFit="1" customWidth="1"/>
    <col min="5" max="9" width="19.88671875" style="319" bestFit="1" customWidth="1"/>
    <col min="10" max="10" width="19.109375" style="319" customWidth="1"/>
    <col min="11" max="11" width="23.109375" style="319" customWidth="1"/>
    <col min="12" max="12" width="22.6640625" style="319" customWidth="1"/>
    <col min="13" max="13" width="20.109375" style="319" bestFit="1" customWidth="1"/>
    <col min="14" max="15" width="19.109375" style="319" customWidth="1"/>
    <col min="16" max="16" width="21.109375" style="528" bestFit="1" customWidth="1"/>
    <col min="17" max="16384" width="8.88671875" style="319"/>
  </cols>
  <sheetData>
    <row r="1" spans="1:16" customFormat="1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customFormat="1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customFormat="1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customFormat="1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customFormat="1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customFormat="1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412" t="s">
        <v>176</v>
      </c>
      <c r="B7" s="413"/>
      <c r="C7" s="316" t="s">
        <v>175</v>
      </c>
      <c r="D7" s="317" t="s">
        <v>165</v>
      </c>
      <c r="E7" s="317" t="s">
        <v>164</v>
      </c>
      <c r="F7" s="317" t="s">
        <v>163</v>
      </c>
      <c r="G7" s="317" t="s">
        <v>174</v>
      </c>
      <c r="H7" s="317" t="s">
        <v>173</v>
      </c>
      <c r="I7" s="317" t="s">
        <v>172</v>
      </c>
      <c r="J7" s="317" t="s">
        <v>171</v>
      </c>
      <c r="K7" s="317" t="s">
        <v>170</v>
      </c>
      <c r="L7" s="317" t="s">
        <v>169</v>
      </c>
      <c r="M7" s="317" t="s">
        <v>168</v>
      </c>
      <c r="N7" s="317" t="s">
        <v>167</v>
      </c>
      <c r="O7" s="317" t="s">
        <v>166</v>
      </c>
      <c r="P7" s="318" t="s">
        <v>162</v>
      </c>
    </row>
    <row r="8" spans="1:16" ht="16.2" thickBot="1" x14ac:dyDescent="0.35">
      <c r="A8" s="473" t="s">
        <v>161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474"/>
      <c r="M8" s="474"/>
      <c r="N8" s="474"/>
      <c r="O8" s="474"/>
      <c r="P8" s="516"/>
    </row>
    <row r="9" spans="1:16" x14ac:dyDescent="0.3">
      <c r="A9" s="475" t="s">
        <v>178</v>
      </c>
      <c r="B9" s="476"/>
      <c r="C9" s="320" t="s">
        <v>154</v>
      </c>
      <c r="D9" s="321">
        <v>33477</v>
      </c>
      <c r="E9" s="321">
        <v>40074</v>
      </c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478">
        <f>SUM(D9:O9)</f>
        <v>73551</v>
      </c>
    </row>
    <row r="10" spans="1:16" x14ac:dyDescent="0.3">
      <c r="A10" s="414" t="s">
        <v>179</v>
      </c>
      <c r="B10" s="415"/>
      <c r="C10" s="415"/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5"/>
      <c r="O10" s="415"/>
      <c r="P10" s="479"/>
    </row>
    <row r="11" spans="1:16" x14ac:dyDescent="0.3">
      <c r="A11" s="423" t="s">
        <v>159</v>
      </c>
      <c r="B11" s="424"/>
      <c r="C11" s="322" t="s">
        <v>154</v>
      </c>
      <c r="D11" s="323">
        <v>100</v>
      </c>
      <c r="E11" s="323">
        <v>127</v>
      </c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>
        <f>SUM(D11:O11)</f>
        <v>227</v>
      </c>
    </row>
    <row r="12" spans="1:16" x14ac:dyDescent="0.3">
      <c r="A12" s="423" t="s">
        <v>158</v>
      </c>
      <c r="B12" s="424"/>
      <c r="C12" s="322" t="s">
        <v>154</v>
      </c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>
        <f>SUM(D12:O12)</f>
        <v>0</v>
      </c>
    </row>
    <row r="13" spans="1:16" x14ac:dyDescent="0.3">
      <c r="A13" s="423" t="s">
        <v>157</v>
      </c>
      <c r="B13" s="424"/>
      <c r="C13" s="322" t="s">
        <v>154</v>
      </c>
      <c r="D13" s="323">
        <v>71</v>
      </c>
      <c r="E13" s="323">
        <v>332</v>
      </c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>
        <f>SUM(D13:O13)</f>
        <v>403</v>
      </c>
    </row>
    <row r="14" spans="1:16" x14ac:dyDescent="0.3">
      <c r="A14" s="416" t="s">
        <v>156</v>
      </c>
      <c r="B14" s="417"/>
      <c r="C14" s="322" t="s">
        <v>154</v>
      </c>
      <c r="D14" s="323">
        <v>1</v>
      </c>
      <c r="E14" s="323">
        <v>1</v>
      </c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4">
        <f>SUM(D14:O14)</f>
        <v>2</v>
      </c>
    </row>
    <row r="15" spans="1:16" s="327" customFormat="1" x14ac:dyDescent="0.3">
      <c r="A15" s="432" t="s">
        <v>160</v>
      </c>
      <c r="B15" s="433"/>
      <c r="C15" s="325" t="s">
        <v>154</v>
      </c>
      <c r="D15" s="326">
        <f t="shared" ref="D15:P15" si="0">SUM(D11:D14)</f>
        <v>172</v>
      </c>
      <c r="E15" s="326">
        <f t="shared" si="0"/>
        <v>460</v>
      </c>
      <c r="F15" s="326">
        <f t="shared" si="0"/>
        <v>0</v>
      </c>
      <c r="G15" s="326">
        <f t="shared" si="0"/>
        <v>0</v>
      </c>
      <c r="H15" s="326">
        <f t="shared" si="0"/>
        <v>0</v>
      </c>
      <c r="I15" s="326">
        <f t="shared" si="0"/>
        <v>0</v>
      </c>
      <c r="J15" s="326">
        <f t="shared" si="0"/>
        <v>0</v>
      </c>
      <c r="K15" s="326">
        <f t="shared" si="0"/>
        <v>0</v>
      </c>
      <c r="L15" s="326">
        <f t="shared" si="0"/>
        <v>0</v>
      </c>
      <c r="M15" s="326">
        <f t="shared" si="0"/>
        <v>0</v>
      </c>
      <c r="N15" s="326">
        <f t="shared" si="0"/>
        <v>0</v>
      </c>
      <c r="O15" s="326">
        <f t="shared" si="0"/>
        <v>0</v>
      </c>
      <c r="P15" s="324">
        <f t="shared" si="0"/>
        <v>632</v>
      </c>
    </row>
    <row r="16" spans="1:16" s="328" customFormat="1" x14ac:dyDescent="0.3">
      <c r="A16" s="414" t="s">
        <v>180</v>
      </c>
      <c r="B16" s="415"/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79"/>
    </row>
    <row r="17" spans="1:16" s="328" customFormat="1" x14ac:dyDescent="0.3">
      <c r="A17" s="423" t="s">
        <v>182</v>
      </c>
      <c r="B17" s="424"/>
      <c r="C17" s="322" t="s">
        <v>154</v>
      </c>
      <c r="D17" s="323">
        <v>22914.300000000043</v>
      </c>
      <c r="E17" s="323">
        <v>25979.499999999876</v>
      </c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4">
        <f>SUM(D17:O17)</f>
        <v>48893.799999999916</v>
      </c>
    </row>
    <row r="18" spans="1:16" s="328" customFormat="1" x14ac:dyDescent="0.3">
      <c r="A18" s="423" t="s">
        <v>183</v>
      </c>
      <c r="B18" s="424"/>
      <c r="C18" s="322" t="s">
        <v>154</v>
      </c>
      <c r="D18" s="323">
        <v>728.30000000000018</v>
      </c>
      <c r="E18" s="323">
        <v>631.29999999999995</v>
      </c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4">
        <f>SUM(D18:O18)</f>
        <v>1359.6000000000001</v>
      </c>
    </row>
    <row r="19" spans="1:16" s="328" customFormat="1" x14ac:dyDescent="0.3">
      <c r="A19" s="423" t="s">
        <v>184</v>
      </c>
      <c r="B19" s="424"/>
      <c r="C19" s="322" t="s">
        <v>154</v>
      </c>
      <c r="D19" s="323">
        <v>628.49999999999989</v>
      </c>
      <c r="E19" s="323">
        <v>339.1</v>
      </c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4">
        <f>SUM(D19:O19)</f>
        <v>967.59999999999991</v>
      </c>
    </row>
    <row r="20" spans="1:16" s="328" customFormat="1" x14ac:dyDescent="0.3">
      <c r="A20" s="416" t="s">
        <v>185</v>
      </c>
      <c r="B20" s="417"/>
      <c r="C20" s="322" t="s">
        <v>154</v>
      </c>
      <c r="D20" s="323">
        <v>1261.0999999999997</v>
      </c>
      <c r="E20" s="323">
        <v>1023.9</v>
      </c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4">
        <f>SUM(D20:O20)</f>
        <v>2284.9999999999995</v>
      </c>
    </row>
    <row r="21" spans="1:16" s="329" customFormat="1" x14ac:dyDescent="0.3">
      <c r="A21" s="432" t="s">
        <v>186</v>
      </c>
      <c r="B21" s="433"/>
      <c r="C21" s="325" t="s">
        <v>154</v>
      </c>
      <c r="D21" s="326">
        <f>SUM(D17:D20)</f>
        <v>25532.200000000041</v>
      </c>
      <c r="E21" s="326">
        <f t="shared" ref="E21:P21" si="1">SUM(E17:E20)</f>
        <v>27973.799999999876</v>
      </c>
      <c r="F21" s="326">
        <f t="shared" si="1"/>
        <v>0</v>
      </c>
      <c r="G21" s="326">
        <f t="shared" si="1"/>
        <v>0</v>
      </c>
      <c r="H21" s="326">
        <f t="shared" si="1"/>
        <v>0</v>
      </c>
      <c r="I21" s="326">
        <f t="shared" si="1"/>
        <v>0</v>
      </c>
      <c r="J21" s="326">
        <f t="shared" si="1"/>
        <v>0</v>
      </c>
      <c r="K21" s="326">
        <f t="shared" si="1"/>
        <v>0</v>
      </c>
      <c r="L21" s="326">
        <f t="shared" si="1"/>
        <v>0</v>
      </c>
      <c r="M21" s="326">
        <f t="shared" si="1"/>
        <v>0</v>
      </c>
      <c r="N21" s="326">
        <f t="shared" si="1"/>
        <v>0</v>
      </c>
      <c r="O21" s="326">
        <f t="shared" si="1"/>
        <v>0</v>
      </c>
      <c r="P21" s="324">
        <f t="shared" si="1"/>
        <v>53505.999999999913</v>
      </c>
    </row>
    <row r="22" spans="1:16" s="328" customFormat="1" x14ac:dyDescent="0.3">
      <c r="A22" s="330" t="s">
        <v>187</v>
      </c>
      <c r="B22" s="331"/>
      <c r="C22" s="322" t="s">
        <v>154</v>
      </c>
      <c r="D22" s="326">
        <f>D21+D15</f>
        <v>25704.200000000041</v>
      </c>
      <c r="E22" s="326">
        <f t="shared" ref="E22:P22" si="2">E21+E15</f>
        <v>28433.799999999876</v>
      </c>
      <c r="F22" s="326">
        <f t="shared" si="2"/>
        <v>0</v>
      </c>
      <c r="G22" s="326">
        <f t="shared" si="2"/>
        <v>0</v>
      </c>
      <c r="H22" s="326">
        <f t="shared" si="2"/>
        <v>0</v>
      </c>
      <c r="I22" s="326">
        <f t="shared" si="2"/>
        <v>0</v>
      </c>
      <c r="J22" s="326">
        <f t="shared" si="2"/>
        <v>0</v>
      </c>
      <c r="K22" s="326">
        <f t="shared" si="2"/>
        <v>0</v>
      </c>
      <c r="L22" s="326">
        <f t="shared" si="2"/>
        <v>0</v>
      </c>
      <c r="M22" s="326">
        <f t="shared" si="2"/>
        <v>0</v>
      </c>
      <c r="N22" s="326">
        <f t="shared" si="2"/>
        <v>0</v>
      </c>
      <c r="O22" s="326">
        <f t="shared" si="2"/>
        <v>0</v>
      </c>
      <c r="P22" s="324">
        <f t="shared" si="2"/>
        <v>54137.999999999913</v>
      </c>
    </row>
    <row r="23" spans="1:16" x14ac:dyDescent="0.3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80"/>
    </row>
    <row r="24" spans="1:16" x14ac:dyDescent="0.3">
      <c r="A24" s="409" t="s">
        <v>181</v>
      </c>
      <c r="B24" s="332" t="s">
        <v>155</v>
      </c>
      <c r="C24" s="332" t="s">
        <v>154</v>
      </c>
      <c r="D24" s="333">
        <f>D9-D22</f>
        <v>7772.7999999999593</v>
      </c>
      <c r="E24" s="333">
        <f t="shared" ref="E24:P24" si="3">E9-E22</f>
        <v>11640.200000000124</v>
      </c>
      <c r="F24" s="333">
        <f t="shared" si="3"/>
        <v>0</v>
      </c>
      <c r="G24" s="333">
        <f t="shared" si="3"/>
        <v>0</v>
      </c>
      <c r="H24" s="333">
        <f t="shared" si="3"/>
        <v>0</v>
      </c>
      <c r="I24" s="333">
        <f t="shared" si="3"/>
        <v>0</v>
      </c>
      <c r="J24" s="333">
        <f t="shared" si="3"/>
        <v>0</v>
      </c>
      <c r="K24" s="333">
        <f t="shared" si="3"/>
        <v>0</v>
      </c>
      <c r="L24" s="333">
        <f t="shared" si="3"/>
        <v>0</v>
      </c>
      <c r="M24" s="333">
        <f t="shared" si="3"/>
        <v>0</v>
      </c>
      <c r="N24" s="333">
        <f t="shared" si="3"/>
        <v>0</v>
      </c>
      <c r="O24" s="333">
        <f t="shared" si="3"/>
        <v>0</v>
      </c>
      <c r="P24" s="517">
        <f t="shared" si="3"/>
        <v>19413.000000000087</v>
      </c>
    </row>
    <row r="25" spans="1:16" ht="16.2" thickBot="1" x14ac:dyDescent="0.35">
      <c r="A25" s="410"/>
      <c r="B25" s="334" t="s">
        <v>153</v>
      </c>
      <c r="C25" s="335" t="s">
        <v>6</v>
      </c>
      <c r="D25" s="336">
        <f t="shared" ref="D25:P25" si="4">D24/D9</f>
        <v>0.23218329002001253</v>
      </c>
      <c r="E25" s="336">
        <f t="shared" si="4"/>
        <v>0.29046763487548349</v>
      </c>
      <c r="F25" s="336" t="e">
        <f t="shared" si="4"/>
        <v>#DIV/0!</v>
      </c>
      <c r="G25" s="336" t="e">
        <f t="shared" si="4"/>
        <v>#DIV/0!</v>
      </c>
      <c r="H25" s="336" t="e">
        <f t="shared" si="4"/>
        <v>#DIV/0!</v>
      </c>
      <c r="I25" s="336" t="e">
        <f t="shared" si="4"/>
        <v>#DIV/0!</v>
      </c>
      <c r="J25" s="336" t="e">
        <f t="shared" si="4"/>
        <v>#DIV/0!</v>
      </c>
      <c r="K25" s="336" t="e">
        <f t="shared" si="4"/>
        <v>#DIV/0!</v>
      </c>
      <c r="L25" s="336" t="e">
        <f t="shared" si="4"/>
        <v>#DIV/0!</v>
      </c>
      <c r="M25" s="336" t="e">
        <f t="shared" si="4"/>
        <v>#DIV/0!</v>
      </c>
      <c r="N25" s="336" t="e">
        <f t="shared" si="4"/>
        <v>#DIV/0!</v>
      </c>
      <c r="O25" s="336" t="e">
        <f t="shared" si="4"/>
        <v>#DIV/0!</v>
      </c>
      <c r="P25" s="518">
        <f t="shared" si="4"/>
        <v>0.26393930741934285</v>
      </c>
    </row>
    <row r="26" spans="1:16" x14ac:dyDescent="0.3">
      <c r="A26" s="471" t="s">
        <v>152</v>
      </c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81"/>
    </row>
    <row r="27" spans="1:16" x14ac:dyDescent="0.3">
      <c r="A27" s="407" t="s">
        <v>151</v>
      </c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82"/>
    </row>
    <row r="28" spans="1:16" x14ac:dyDescent="0.3">
      <c r="A28" s="337" t="s">
        <v>150</v>
      </c>
      <c r="B28" s="338" t="s">
        <v>149</v>
      </c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1"/>
    </row>
    <row r="29" spans="1:16" x14ac:dyDescent="0.3">
      <c r="A29" s="226" t="s">
        <v>148</v>
      </c>
      <c r="B29" s="533">
        <v>23929.1</v>
      </c>
      <c r="C29" s="332" t="s">
        <v>142</v>
      </c>
      <c r="D29" s="342">
        <v>64.8</v>
      </c>
      <c r="E29" s="342">
        <v>74.31</v>
      </c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3">
        <f>SUM(D29:O29)</f>
        <v>139.11000000000001</v>
      </c>
    </row>
    <row r="30" spans="1:16" x14ac:dyDescent="0.3">
      <c r="A30" s="227"/>
      <c r="B30" s="534"/>
      <c r="C30" s="344" t="s">
        <v>141</v>
      </c>
      <c r="D30" s="345">
        <f t="shared" ref="D30:P30" si="5">D29/(D9/1000)</f>
        <v>1.9356573169638858</v>
      </c>
      <c r="E30" s="345">
        <f t="shared" si="5"/>
        <v>1.8543195089085194</v>
      </c>
      <c r="F30" s="345" t="e">
        <f t="shared" si="5"/>
        <v>#DIV/0!</v>
      </c>
      <c r="G30" s="345" t="e">
        <f t="shared" si="5"/>
        <v>#DIV/0!</v>
      </c>
      <c r="H30" s="345" t="e">
        <f t="shared" si="5"/>
        <v>#DIV/0!</v>
      </c>
      <c r="I30" s="345" t="e">
        <f t="shared" si="5"/>
        <v>#DIV/0!</v>
      </c>
      <c r="J30" s="345" t="e">
        <f t="shared" si="5"/>
        <v>#DIV/0!</v>
      </c>
      <c r="K30" s="345" t="e">
        <f t="shared" si="5"/>
        <v>#DIV/0!</v>
      </c>
      <c r="L30" s="345" t="e">
        <f t="shared" si="5"/>
        <v>#DIV/0!</v>
      </c>
      <c r="M30" s="345" t="e">
        <f t="shared" si="5"/>
        <v>#DIV/0!</v>
      </c>
      <c r="N30" s="345" t="e">
        <f t="shared" si="5"/>
        <v>#DIV/0!</v>
      </c>
      <c r="O30" s="345" t="e">
        <f t="shared" si="5"/>
        <v>#DIV/0!</v>
      </c>
      <c r="P30" s="351">
        <f t="shared" si="5"/>
        <v>1.8913407023697844</v>
      </c>
    </row>
    <row r="31" spans="1:16" x14ac:dyDescent="0.3">
      <c r="A31" s="226" t="s">
        <v>147</v>
      </c>
      <c r="B31" s="535">
        <v>1090.4000000000001</v>
      </c>
      <c r="C31" s="332" t="s">
        <v>142</v>
      </c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3">
        <f>SUM(D31:O31)</f>
        <v>0</v>
      </c>
    </row>
    <row r="32" spans="1:16" x14ac:dyDescent="0.3">
      <c r="A32" s="227"/>
      <c r="B32" s="535"/>
      <c r="C32" s="344" t="s">
        <v>141</v>
      </c>
      <c r="D32" s="345">
        <f t="shared" ref="D32:P32" si="6">D31/(D9/1000)</f>
        <v>0</v>
      </c>
      <c r="E32" s="345">
        <f t="shared" si="6"/>
        <v>0</v>
      </c>
      <c r="F32" s="345" t="e">
        <f t="shared" si="6"/>
        <v>#DIV/0!</v>
      </c>
      <c r="G32" s="345" t="e">
        <f t="shared" si="6"/>
        <v>#DIV/0!</v>
      </c>
      <c r="H32" s="345" t="e">
        <f t="shared" si="6"/>
        <v>#DIV/0!</v>
      </c>
      <c r="I32" s="345" t="e">
        <f t="shared" si="6"/>
        <v>#DIV/0!</v>
      </c>
      <c r="J32" s="345" t="e">
        <f t="shared" si="6"/>
        <v>#DIV/0!</v>
      </c>
      <c r="K32" s="345" t="e">
        <f t="shared" si="6"/>
        <v>#DIV/0!</v>
      </c>
      <c r="L32" s="345" t="e">
        <f t="shared" si="6"/>
        <v>#DIV/0!</v>
      </c>
      <c r="M32" s="345" t="e">
        <f t="shared" si="6"/>
        <v>#DIV/0!</v>
      </c>
      <c r="N32" s="345" t="e">
        <f t="shared" si="6"/>
        <v>#DIV/0!</v>
      </c>
      <c r="O32" s="345" t="e">
        <f t="shared" si="6"/>
        <v>#DIV/0!</v>
      </c>
      <c r="P32" s="351">
        <f t="shared" si="6"/>
        <v>0</v>
      </c>
    </row>
    <row r="33" spans="1:16" x14ac:dyDescent="0.3">
      <c r="A33" s="226" t="s">
        <v>146</v>
      </c>
      <c r="B33" s="531">
        <v>1228.2886000000001</v>
      </c>
      <c r="C33" s="332" t="s">
        <v>142</v>
      </c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3">
        <f>SUM(D33:O33)</f>
        <v>0</v>
      </c>
    </row>
    <row r="34" spans="1:16" x14ac:dyDescent="0.3">
      <c r="A34" s="227"/>
      <c r="B34" s="534"/>
      <c r="C34" s="344" t="s">
        <v>141</v>
      </c>
      <c r="D34" s="345">
        <f t="shared" ref="D34:P34" si="7">D33/(D9/1000)</f>
        <v>0</v>
      </c>
      <c r="E34" s="345">
        <f t="shared" si="7"/>
        <v>0</v>
      </c>
      <c r="F34" s="345" t="e">
        <f t="shared" si="7"/>
        <v>#DIV/0!</v>
      </c>
      <c r="G34" s="345" t="e">
        <f t="shared" si="7"/>
        <v>#DIV/0!</v>
      </c>
      <c r="H34" s="345" t="e">
        <f t="shared" si="7"/>
        <v>#DIV/0!</v>
      </c>
      <c r="I34" s="345" t="e">
        <f t="shared" si="7"/>
        <v>#DIV/0!</v>
      </c>
      <c r="J34" s="345" t="e">
        <f t="shared" si="7"/>
        <v>#DIV/0!</v>
      </c>
      <c r="K34" s="345" t="e">
        <f t="shared" si="7"/>
        <v>#DIV/0!</v>
      </c>
      <c r="L34" s="345" t="e">
        <f t="shared" si="7"/>
        <v>#DIV/0!</v>
      </c>
      <c r="M34" s="345" t="e">
        <f t="shared" si="7"/>
        <v>#DIV/0!</v>
      </c>
      <c r="N34" s="345" t="e">
        <f t="shared" si="7"/>
        <v>#DIV/0!</v>
      </c>
      <c r="O34" s="345" t="e">
        <f t="shared" si="7"/>
        <v>#DIV/0!</v>
      </c>
      <c r="P34" s="351">
        <f t="shared" si="7"/>
        <v>0</v>
      </c>
    </row>
    <row r="35" spans="1:16" x14ac:dyDescent="0.3">
      <c r="A35" s="226" t="s">
        <v>145</v>
      </c>
      <c r="B35" s="531">
        <v>3726.7258000000002</v>
      </c>
      <c r="C35" s="332" t="s">
        <v>128</v>
      </c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51"/>
    </row>
    <row r="36" spans="1:16" x14ac:dyDescent="0.3">
      <c r="A36" s="227"/>
      <c r="B36" s="534"/>
      <c r="C36" s="332" t="s">
        <v>144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51"/>
    </row>
    <row r="37" spans="1:16" x14ac:dyDescent="0.3">
      <c r="A37" s="226" t="s">
        <v>188</v>
      </c>
      <c r="B37" s="531">
        <v>3951.5935999999997</v>
      </c>
      <c r="C37" s="332" t="s">
        <v>128</v>
      </c>
      <c r="D37" s="342">
        <v>0</v>
      </c>
      <c r="E37" s="342">
        <v>0</v>
      </c>
      <c r="F37" s="342">
        <v>0</v>
      </c>
      <c r="G37" s="342">
        <v>0</v>
      </c>
      <c r="H37" s="342">
        <v>0</v>
      </c>
      <c r="I37" s="342">
        <v>0</v>
      </c>
      <c r="J37" s="342">
        <v>0</v>
      </c>
      <c r="K37" s="342">
        <v>0</v>
      </c>
      <c r="L37" s="342">
        <v>0</v>
      </c>
      <c r="M37" s="342">
        <v>0</v>
      </c>
      <c r="N37" s="342">
        <v>0</v>
      </c>
      <c r="O37" s="342">
        <v>0</v>
      </c>
      <c r="P37" s="343">
        <f>SUM(D37:O37)</f>
        <v>0</v>
      </c>
    </row>
    <row r="38" spans="1:16" x14ac:dyDescent="0.3">
      <c r="A38" s="227"/>
      <c r="B38" s="534"/>
      <c r="C38" s="332" t="s">
        <v>144</v>
      </c>
      <c r="D38" s="345">
        <f t="shared" ref="D38:P38" si="8">D37/(D9/1000)</f>
        <v>0</v>
      </c>
      <c r="E38" s="345">
        <f t="shared" si="8"/>
        <v>0</v>
      </c>
      <c r="F38" s="345" t="e">
        <f t="shared" si="8"/>
        <v>#DIV/0!</v>
      </c>
      <c r="G38" s="345" t="e">
        <f t="shared" si="8"/>
        <v>#DIV/0!</v>
      </c>
      <c r="H38" s="345" t="e">
        <f t="shared" si="8"/>
        <v>#DIV/0!</v>
      </c>
      <c r="I38" s="345" t="e">
        <f t="shared" si="8"/>
        <v>#DIV/0!</v>
      </c>
      <c r="J38" s="345" t="e">
        <f t="shared" si="8"/>
        <v>#DIV/0!</v>
      </c>
      <c r="K38" s="345" t="e">
        <f t="shared" si="8"/>
        <v>#DIV/0!</v>
      </c>
      <c r="L38" s="345" t="e">
        <f t="shared" si="8"/>
        <v>#DIV/0!</v>
      </c>
      <c r="M38" s="345" t="e">
        <f t="shared" si="8"/>
        <v>#DIV/0!</v>
      </c>
      <c r="N38" s="345" t="e">
        <f t="shared" si="8"/>
        <v>#DIV/0!</v>
      </c>
      <c r="O38" s="345" t="e">
        <f t="shared" si="8"/>
        <v>#DIV/0!</v>
      </c>
      <c r="P38" s="351">
        <f t="shared" si="8"/>
        <v>0</v>
      </c>
    </row>
    <row r="39" spans="1:16" x14ac:dyDescent="0.3">
      <c r="A39" s="226" t="s">
        <v>143</v>
      </c>
      <c r="B39" s="531">
        <v>1950</v>
      </c>
      <c r="C39" s="332" t="s">
        <v>142</v>
      </c>
      <c r="D39" s="342">
        <v>0</v>
      </c>
      <c r="E39" s="342">
        <v>0</v>
      </c>
      <c r="F39" s="342">
        <v>0</v>
      </c>
      <c r="G39" s="342">
        <v>0</v>
      </c>
      <c r="H39" s="342">
        <v>0</v>
      </c>
      <c r="I39" s="342">
        <v>0</v>
      </c>
      <c r="J39" s="342">
        <v>0</v>
      </c>
      <c r="K39" s="342">
        <v>0</v>
      </c>
      <c r="L39" s="342">
        <v>0</v>
      </c>
      <c r="M39" s="342">
        <v>0</v>
      </c>
      <c r="N39" s="342">
        <v>0</v>
      </c>
      <c r="O39" s="342">
        <v>0</v>
      </c>
      <c r="P39" s="343">
        <f>SUM(D39:O39)</f>
        <v>0</v>
      </c>
    </row>
    <row r="40" spans="1:16" ht="16.2" thickBot="1" x14ac:dyDescent="0.35">
      <c r="A40" s="227"/>
      <c r="B40" s="532"/>
      <c r="C40" s="344" t="s">
        <v>141</v>
      </c>
      <c r="D40" s="345">
        <f t="shared" ref="D40:P40" si="9">D39/(D9/1000)</f>
        <v>0</v>
      </c>
      <c r="E40" s="345">
        <f t="shared" si="9"/>
        <v>0</v>
      </c>
      <c r="F40" s="345" t="e">
        <f t="shared" si="9"/>
        <v>#DIV/0!</v>
      </c>
      <c r="G40" s="345" t="e">
        <f t="shared" si="9"/>
        <v>#DIV/0!</v>
      </c>
      <c r="H40" s="345" t="e">
        <f t="shared" si="9"/>
        <v>#DIV/0!</v>
      </c>
      <c r="I40" s="345" t="e">
        <f t="shared" si="9"/>
        <v>#DIV/0!</v>
      </c>
      <c r="J40" s="345" t="e">
        <f t="shared" si="9"/>
        <v>#DIV/0!</v>
      </c>
      <c r="K40" s="345" t="e">
        <f t="shared" si="9"/>
        <v>#DIV/0!</v>
      </c>
      <c r="L40" s="345" t="e">
        <f t="shared" si="9"/>
        <v>#DIV/0!</v>
      </c>
      <c r="M40" s="345" t="e">
        <f t="shared" si="9"/>
        <v>#DIV/0!</v>
      </c>
      <c r="N40" s="345" t="e">
        <f t="shared" si="9"/>
        <v>#DIV/0!</v>
      </c>
      <c r="O40" s="345" t="e">
        <f t="shared" si="9"/>
        <v>#DIV/0!</v>
      </c>
      <c r="P40" s="351">
        <f t="shared" si="9"/>
        <v>0</v>
      </c>
    </row>
    <row r="41" spans="1:16" x14ac:dyDescent="0.3">
      <c r="A41" s="416" t="s">
        <v>140</v>
      </c>
      <c r="B41" s="417"/>
      <c r="C41" s="322" t="s">
        <v>31</v>
      </c>
      <c r="D41" s="347">
        <f>(D29*$B29)+(D31*$B31)+(D33*$B33)+(D35*$B35)+(D37*$B37)+(D39*$B39)</f>
        <v>1550605.68</v>
      </c>
      <c r="E41" s="347">
        <f t="shared" ref="E41:O41" si="10">(E29*$B29)+(E31*$B31)+(E33*$B33)+(E35*$B35)+(E37*$B37)+(E39*$B39)</f>
        <v>1778171.4209999999</v>
      </c>
      <c r="F41" s="347">
        <f t="shared" si="10"/>
        <v>0</v>
      </c>
      <c r="G41" s="347">
        <f t="shared" si="10"/>
        <v>0</v>
      </c>
      <c r="H41" s="347">
        <f t="shared" si="10"/>
        <v>0</v>
      </c>
      <c r="I41" s="347">
        <f t="shared" si="10"/>
        <v>0</v>
      </c>
      <c r="J41" s="347">
        <f t="shared" si="10"/>
        <v>0</v>
      </c>
      <c r="K41" s="347">
        <f t="shared" si="10"/>
        <v>0</v>
      </c>
      <c r="L41" s="347">
        <f t="shared" si="10"/>
        <v>0</v>
      </c>
      <c r="M41" s="347">
        <f t="shared" si="10"/>
        <v>0</v>
      </c>
      <c r="N41" s="347">
        <f t="shared" si="10"/>
        <v>0</v>
      </c>
      <c r="O41" s="347">
        <f t="shared" si="10"/>
        <v>0</v>
      </c>
      <c r="P41" s="348">
        <f>SUM(D41:O41)</f>
        <v>3328777.1009999998</v>
      </c>
    </row>
    <row r="42" spans="1:16" x14ac:dyDescent="0.3">
      <c r="A42" s="467" t="s">
        <v>139</v>
      </c>
      <c r="B42" s="468"/>
      <c r="C42" s="344" t="s">
        <v>117</v>
      </c>
      <c r="D42" s="345">
        <f t="shared" ref="D42:P42" si="11">D41/D9</f>
        <v>46.318537503360517</v>
      </c>
      <c r="E42" s="345">
        <f t="shared" si="11"/>
        <v>44.372196960622844</v>
      </c>
      <c r="F42" s="345" t="e">
        <f t="shared" si="11"/>
        <v>#DIV/0!</v>
      </c>
      <c r="G42" s="345" t="e">
        <f t="shared" si="11"/>
        <v>#DIV/0!</v>
      </c>
      <c r="H42" s="345" t="e">
        <f t="shared" si="11"/>
        <v>#DIV/0!</v>
      </c>
      <c r="I42" s="345" t="e">
        <f t="shared" si="11"/>
        <v>#DIV/0!</v>
      </c>
      <c r="J42" s="345" t="e">
        <f t="shared" si="11"/>
        <v>#DIV/0!</v>
      </c>
      <c r="K42" s="345" t="e">
        <f t="shared" si="11"/>
        <v>#DIV/0!</v>
      </c>
      <c r="L42" s="345" t="e">
        <f t="shared" si="11"/>
        <v>#DIV/0!</v>
      </c>
      <c r="M42" s="345" t="e">
        <f t="shared" si="11"/>
        <v>#DIV/0!</v>
      </c>
      <c r="N42" s="345" t="e">
        <f t="shared" si="11"/>
        <v>#DIV/0!</v>
      </c>
      <c r="O42" s="345" t="e">
        <f t="shared" si="11"/>
        <v>#DIV/0!</v>
      </c>
      <c r="P42" s="519">
        <f t="shared" si="11"/>
        <v>45.258080801076801</v>
      </c>
    </row>
    <row r="43" spans="1:16" x14ac:dyDescent="0.3">
      <c r="A43" s="457" t="s">
        <v>138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  <c r="P43" s="483"/>
    </row>
    <row r="44" spans="1:16" x14ac:dyDescent="0.3">
      <c r="A44" s="416" t="s">
        <v>137</v>
      </c>
      <c r="B44" s="417"/>
      <c r="C44" s="322" t="s">
        <v>136</v>
      </c>
      <c r="D44" s="342">
        <v>76587</v>
      </c>
      <c r="E44" s="342">
        <v>112937</v>
      </c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8">
        <f>SUM(D44:O44)</f>
        <v>189524</v>
      </c>
    </row>
    <row r="45" spans="1:16" x14ac:dyDescent="0.3">
      <c r="A45" s="467" t="s">
        <v>135</v>
      </c>
      <c r="B45" s="468"/>
      <c r="C45" s="344" t="s">
        <v>134</v>
      </c>
      <c r="D45" s="345">
        <f t="shared" ref="D45:P45" si="12">D44/D9</f>
        <v>2.2877497983690294</v>
      </c>
      <c r="E45" s="345">
        <f t="shared" si="12"/>
        <v>2.8182113090782055</v>
      </c>
      <c r="F45" s="345" t="e">
        <f t="shared" si="12"/>
        <v>#DIV/0!</v>
      </c>
      <c r="G45" s="345" t="e">
        <f t="shared" si="12"/>
        <v>#DIV/0!</v>
      </c>
      <c r="H45" s="345" t="e">
        <f t="shared" si="12"/>
        <v>#DIV/0!</v>
      </c>
      <c r="I45" s="345" t="e">
        <f t="shared" si="12"/>
        <v>#DIV/0!</v>
      </c>
      <c r="J45" s="345" t="e">
        <f t="shared" si="12"/>
        <v>#DIV/0!</v>
      </c>
      <c r="K45" s="345" t="e">
        <f t="shared" si="12"/>
        <v>#DIV/0!</v>
      </c>
      <c r="L45" s="345" t="e">
        <f t="shared" si="12"/>
        <v>#DIV/0!</v>
      </c>
      <c r="M45" s="345" t="e">
        <f t="shared" si="12"/>
        <v>#DIV/0!</v>
      </c>
      <c r="N45" s="345" t="e">
        <f t="shared" si="12"/>
        <v>#DIV/0!</v>
      </c>
      <c r="O45" s="345" t="e">
        <f t="shared" si="12"/>
        <v>#DIV/0!</v>
      </c>
      <c r="P45" s="351">
        <f t="shared" si="12"/>
        <v>2.5767698603689957</v>
      </c>
    </row>
    <row r="46" spans="1:16" x14ac:dyDescent="0.3">
      <c r="A46" s="428" t="s">
        <v>133</v>
      </c>
      <c r="B46" s="429"/>
      <c r="C46" s="332" t="s">
        <v>31</v>
      </c>
      <c r="D46" s="349">
        <f>1.165*(16600+(D44*143.5))</f>
        <v>12822962.192500001</v>
      </c>
      <c r="E46" s="349">
        <f t="shared" ref="E46:O46" si="13">1.165*(16600+(E44*143.5))</f>
        <v>18899864.317499999</v>
      </c>
      <c r="F46" s="349">
        <f t="shared" si="13"/>
        <v>19339</v>
      </c>
      <c r="G46" s="349">
        <f t="shared" si="13"/>
        <v>19339</v>
      </c>
      <c r="H46" s="349">
        <f t="shared" si="13"/>
        <v>19339</v>
      </c>
      <c r="I46" s="349">
        <f t="shared" si="13"/>
        <v>19339</v>
      </c>
      <c r="J46" s="349">
        <f t="shared" si="13"/>
        <v>19339</v>
      </c>
      <c r="K46" s="349">
        <f t="shared" si="13"/>
        <v>19339</v>
      </c>
      <c r="L46" s="349">
        <f t="shared" si="13"/>
        <v>19339</v>
      </c>
      <c r="M46" s="349">
        <f t="shared" si="13"/>
        <v>19339</v>
      </c>
      <c r="N46" s="349">
        <f t="shared" si="13"/>
        <v>19339</v>
      </c>
      <c r="O46" s="349">
        <f t="shared" si="13"/>
        <v>19339</v>
      </c>
      <c r="P46" s="348">
        <f>SUM(D46:O46)</f>
        <v>31916216.509999998</v>
      </c>
    </row>
    <row r="47" spans="1:16" s="328" customFormat="1" x14ac:dyDescent="0.3">
      <c r="A47" s="416" t="s">
        <v>132</v>
      </c>
      <c r="B47" s="417"/>
      <c r="C47" s="322" t="s">
        <v>117</v>
      </c>
      <c r="D47" s="345">
        <f t="shared" ref="D47:P47" si="14">D46/D9</f>
        <v>383.03797211518361</v>
      </c>
      <c r="E47" s="345">
        <f t="shared" si="14"/>
        <v>471.62410334630931</v>
      </c>
      <c r="F47" s="345" t="e">
        <f t="shared" si="14"/>
        <v>#DIV/0!</v>
      </c>
      <c r="G47" s="345" t="e">
        <f t="shared" si="14"/>
        <v>#DIV/0!</v>
      </c>
      <c r="H47" s="345" t="e">
        <f t="shared" si="14"/>
        <v>#DIV/0!</v>
      </c>
      <c r="I47" s="345" t="e">
        <f t="shared" si="14"/>
        <v>#DIV/0!</v>
      </c>
      <c r="J47" s="345" t="e">
        <f t="shared" si="14"/>
        <v>#DIV/0!</v>
      </c>
      <c r="K47" s="345" t="e">
        <f t="shared" si="14"/>
        <v>#DIV/0!</v>
      </c>
      <c r="L47" s="345" t="e">
        <f t="shared" si="14"/>
        <v>#DIV/0!</v>
      </c>
      <c r="M47" s="345" t="e">
        <f t="shared" si="14"/>
        <v>#DIV/0!</v>
      </c>
      <c r="N47" s="345" t="e">
        <f t="shared" si="14"/>
        <v>#DIV/0!</v>
      </c>
      <c r="O47" s="345" t="e">
        <f t="shared" si="14"/>
        <v>#DIV/0!</v>
      </c>
      <c r="P47" s="351">
        <f t="shared" si="14"/>
        <v>433.9331417655776</v>
      </c>
    </row>
    <row r="48" spans="1:16" x14ac:dyDescent="0.3">
      <c r="A48" s="457" t="s">
        <v>131</v>
      </c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83"/>
    </row>
    <row r="49" spans="1:16" x14ac:dyDescent="0.3">
      <c r="A49" s="416" t="s">
        <v>130</v>
      </c>
      <c r="B49" s="417"/>
      <c r="C49" s="332" t="s">
        <v>129</v>
      </c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48">
        <f>SUM(D49:O49)</f>
        <v>0</v>
      </c>
    </row>
    <row r="50" spans="1:16" x14ac:dyDescent="0.3">
      <c r="A50" s="416" t="s">
        <v>189</v>
      </c>
      <c r="B50" s="417"/>
      <c r="C50" s="332" t="s">
        <v>128</v>
      </c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48">
        <f>SUM(D50:O50)</f>
        <v>0</v>
      </c>
    </row>
    <row r="51" spans="1:16" x14ac:dyDescent="0.3">
      <c r="A51" s="428" t="s">
        <v>127</v>
      </c>
      <c r="B51" s="429"/>
      <c r="C51" s="332" t="s">
        <v>31</v>
      </c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51">
        <f>SUM(D51:O51)</f>
        <v>0</v>
      </c>
    </row>
    <row r="52" spans="1:16" x14ac:dyDescent="0.3">
      <c r="A52" s="416" t="s">
        <v>126</v>
      </c>
      <c r="B52" s="417"/>
      <c r="C52" s="332" t="s">
        <v>31</v>
      </c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51">
        <f>SUM(D52:O52)</f>
        <v>0</v>
      </c>
    </row>
    <row r="53" spans="1:16" x14ac:dyDescent="0.3">
      <c r="A53" s="457" t="s">
        <v>125</v>
      </c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  <c r="P53" s="483"/>
    </row>
    <row r="54" spans="1:16" x14ac:dyDescent="0.3">
      <c r="A54" s="416" t="s">
        <v>124</v>
      </c>
      <c r="B54" s="417"/>
      <c r="C54" s="322" t="s">
        <v>18</v>
      </c>
      <c r="D54" s="346">
        <v>9184266.0099999998</v>
      </c>
      <c r="E54" s="346">
        <v>8994697.0899999999</v>
      </c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8">
        <f>SUM(D54:O54)</f>
        <v>18178963.100000001</v>
      </c>
    </row>
    <row r="55" spans="1:16" x14ac:dyDescent="0.3">
      <c r="A55" s="352" t="s">
        <v>123</v>
      </c>
      <c r="B55" s="331"/>
      <c r="C55" s="322" t="s">
        <v>18</v>
      </c>
      <c r="D55" s="346">
        <v>5882632.4699999997</v>
      </c>
      <c r="E55" s="346">
        <v>5783891.9699999997</v>
      </c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8">
        <f>SUM(D55:O55)</f>
        <v>11666524.439999999</v>
      </c>
    </row>
    <row r="56" spans="1:16" x14ac:dyDescent="0.3">
      <c r="A56" s="416" t="s">
        <v>122</v>
      </c>
      <c r="B56" s="417"/>
      <c r="C56" s="332" t="s">
        <v>18</v>
      </c>
      <c r="D56" s="346">
        <v>1222470</v>
      </c>
      <c r="E56" s="346">
        <v>1289470</v>
      </c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8">
        <f>SUM(D56:O56)</f>
        <v>2511940</v>
      </c>
    </row>
    <row r="57" spans="1:16" x14ac:dyDescent="0.3">
      <c r="A57" s="457" t="s">
        <v>121</v>
      </c>
      <c r="B57" s="458"/>
      <c r="C57" s="458"/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83"/>
    </row>
    <row r="58" spans="1:16" x14ac:dyDescent="0.3">
      <c r="A58" s="428" t="s">
        <v>120</v>
      </c>
      <c r="B58" s="429"/>
      <c r="C58" s="332" t="s">
        <v>18</v>
      </c>
      <c r="D58" s="346">
        <f>D41+D46+D51+D52+D54+D55+D56</f>
        <v>30662936.352499999</v>
      </c>
      <c r="E58" s="346">
        <f t="shared" ref="E58:O58" si="15">E41+E46+E51+E52+E54+E55+E56</f>
        <v>36746094.798500001</v>
      </c>
      <c r="F58" s="346">
        <f t="shared" si="15"/>
        <v>19339</v>
      </c>
      <c r="G58" s="346">
        <f t="shared" si="15"/>
        <v>19339</v>
      </c>
      <c r="H58" s="346">
        <f t="shared" si="15"/>
        <v>19339</v>
      </c>
      <c r="I58" s="346">
        <f t="shared" si="15"/>
        <v>19339</v>
      </c>
      <c r="J58" s="346">
        <f t="shared" si="15"/>
        <v>19339</v>
      </c>
      <c r="K58" s="346">
        <f t="shared" si="15"/>
        <v>19339</v>
      </c>
      <c r="L58" s="346">
        <f t="shared" si="15"/>
        <v>19339</v>
      </c>
      <c r="M58" s="346">
        <f t="shared" si="15"/>
        <v>19339</v>
      </c>
      <c r="N58" s="346">
        <f t="shared" si="15"/>
        <v>19339</v>
      </c>
      <c r="O58" s="346">
        <f t="shared" si="15"/>
        <v>19339</v>
      </c>
      <c r="P58" s="348">
        <f>SUM(D58:O58)</f>
        <v>67602421.150999993</v>
      </c>
    </row>
    <row r="59" spans="1:16" x14ac:dyDescent="0.3">
      <c r="A59" s="428" t="s">
        <v>119</v>
      </c>
      <c r="B59" s="429"/>
      <c r="C59" s="332" t="s">
        <v>117</v>
      </c>
      <c r="D59" s="345">
        <f t="shared" ref="D59:P59" si="16">D58/D9</f>
        <v>915.94038750485402</v>
      </c>
      <c r="E59" s="345">
        <f t="shared" si="16"/>
        <v>916.95600135998404</v>
      </c>
      <c r="F59" s="345" t="e">
        <f t="shared" si="16"/>
        <v>#DIV/0!</v>
      </c>
      <c r="G59" s="345" t="e">
        <f t="shared" si="16"/>
        <v>#DIV/0!</v>
      </c>
      <c r="H59" s="345" t="e">
        <f t="shared" si="16"/>
        <v>#DIV/0!</v>
      </c>
      <c r="I59" s="345" t="e">
        <f t="shared" si="16"/>
        <v>#DIV/0!</v>
      </c>
      <c r="J59" s="345" t="e">
        <f t="shared" si="16"/>
        <v>#DIV/0!</v>
      </c>
      <c r="K59" s="345" t="e">
        <f t="shared" si="16"/>
        <v>#DIV/0!</v>
      </c>
      <c r="L59" s="345" t="e">
        <f t="shared" si="16"/>
        <v>#DIV/0!</v>
      </c>
      <c r="M59" s="345" t="e">
        <f t="shared" si="16"/>
        <v>#DIV/0!</v>
      </c>
      <c r="N59" s="345" t="e">
        <f t="shared" si="16"/>
        <v>#DIV/0!</v>
      </c>
      <c r="O59" s="345" t="e">
        <f t="shared" si="16"/>
        <v>#DIV/0!</v>
      </c>
      <c r="P59" s="351">
        <f t="shared" si="16"/>
        <v>919.12307311933205</v>
      </c>
    </row>
    <row r="60" spans="1:16" x14ac:dyDescent="0.3">
      <c r="A60" s="428" t="s">
        <v>118</v>
      </c>
      <c r="B60" s="429"/>
      <c r="C60" s="332" t="s">
        <v>117</v>
      </c>
      <c r="D60" s="345">
        <f>D58/D22</f>
        <v>1192.9154127535558</v>
      </c>
      <c r="E60" s="345">
        <f t="shared" ref="E60:O60" si="17">E58/E22</f>
        <v>1292.3385125625193</v>
      </c>
      <c r="F60" s="345" t="e">
        <f t="shared" si="17"/>
        <v>#DIV/0!</v>
      </c>
      <c r="G60" s="345" t="e">
        <f t="shared" si="17"/>
        <v>#DIV/0!</v>
      </c>
      <c r="H60" s="345" t="e">
        <f t="shared" si="17"/>
        <v>#DIV/0!</v>
      </c>
      <c r="I60" s="345" t="e">
        <f t="shared" si="17"/>
        <v>#DIV/0!</v>
      </c>
      <c r="J60" s="345" t="e">
        <f t="shared" si="17"/>
        <v>#DIV/0!</v>
      </c>
      <c r="K60" s="345" t="e">
        <f t="shared" si="17"/>
        <v>#DIV/0!</v>
      </c>
      <c r="L60" s="345" t="e">
        <f t="shared" si="17"/>
        <v>#DIV/0!</v>
      </c>
      <c r="M60" s="345" t="e">
        <f t="shared" si="17"/>
        <v>#DIV/0!</v>
      </c>
      <c r="N60" s="345" t="e">
        <f t="shared" si="17"/>
        <v>#DIV/0!</v>
      </c>
      <c r="O60" s="345" t="e">
        <f t="shared" si="17"/>
        <v>#DIV/0!</v>
      </c>
      <c r="P60" s="520">
        <f>P58/P22</f>
        <v>1248.7055515719107</v>
      </c>
    </row>
    <row r="61" spans="1:16" x14ac:dyDescent="0.3">
      <c r="A61" s="416" t="s">
        <v>116</v>
      </c>
      <c r="B61" s="417"/>
      <c r="C61" s="332" t="s">
        <v>3</v>
      </c>
      <c r="D61" s="350">
        <v>9</v>
      </c>
      <c r="E61" s="350">
        <v>9</v>
      </c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48">
        <f>O61</f>
        <v>0</v>
      </c>
    </row>
    <row r="62" spans="1:16" ht="15.6" customHeight="1" x14ac:dyDescent="0.3">
      <c r="A62" s="428" t="s">
        <v>115</v>
      </c>
      <c r="B62" s="429"/>
      <c r="C62" s="332" t="s">
        <v>114</v>
      </c>
      <c r="D62" s="345">
        <f t="shared" ref="D62:P62" si="18">(D61*1000*31)/D9</f>
        <v>8.3340801147056194</v>
      </c>
      <c r="E62" s="345">
        <f t="shared" si="18"/>
        <v>6.9621200778559666</v>
      </c>
      <c r="F62" s="345" t="e">
        <f t="shared" si="18"/>
        <v>#DIV/0!</v>
      </c>
      <c r="G62" s="345" t="e">
        <f t="shared" si="18"/>
        <v>#DIV/0!</v>
      </c>
      <c r="H62" s="345" t="e">
        <f t="shared" si="18"/>
        <v>#DIV/0!</v>
      </c>
      <c r="I62" s="345" t="e">
        <f t="shared" si="18"/>
        <v>#DIV/0!</v>
      </c>
      <c r="J62" s="345" t="e">
        <f t="shared" si="18"/>
        <v>#DIV/0!</v>
      </c>
      <c r="K62" s="345" t="e">
        <f t="shared" si="18"/>
        <v>#DIV/0!</v>
      </c>
      <c r="L62" s="345" t="e">
        <f t="shared" si="18"/>
        <v>#DIV/0!</v>
      </c>
      <c r="M62" s="345" t="e">
        <f t="shared" si="18"/>
        <v>#DIV/0!</v>
      </c>
      <c r="N62" s="345" t="e">
        <f t="shared" si="18"/>
        <v>#DIV/0!</v>
      </c>
      <c r="O62" s="345" t="e">
        <f t="shared" si="18"/>
        <v>#DIV/0!</v>
      </c>
      <c r="P62" s="351">
        <f t="shared" si="18"/>
        <v>0</v>
      </c>
    </row>
    <row r="63" spans="1:16" x14ac:dyDescent="0.3">
      <c r="A63" s="453" t="s">
        <v>113</v>
      </c>
      <c r="B63" s="454"/>
      <c r="C63" s="353" t="s">
        <v>3</v>
      </c>
      <c r="D63" s="350">
        <v>42</v>
      </c>
      <c r="E63" s="350">
        <v>42</v>
      </c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48">
        <f>SUM(D63:O63)</f>
        <v>84</v>
      </c>
    </row>
    <row r="64" spans="1:16" x14ac:dyDescent="0.3">
      <c r="A64" s="455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84"/>
    </row>
    <row r="65" spans="1:16" ht="14.4" customHeight="1" x14ac:dyDescent="0.3">
      <c r="A65" s="457" t="s">
        <v>112</v>
      </c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  <c r="P65" s="483"/>
    </row>
    <row r="66" spans="1:16" x14ac:dyDescent="0.3">
      <c r="A66" s="409" t="s">
        <v>111</v>
      </c>
      <c r="B66" s="332" t="s">
        <v>85</v>
      </c>
      <c r="C66" s="332" t="s">
        <v>3</v>
      </c>
      <c r="D66" s="354">
        <v>2934</v>
      </c>
      <c r="E66" s="354">
        <v>2921</v>
      </c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>
        <f>D66</f>
        <v>2934</v>
      </c>
    </row>
    <row r="67" spans="1:16" x14ac:dyDescent="0.3">
      <c r="A67" s="410"/>
      <c r="B67" s="322" t="s">
        <v>106</v>
      </c>
      <c r="C67" s="332" t="s">
        <v>3</v>
      </c>
      <c r="D67" s="356">
        <v>40</v>
      </c>
      <c r="E67" s="356">
        <v>20</v>
      </c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5">
        <f>SUM(D67:O67)</f>
        <v>60</v>
      </c>
    </row>
    <row r="68" spans="1:16" x14ac:dyDescent="0.3">
      <c r="A68" s="410"/>
      <c r="B68" s="322" t="s">
        <v>105</v>
      </c>
      <c r="C68" s="332" t="s">
        <v>3</v>
      </c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5">
        <f t="shared" ref="P68:P69" si="19">SUM(D68:O68)</f>
        <v>0</v>
      </c>
    </row>
    <row r="69" spans="1:16" s="328" customFormat="1" x14ac:dyDescent="0.3">
      <c r="A69" s="410"/>
      <c r="B69" s="322" t="s">
        <v>104</v>
      </c>
      <c r="C69" s="322" t="s">
        <v>3</v>
      </c>
      <c r="D69" s="350">
        <v>53</v>
      </c>
      <c r="E69" s="350">
        <v>33</v>
      </c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7">
        <f t="shared" si="19"/>
        <v>86</v>
      </c>
    </row>
    <row r="70" spans="1:16" s="328" customFormat="1" x14ac:dyDescent="0.3">
      <c r="A70" s="410"/>
      <c r="B70" s="322" t="s">
        <v>190</v>
      </c>
      <c r="C70" s="322" t="s">
        <v>3</v>
      </c>
      <c r="D70" s="356">
        <f>D68+D69</f>
        <v>53</v>
      </c>
      <c r="E70" s="356">
        <f t="shared" ref="E70:P70" si="20">E68+E69</f>
        <v>33</v>
      </c>
      <c r="F70" s="356">
        <f t="shared" si="20"/>
        <v>0</v>
      </c>
      <c r="G70" s="356">
        <f t="shared" si="20"/>
        <v>0</v>
      </c>
      <c r="H70" s="356">
        <f t="shared" si="20"/>
        <v>0</v>
      </c>
      <c r="I70" s="356">
        <f t="shared" si="20"/>
        <v>0</v>
      </c>
      <c r="J70" s="356">
        <f t="shared" si="20"/>
        <v>0</v>
      </c>
      <c r="K70" s="356">
        <f t="shared" si="20"/>
        <v>0</v>
      </c>
      <c r="L70" s="356">
        <f t="shared" si="20"/>
        <v>0</v>
      </c>
      <c r="M70" s="356">
        <f t="shared" si="20"/>
        <v>0</v>
      </c>
      <c r="N70" s="356">
        <f t="shared" si="20"/>
        <v>0</v>
      </c>
      <c r="O70" s="356">
        <f t="shared" si="20"/>
        <v>0</v>
      </c>
      <c r="P70" s="356">
        <f t="shared" si="20"/>
        <v>86</v>
      </c>
    </row>
    <row r="71" spans="1:16" x14ac:dyDescent="0.3">
      <c r="A71" s="411"/>
      <c r="B71" s="332" t="s">
        <v>81</v>
      </c>
      <c r="C71" s="332" t="s">
        <v>3</v>
      </c>
      <c r="D71" s="359">
        <f>D66+D67-D70</f>
        <v>2921</v>
      </c>
      <c r="E71" s="359">
        <f t="shared" ref="E71:O71" si="21">E66+E67-E70</f>
        <v>2908</v>
      </c>
      <c r="F71" s="359">
        <f t="shared" si="21"/>
        <v>0</v>
      </c>
      <c r="G71" s="359">
        <f t="shared" si="21"/>
        <v>0</v>
      </c>
      <c r="H71" s="359">
        <f t="shared" si="21"/>
        <v>0</v>
      </c>
      <c r="I71" s="359">
        <f t="shared" si="21"/>
        <v>0</v>
      </c>
      <c r="J71" s="359">
        <f t="shared" si="21"/>
        <v>0</v>
      </c>
      <c r="K71" s="359">
        <f t="shared" si="21"/>
        <v>0</v>
      </c>
      <c r="L71" s="359">
        <f t="shared" si="21"/>
        <v>0</v>
      </c>
      <c r="M71" s="359">
        <f t="shared" si="21"/>
        <v>0</v>
      </c>
      <c r="N71" s="359">
        <f t="shared" si="21"/>
        <v>0</v>
      </c>
      <c r="O71" s="359">
        <f t="shared" si="21"/>
        <v>0</v>
      </c>
      <c r="P71" s="360">
        <f>P66+P67-P70</f>
        <v>2908</v>
      </c>
    </row>
    <row r="72" spans="1:16" x14ac:dyDescent="0.3">
      <c r="A72" s="409" t="s">
        <v>110</v>
      </c>
      <c r="B72" s="332" t="s">
        <v>85</v>
      </c>
      <c r="C72" s="332" t="s">
        <v>3</v>
      </c>
      <c r="D72" s="354">
        <v>10</v>
      </c>
      <c r="E72" s="354">
        <v>10</v>
      </c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>
        <f>D72</f>
        <v>10</v>
      </c>
    </row>
    <row r="73" spans="1:16" x14ac:dyDescent="0.3">
      <c r="A73" s="410"/>
      <c r="B73" s="322" t="s">
        <v>106</v>
      </c>
      <c r="C73" s="332" t="s">
        <v>3</v>
      </c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5">
        <f>SUM(D73:O73)</f>
        <v>0</v>
      </c>
    </row>
    <row r="74" spans="1:16" x14ac:dyDescent="0.3">
      <c r="A74" s="410"/>
      <c r="B74" s="322" t="s">
        <v>105</v>
      </c>
      <c r="C74" s="332" t="s">
        <v>3</v>
      </c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5">
        <f t="shared" ref="P74:P75" si="22">SUM(D74:O74)</f>
        <v>0</v>
      </c>
    </row>
    <row r="75" spans="1:16" s="328" customFormat="1" x14ac:dyDescent="0.3">
      <c r="A75" s="410"/>
      <c r="B75" s="322" t="s">
        <v>104</v>
      </c>
      <c r="C75" s="322" t="s">
        <v>3</v>
      </c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7">
        <f t="shared" si="22"/>
        <v>0</v>
      </c>
    </row>
    <row r="76" spans="1:16" s="328" customFormat="1" x14ac:dyDescent="0.3">
      <c r="A76" s="410"/>
      <c r="B76" s="322" t="s">
        <v>190</v>
      </c>
      <c r="C76" s="322" t="s">
        <v>3</v>
      </c>
      <c r="D76" s="356">
        <f>D74+D75</f>
        <v>0</v>
      </c>
      <c r="E76" s="356">
        <f t="shared" ref="E76:P76" si="23">E74+E75</f>
        <v>0</v>
      </c>
      <c r="F76" s="356">
        <f t="shared" si="23"/>
        <v>0</v>
      </c>
      <c r="G76" s="356">
        <f t="shared" si="23"/>
        <v>0</v>
      </c>
      <c r="H76" s="356">
        <f t="shared" si="23"/>
        <v>0</v>
      </c>
      <c r="I76" s="356">
        <f t="shared" si="23"/>
        <v>0</v>
      </c>
      <c r="J76" s="356">
        <f t="shared" si="23"/>
        <v>0</v>
      </c>
      <c r="K76" s="356">
        <f t="shared" si="23"/>
        <v>0</v>
      </c>
      <c r="L76" s="356">
        <f t="shared" si="23"/>
        <v>0</v>
      </c>
      <c r="M76" s="356">
        <f t="shared" si="23"/>
        <v>0</v>
      </c>
      <c r="N76" s="356">
        <f t="shared" si="23"/>
        <v>0</v>
      </c>
      <c r="O76" s="356">
        <f t="shared" si="23"/>
        <v>0</v>
      </c>
      <c r="P76" s="358">
        <f t="shared" si="23"/>
        <v>0</v>
      </c>
    </row>
    <row r="77" spans="1:16" x14ac:dyDescent="0.3">
      <c r="A77" s="411"/>
      <c r="B77" s="332" t="s">
        <v>81</v>
      </c>
      <c r="C77" s="332" t="s">
        <v>3</v>
      </c>
      <c r="D77" s="359">
        <f>D72+D73-D76</f>
        <v>10</v>
      </c>
      <c r="E77" s="359">
        <f t="shared" ref="E77:O77" si="24">E72+E73-E76</f>
        <v>10</v>
      </c>
      <c r="F77" s="359">
        <f t="shared" si="24"/>
        <v>0</v>
      </c>
      <c r="G77" s="359">
        <f t="shared" si="24"/>
        <v>0</v>
      </c>
      <c r="H77" s="359">
        <f t="shared" si="24"/>
        <v>0</v>
      </c>
      <c r="I77" s="359">
        <f t="shared" si="24"/>
        <v>0</v>
      </c>
      <c r="J77" s="359">
        <f t="shared" si="24"/>
        <v>0</v>
      </c>
      <c r="K77" s="359">
        <f t="shared" si="24"/>
        <v>0</v>
      </c>
      <c r="L77" s="359">
        <f t="shared" si="24"/>
        <v>0</v>
      </c>
      <c r="M77" s="359">
        <f t="shared" si="24"/>
        <v>0</v>
      </c>
      <c r="N77" s="359">
        <f t="shared" si="24"/>
        <v>0</v>
      </c>
      <c r="O77" s="359">
        <f t="shared" si="24"/>
        <v>0</v>
      </c>
      <c r="P77" s="360">
        <f>P72+P73-P76</f>
        <v>10</v>
      </c>
    </row>
    <row r="78" spans="1:16" ht="15.6" customHeight="1" x14ac:dyDescent="0.3">
      <c r="A78" s="409" t="s">
        <v>109</v>
      </c>
      <c r="B78" s="332" t="s">
        <v>85</v>
      </c>
      <c r="C78" s="332" t="s">
        <v>3</v>
      </c>
      <c r="D78" s="354">
        <v>15</v>
      </c>
      <c r="E78" s="354">
        <v>15</v>
      </c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5">
        <f>D78</f>
        <v>15</v>
      </c>
    </row>
    <row r="79" spans="1:16" x14ac:dyDescent="0.3">
      <c r="A79" s="410"/>
      <c r="B79" s="322" t="s">
        <v>106</v>
      </c>
      <c r="C79" s="332" t="s">
        <v>3</v>
      </c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5">
        <f>SUM(D79:O79)</f>
        <v>0</v>
      </c>
    </row>
    <row r="80" spans="1:16" x14ac:dyDescent="0.3">
      <c r="A80" s="410"/>
      <c r="B80" s="322" t="s">
        <v>105</v>
      </c>
      <c r="C80" s="332" t="s">
        <v>3</v>
      </c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5">
        <f>SUM(D80:O80)</f>
        <v>0</v>
      </c>
    </row>
    <row r="81" spans="1:16" s="328" customFormat="1" x14ac:dyDescent="0.3">
      <c r="A81" s="410"/>
      <c r="B81" s="322" t="s">
        <v>104</v>
      </c>
      <c r="C81" s="322" t="s">
        <v>3</v>
      </c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7">
        <f>SUM(D81:O81)</f>
        <v>0</v>
      </c>
    </row>
    <row r="82" spans="1:16" s="328" customFormat="1" x14ac:dyDescent="0.3">
      <c r="A82" s="410"/>
      <c r="B82" s="322" t="s">
        <v>190</v>
      </c>
      <c r="C82" s="322" t="s">
        <v>3</v>
      </c>
      <c r="D82" s="356">
        <f>D80+D81</f>
        <v>0</v>
      </c>
      <c r="E82" s="356">
        <f t="shared" ref="E82" si="25">E80+E81</f>
        <v>0</v>
      </c>
      <c r="F82" s="356">
        <f t="shared" ref="F82" si="26">F80+F81</f>
        <v>0</v>
      </c>
      <c r="G82" s="356">
        <f t="shared" ref="G82" si="27">G80+G81</f>
        <v>0</v>
      </c>
      <c r="H82" s="356">
        <f t="shared" ref="H82" si="28">H80+H81</f>
        <v>0</v>
      </c>
      <c r="I82" s="356">
        <f t="shared" ref="I82" si="29">I80+I81</f>
        <v>0</v>
      </c>
      <c r="J82" s="356">
        <f t="shared" ref="J82" si="30">J80+J81</f>
        <v>0</v>
      </c>
      <c r="K82" s="356">
        <f t="shared" ref="K82" si="31">K80+K81</f>
        <v>0</v>
      </c>
      <c r="L82" s="356">
        <f t="shared" ref="L82" si="32">L80+L81</f>
        <v>0</v>
      </c>
      <c r="M82" s="356">
        <f t="shared" ref="M82" si="33">M80+M81</f>
        <v>0</v>
      </c>
      <c r="N82" s="356">
        <f t="shared" ref="N82" si="34">N80+N81</f>
        <v>0</v>
      </c>
      <c r="O82" s="356">
        <f t="shared" ref="O82" si="35">O80+O81</f>
        <v>0</v>
      </c>
      <c r="P82" s="358">
        <f t="shared" ref="P82" si="36">P80+P81</f>
        <v>0</v>
      </c>
    </row>
    <row r="83" spans="1:16" x14ac:dyDescent="0.3">
      <c r="A83" s="411"/>
      <c r="B83" s="332" t="s">
        <v>81</v>
      </c>
      <c r="C83" s="332" t="s">
        <v>3</v>
      </c>
      <c r="D83" s="359">
        <f>D78+D79-D82</f>
        <v>15</v>
      </c>
      <c r="E83" s="359">
        <f t="shared" ref="E83:P83" si="37">E78+E79-E82</f>
        <v>15</v>
      </c>
      <c r="F83" s="359">
        <f t="shared" si="37"/>
        <v>0</v>
      </c>
      <c r="G83" s="359">
        <f t="shared" si="37"/>
        <v>0</v>
      </c>
      <c r="H83" s="359">
        <f t="shared" si="37"/>
        <v>0</v>
      </c>
      <c r="I83" s="359">
        <f t="shared" si="37"/>
        <v>0</v>
      </c>
      <c r="J83" s="359">
        <f t="shared" si="37"/>
        <v>0</v>
      </c>
      <c r="K83" s="359">
        <f t="shared" si="37"/>
        <v>0</v>
      </c>
      <c r="L83" s="359">
        <f t="shared" si="37"/>
        <v>0</v>
      </c>
      <c r="M83" s="359">
        <f t="shared" si="37"/>
        <v>0</v>
      </c>
      <c r="N83" s="359">
        <f t="shared" si="37"/>
        <v>0</v>
      </c>
      <c r="O83" s="359">
        <f t="shared" si="37"/>
        <v>0</v>
      </c>
      <c r="P83" s="360">
        <f t="shared" si="37"/>
        <v>15</v>
      </c>
    </row>
    <row r="84" spans="1:16" x14ac:dyDescent="0.3">
      <c r="A84" s="459" t="s">
        <v>108</v>
      </c>
      <c r="B84" s="332" t="s">
        <v>85</v>
      </c>
      <c r="C84" s="332" t="s">
        <v>3</v>
      </c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5">
        <f>D84</f>
        <v>0</v>
      </c>
    </row>
    <row r="85" spans="1:16" x14ac:dyDescent="0.3">
      <c r="A85" s="460"/>
      <c r="B85" s="332" t="s">
        <v>106</v>
      </c>
      <c r="C85" s="332" t="s">
        <v>3</v>
      </c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5">
        <f>SUM(D85:O85)</f>
        <v>0</v>
      </c>
    </row>
    <row r="86" spans="1:16" x14ac:dyDescent="0.3">
      <c r="A86" s="460"/>
      <c r="B86" s="332" t="s">
        <v>105</v>
      </c>
      <c r="C86" s="332" t="s">
        <v>3</v>
      </c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5">
        <f t="shared" ref="P86:P88" si="38">SUM(D86:O86)</f>
        <v>0</v>
      </c>
    </row>
    <row r="87" spans="1:16" s="328" customFormat="1" x14ac:dyDescent="0.3">
      <c r="A87" s="460"/>
      <c r="B87" s="322" t="s">
        <v>104</v>
      </c>
      <c r="C87" s="322" t="s">
        <v>3</v>
      </c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5">
        <f t="shared" si="38"/>
        <v>0</v>
      </c>
    </row>
    <row r="88" spans="1:16" s="328" customFormat="1" x14ac:dyDescent="0.3">
      <c r="A88" s="460"/>
      <c r="B88" s="322" t="s">
        <v>190</v>
      </c>
      <c r="C88" s="322" t="s">
        <v>3</v>
      </c>
      <c r="D88" s="356">
        <f>D86+D87</f>
        <v>0</v>
      </c>
      <c r="E88" s="356">
        <f t="shared" ref="E88:O88" si="39">E86+E87</f>
        <v>0</v>
      </c>
      <c r="F88" s="356">
        <f t="shared" si="39"/>
        <v>0</v>
      </c>
      <c r="G88" s="356">
        <f t="shared" si="39"/>
        <v>0</v>
      </c>
      <c r="H88" s="356">
        <f t="shared" si="39"/>
        <v>0</v>
      </c>
      <c r="I88" s="356">
        <f t="shared" si="39"/>
        <v>0</v>
      </c>
      <c r="J88" s="356">
        <f t="shared" si="39"/>
        <v>0</v>
      </c>
      <c r="K88" s="356">
        <f t="shared" si="39"/>
        <v>0</v>
      </c>
      <c r="L88" s="356">
        <f t="shared" si="39"/>
        <v>0</v>
      </c>
      <c r="M88" s="356">
        <f t="shared" si="39"/>
        <v>0</v>
      </c>
      <c r="N88" s="356">
        <f t="shared" si="39"/>
        <v>0</v>
      </c>
      <c r="O88" s="356">
        <f t="shared" si="39"/>
        <v>0</v>
      </c>
      <c r="P88" s="355">
        <f t="shared" si="38"/>
        <v>0</v>
      </c>
    </row>
    <row r="89" spans="1:16" x14ac:dyDescent="0.3">
      <c r="A89" s="461"/>
      <c r="B89" s="361" t="s">
        <v>81</v>
      </c>
      <c r="C89" s="332" t="s">
        <v>3</v>
      </c>
      <c r="D89" s="521">
        <f>D84+D85-D88</f>
        <v>0</v>
      </c>
      <c r="E89" s="521">
        <f t="shared" ref="E89:O89" si="40">E84+E85-E88</f>
        <v>0</v>
      </c>
      <c r="F89" s="521">
        <f t="shared" si="40"/>
        <v>0</v>
      </c>
      <c r="G89" s="521">
        <f t="shared" si="40"/>
        <v>0</v>
      </c>
      <c r="H89" s="521">
        <f t="shared" si="40"/>
        <v>0</v>
      </c>
      <c r="I89" s="521">
        <f t="shared" si="40"/>
        <v>0</v>
      </c>
      <c r="J89" s="521">
        <f t="shared" si="40"/>
        <v>0</v>
      </c>
      <c r="K89" s="521">
        <f t="shared" si="40"/>
        <v>0</v>
      </c>
      <c r="L89" s="521">
        <f t="shared" si="40"/>
        <v>0</v>
      </c>
      <c r="M89" s="521">
        <f t="shared" si="40"/>
        <v>0</v>
      </c>
      <c r="N89" s="521">
        <f t="shared" si="40"/>
        <v>0</v>
      </c>
      <c r="O89" s="521">
        <f t="shared" si="40"/>
        <v>0</v>
      </c>
      <c r="P89" s="360">
        <f t="shared" ref="P89" si="41">P84+P85-P86-P87</f>
        <v>0</v>
      </c>
    </row>
    <row r="90" spans="1:16" x14ac:dyDescent="0.3">
      <c r="A90" s="462" t="s">
        <v>107</v>
      </c>
      <c r="B90" s="322" t="s">
        <v>85</v>
      </c>
      <c r="C90" s="322" t="s">
        <v>3</v>
      </c>
      <c r="D90" s="362">
        <f t="shared" ref="D90:O93" si="42">D66+D72+D78+D84</f>
        <v>2959</v>
      </c>
      <c r="E90" s="362">
        <f t="shared" si="42"/>
        <v>2946</v>
      </c>
      <c r="F90" s="362">
        <f t="shared" si="42"/>
        <v>0</v>
      </c>
      <c r="G90" s="362">
        <f t="shared" si="42"/>
        <v>0</v>
      </c>
      <c r="H90" s="362">
        <f t="shared" si="42"/>
        <v>0</v>
      </c>
      <c r="I90" s="362">
        <f t="shared" si="42"/>
        <v>0</v>
      </c>
      <c r="J90" s="362">
        <f t="shared" si="42"/>
        <v>0</v>
      </c>
      <c r="K90" s="362">
        <f t="shared" si="42"/>
        <v>0</v>
      </c>
      <c r="L90" s="362">
        <f t="shared" si="42"/>
        <v>0</v>
      </c>
      <c r="M90" s="362">
        <f t="shared" si="42"/>
        <v>0</v>
      </c>
      <c r="N90" s="362">
        <f t="shared" si="42"/>
        <v>0</v>
      </c>
      <c r="O90" s="362">
        <f t="shared" si="42"/>
        <v>0</v>
      </c>
      <c r="P90" s="355">
        <f>D90</f>
        <v>2959</v>
      </c>
    </row>
    <row r="91" spans="1:16" x14ac:dyDescent="0.3">
      <c r="A91" s="463"/>
      <c r="B91" s="322" t="s">
        <v>106</v>
      </c>
      <c r="C91" s="322" t="s">
        <v>3</v>
      </c>
      <c r="D91" s="362">
        <f t="shared" si="42"/>
        <v>40</v>
      </c>
      <c r="E91" s="362">
        <f t="shared" si="42"/>
        <v>20</v>
      </c>
      <c r="F91" s="362">
        <f t="shared" si="42"/>
        <v>0</v>
      </c>
      <c r="G91" s="362">
        <f t="shared" si="42"/>
        <v>0</v>
      </c>
      <c r="H91" s="362">
        <f t="shared" si="42"/>
        <v>0</v>
      </c>
      <c r="I91" s="362">
        <f t="shared" si="42"/>
        <v>0</v>
      </c>
      <c r="J91" s="362">
        <f t="shared" si="42"/>
        <v>0</v>
      </c>
      <c r="K91" s="362">
        <f t="shared" si="42"/>
        <v>0</v>
      </c>
      <c r="L91" s="362">
        <f t="shared" si="42"/>
        <v>0</v>
      </c>
      <c r="M91" s="362">
        <f t="shared" si="42"/>
        <v>0</v>
      </c>
      <c r="N91" s="362">
        <f t="shared" si="42"/>
        <v>0</v>
      </c>
      <c r="O91" s="362">
        <f t="shared" si="42"/>
        <v>0</v>
      </c>
      <c r="P91" s="355">
        <f>SUM(D91:O91)</f>
        <v>60</v>
      </c>
    </row>
    <row r="92" spans="1:16" x14ac:dyDescent="0.3">
      <c r="A92" s="463"/>
      <c r="B92" s="322" t="s">
        <v>105</v>
      </c>
      <c r="C92" s="322" t="s">
        <v>3</v>
      </c>
      <c r="D92" s="362">
        <f t="shared" si="42"/>
        <v>0</v>
      </c>
      <c r="E92" s="362">
        <f t="shared" si="42"/>
        <v>0</v>
      </c>
      <c r="F92" s="362">
        <f t="shared" si="42"/>
        <v>0</v>
      </c>
      <c r="G92" s="362">
        <f t="shared" si="42"/>
        <v>0</v>
      </c>
      <c r="H92" s="362">
        <f t="shared" si="42"/>
        <v>0</v>
      </c>
      <c r="I92" s="362">
        <f t="shared" si="42"/>
        <v>0</v>
      </c>
      <c r="J92" s="362">
        <f t="shared" si="42"/>
        <v>0</v>
      </c>
      <c r="K92" s="362">
        <f t="shared" si="42"/>
        <v>0</v>
      </c>
      <c r="L92" s="362">
        <f t="shared" si="42"/>
        <v>0</v>
      </c>
      <c r="M92" s="362">
        <f t="shared" si="42"/>
        <v>0</v>
      </c>
      <c r="N92" s="362">
        <f t="shared" si="42"/>
        <v>0</v>
      </c>
      <c r="O92" s="362">
        <f t="shared" si="42"/>
        <v>0</v>
      </c>
      <c r="P92" s="355">
        <f>SUM(D92:O92)</f>
        <v>0</v>
      </c>
    </row>
    <row r="93" spans="1:16" s="328" customFormat="1" x14ac:dyDescent="0.3">
      <c r="A93" s="463"/>
      <c r="B93" s="322" t="s">
        <v>104</v>
      </c>
      <c r="C93" s="322"/>
      <c r="D93" s="362">
        <f t="shared" si="42"/>
        <v>53</v>
      </c>
      <c r="E93" s="362">
        <f t="shared" si="42"/>
        <v>33</v>
      </c>
      <c r="F93" s="362">
        <f t="shared" si="42"/>
        <v>0</v>
      </c>
      <c r="G93" s="362">
        <f t="shared" si="42"/>
        <v>0</v>
      </c>
      <c r="H93" s="362">
        <f t="shared" si="42"/>
        <v>0</v>
      </c>
      <c r="I93" s="362">
        <f t="shared" si="42"/>
        <v>0</v>
      </c>
      <c r="J93" s="362">
        <f t="shared" si="42"/>
        <v>0</v>
      </c>
      <c r="K93" s="362">
        <f t="shared" si="42"/>
        <v>0</v>
      </c>
      <c r="L93" s="362">
        <f t="shared" si="42"/>
        <v>0</v>
      </c>
      <c r="M93" s="362">
        <f t="shared" si="42"/>
        <v>0</v>
      </c>
      <c r="N93" s="362">
        <f t="shared" si="42"/>
        <v>0</v>
      </c>
      <c r="O93" s="362">
        <f t="shared" si="42"/>
        <v>0</v>
      </c>
      <c r="P93" s="355">
        <f>SUM(D93:O93)</f>
        <v>86</v>
      </c>
    </row>
    <row r="94" spans="1:16" s="328" customFormat="1" x14ac:dyDescent="0.3">
      <c r="A94" s="463"/>
      <c r="B94" s="322" t="s">
        <v>190</v>
      </c>
      <c r="C94" s="322" t="s">
        <v>3</v>
      </c>
      <c r="D94" s="363">
        <f>D93+D92</f>
        <v>53</v>
      </c>
      <c r="E94" s="363">
        <f t="shared" ref="E94:P94" si="43">E93+E92</f>
        <v>33</v>
      </c>
      <c r="F94" s="363">
        <f t="shared" si="43"/>
        <v>0</v>
      </c>
      <c r="G94" s="363">
        <f t="shared" si="43"/>
        <v>0</v>
      </c>
      <c r="H94" s="363">
        <f t="shared" si="43"/>
        <v>0</v>
      </c>
      <c r="I94" s="363">
        <f t="shared" si="43"/>
        <v>0</v>
      </c>
      <c r="J94" s="363">
        <f t="shared" si="43"/>
        <v>0</v>
      </c>
      <c r="K94" s="363">
        <f t="shared" si="43"/>
        <v>0</v>
      </c>
      <c r="L94" s="363">
        <f t="shared" si="43"/>
        <v>0</v>
      </c>
      <c r="M94" s="363">
        <f t="shared" si="43"/>
        <v>0</v>
      </c>
      <c r="N94" s="363">
        <f t="shared" si="43"/>
        <v>0</v>
      </c>
      <c r="O94" s="363">
        <f t="shared" si="43"/>
        <v>0</v>
      </c>
      <c r="P94" s="365">
        <f t="shared" si="43"/>
        <v>86</v>
      </c>
    </row>
    <row r="95" spans="1:16" ht="16.2" thickBot="1" x14ac:dyDescent="0.35">
      <c r="A95" s="464"/>
      <c r="B95" s="322" t="s">
        <v>81</v>
      </c>
      <c r="C95" s="322" t="s">
        <v>3</v>
      </c>
      <c r="D95" s="366">
        <f>D90+D91-D94</f>
        <v>2946</v>
      </c>
      <c r="E95" s="366">
        <f t="shared" ref="E95:P95" si="44">E90+E91-E94</f>
        <v>2933</v>
      </c>
      <c r="F95" s="366">
        <f t="shared" si="44"/>
        <v>0</v>
      </c>
      <c r="G95" s="366">
        <f t="shared" si="44"/>
        <v>0</v>
      </c>
      <c r="H95" s="366">
        <f t="shared" si="44"/>
        <v>0</v>
      </c>
      <c r="I95" s="366">
        <f t="shared" si="44"/>
        <v>0</v>
      </c>
      <c r="J95" s="366">
        <f t="shared" si="44"/>
        <v>0</v>
      </c>
      <c r="K95" s="366">
        <f t="shared" si="44"/>
        <v>0</v>
      </c>
      <c r="L95" s="366">
        <f t="shared" si="44"/>
        <v>0</v>
      </c>
      <c r="M95" s="366">
        <f t="shared" si="44"/>
        <v>0</v>
      </c>
      <c r="N95" s="366">
        <f t="shared" si="44"/>
        <v>0</v>
      </c>
      <c r="O95" s="366">
        <f t="shared" si="44"/>
        <v>0</v>
      </c>
      <c r="P95" s="367">
        <f t="shared" si="44"/>
        <v>2933</v>
      </c>
    </row>
    <row r="96" spans="1:16" ht="16.2" thickBot="1" x14ac:dyDescent="0.35">
      <c r="A96" s="368"/>
      <c r="B96" s="369"/>
      <c r="C96" s="369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5"/>
    </row>
    <row r="97" spans="1:16" s="328" customFormat="1" ht="15.75" customHeight="1" thickBot="1" x14ac:dyDescent="0.35">
      <c r="A97" s="430" t="s">
        <v>191</v>
      </c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85"/>
    </row>
    <row r="98" spans="1:16" x14ac:dyDescent="0.3">
      <c r="A98" s="370" t="s">
        <v>192</v>
      </c>
      <c r="B98" s="371"/>
      <c r="C98" s="322" t="s">
        <v>3</v>
      </c>
      <c r="D98" s="372">
        <v>53</v>
      </c>
      <c r="E98" s="372">
        <v>33</v>
      </c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522">
        <f>SUM(D98:O98)</f>
        <v>86</v>
      </c>
    </row>
    <row r="99" spans="1:16" x14ac:dyDescent="0.3">
      <c r="A99" s="370"/>
      <c r="B99" s="322"/>
      <c r="C99" s="322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5"/>
    </row>
    <row r="100" spans="1:16" s="328" customFormat="1" x14ac:dyDescent="0.3">
      <c r="A100" s="451" t="s">
        <v>103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  <c r="M100" s="452"/>
      <c r="N100" s="452"/>
      <c r="O100" s="452"/>
      <c r="P100" s="486"/>
    </row>
    <row r="101" spans="1:16" x14ac:dyDescent="0.3">
      <c r="A101" s="416" t="s">
        <v>102</v>
      </c>
      <c r="B101" s="417"/>
      <c r="C101" s="322" t="s">
        <v>3</v>
      </c>
      <c r="D101" s="350">
        <v>6</v>
      </c>
      <c r="E101" s="350">
        <v>6</v>
      </c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73">
        <f t="shared" ref="P101:P116" si="45">O101</f>
        <v>0</v>
      </c>
    </row>
    <row r="102" spans="1:16" x14ac:dyDescent="0.3">
      <c r="A102" s="416" t="s">
        <v>101</v>
      </c>
      <c r="B102" s="417"/>
      <c r="C102" s="322" t="s">
        <v>3</v>
      </c>
      <c r="D102" s="350">
        <v>3</v>
      </c>
      <c r="E102" s="350">
        <v>3</v>
      </c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73">
        <f t="shared" si="45"/>
        <v>0</v>
      </c>
    </row>
    <row r="103" spans="1:16" ht="15.6" customHeight="1" x14ac:dyDescent="0.3">
      <c r="A103" s="423" t="s">
        <v>100</v>
      </c>
      <c r="B103" s="424"/>
      <c r="C103" s="322" t="s">
        <v>3</v>
      </c>
      <c r="D103" s="350">
        <v>1</v>
      </c>
      <c r="E103" s="350">
        <v>1</v>
      </c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73">
        <f t="shared" si="45"/>
        <v>0</v>
      </c>
    </row>
    <row r="104" spans="1:16" x14ac:dyDescent="0.3">
      <c r="A104" s="423" t="s">
        <v>99</v>
      </c>
      <c r="B104" s="424"/>
      <c r="C104" s="322" t="s">
        <v>3</v>
      </c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73">
        <f t="shared" si="45"/>
        <v>0</v>
      </c>
    </row>
    <row r="105" spans="1:16" x14ac:dyDescent="0.3">
      <c r="A105" s="465" t="s">
        <v>98</v>
      </c>
      <c r="B105" s="466"/>
      <c r="C105" s="322" t="s">
        <v>3</v>
      </c>
      <c r="D105" s="374">
        <f>SUM(D101:D104)</f>
        <v>10</v>
      </c>
      <c r="E105" s="374">
        <f t="shared" ref="E105:O105" si="46">SUM(E101:E104)</f>
        <v>10</v>
      </c>
      <c r="F105" s="374">
        <f t="shared" si="46"/>
        <v>0</v>
      </c>
      <c r="G105" s="374">
        <f t="shared" si="46"/>
        <v>0</v>
      </c>
      <c r="H105" s="374">
        <f t="shared" si="46"/>
        <v>0</v>
      </c>
      <c r="I105" s="374">
        <f t="shared" si="46"/>
        <v>0</v>
      </c>
      <c r="J105" s="374">
        <f t="shared" si="46"/>
        <v>0</v>
      </c>
      <c r="K105" s="374">
        <f t="shared" si="46"/>
        <v>0</v>
      </c>
      <c r="L105" s="374">
        <f t="shared" si="46"/>
        <v>0</v>
      </c>
      <c r="M105" s="374">
        <f t="shared" si="46"/>
        <v>0</v>
      </c>
      <c r="N105" s="374">
        <f t="shared" si="46"/>
        <v>0</v>
      </c>
      <c r="O105" s="374">
        <f t="shared" si="46"/>
        <v>0</v>
      </c>
      <c r="P105" s="373">
        <f t="shared" si="45"/>
        <v>0</v>
      </c>
    </row>
    <row r="106" spans="1:16" s="328" customFormat="1" ht="15.6" customHeight="1" x14ac:dyDescent="0.3">
      <c r="A106" s="449" t="s">
        <v>212</v>
      </c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87"/>
    </row>
    <row r="107" spans="1:16" x14ac:dyDescent="0.3">
      <c r="A107" s="416" t="s">
        <v>195</v>
      </c>
      <c r="B107" s="417"/>
      <c r="C107" s="322" t="s">
        <v>3</v>
      </c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73">
        <f t="shared" si="45"/>
        <v>0</v>
      </c>
    </row>
    <row r="108" spans="1:16" x14ac:dyDescent="0.3">
      <c r="A108" s="416" t="s">
        <v>196</v>
      </c>
      <c r="B108" s="417"/>
      <c r="C108" s="322" t="s">
        <v>3</v>
      </c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73">
        <f t="shared" si="45"/>
        <v>0</v>
      </c>
    </row>
    <row r="109" spans="1:16" x14ac:dyDescent="0.3">
      <c r="A109" s="416" t="s">
        <v>197</v>
      </c>
      <c r="B109" s="417"/>
      <c r="C109" s="322" t="s">
        <v>3</v>
      </c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73">
        <f t="shared" si="45"/>
        <v>0</v>
      </c>
    </row>
    <row r="110" spans="1:16" x14ac:dyDescent="0.3">
      <c r="A110" s="416" t="s">
        <v>198</v>
      </c>
      <c r="B110" s="417"/>
      <c r="C110" s="322" t="s">
        <v>3</v>
      </c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73">
        <f t="shared" si="45"/>
        <v>0</v>
      </c>
    </row>
    <row r="111" spans="1:16" x14ac:dyDescent="0.3">
      <c r="A111" s="432" t="s">
        <v>97</v>
      </c>
      <c r="B111" s="433"/>
      <c r="C111" s="322" t="s">
        <v>3</v>
      </c>
      <c r="D111" s="374">
        <f>SUM(D107:D110)</f>
        <v>0</v>
      </c>
      <c r="E111" s="374">
        <f t="shared" ref="E111:O111" si="47">SUM(E107:E110)</f>
        <v>0</v>
      </c>
      <c r="F111" s="374">
        <f t="shared" si="47"/>
        <v>0</v>
      </c>
      <c r="G111" s="374">
        <f t="shared" si="47"/>
        <v>0</v>
      </c>
      <c r="H111" s="374">
        <f t="shared" si="47"/>
        <v>0</v>
      </c>
      <c r="I111" s="374">
        <f t="shared" si="47"/>
        <v>0</v>
      </c>
      <c r="J111" s="374">
        <f t="shared" si="47"/>
        <v>0</v>
      </c>
      <c r="K111" s="374">
        <f t="shared" si="47"/>
        <v>0</v>
      </c>
      <c r="L111" s="374">
        <f t="shared" si="47"/>
        <v>0</v>
      </c>
      <c r="M111" s="374">
        <f t="shared" si="47"/>
        <v>0</v>
      </c>
      <c r="N111" s="374">
        <f t="shared" si="47"/>
        <v>0</v>
      </c>
      <c r="O111" s="374">
        <f t="shared" si="47"/>
        <v>0</v>
      </c>
      <c r="P111" s="373">
        <f t="shared" si="45"/>
        <v>0</v>
      </c>
    </row>
    <row r="112" spans="1:16" s="328" customFormat="1" ht="15.6" customHeight="1" x14ac:dyDescent="0.3">
      <c r="A112" s="451" t="s">
        <v>218</v>
      </c>
      <c r="B112" s="452"/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86"/>
    </row>
    <row r="113" spans="1:16" x14ac:dyDescent="0.3">
      <c r="A113" s="416" t="s">
        <v>199</v>
      </c>
      <c r="B113" s="417"/>
      <c r="C113" s="322" t="s">
        <v>3</v>
      </c>
      <c r="D113" s="375">
        <v>4481</v>
      </c>
      <c r="E113" s="375">
        <v>4514</v>
      </c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3">
        <f t="shared" si="45"/>
        <v>0</v>
      </c>
    </row>
    <row r="114" spans="1:16" x14ac:dyDescent="0.3">
      <c r="A114" s="416" t="s">
        <v>200</v>
      </c>
      <c r="B114" s="417"/>
      <c r="C114" s="322" t="s">
        <v>3</v>
      </c>
      <c r="D114" s="375">
        <v>62</v>
      </c>
      <c r="E114" s="375">
        <v>62</v>
      </c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3">
        <f t="shared" si="45"/>
        <v>0</v>
      </c>
    </row>
    <row r="115" spans="1:16" x14ac:dyDescent="0.3">
      <c r="A115" s="416" t="s">
        <v>201</v>
      </c>
      <c r="B115" s="417"/>
      <c r="C115" s="322" t="s">
        <v>3</v>
      </c>
      <c r="D115" s="375">
        <v>84</v>
      </c>
      <c r="E115" s="375">
        <v>84</v>
      </c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3">
        <f t="shared" si="45"/>
        <v>0</v>
      </c>
    </row>
    <row r="116" spans="1:16" x14ac:dyDescent="0.3">
      <c r="A116" s="416" t="s">
        <v>202</v>
      </c>
      <c r="B116" s="417"/>
      <c r="C116" s="322" t="s">
        <v>3</v>
      </c>
      <c r="D116" s="375">
        <v>15</v>
      </c>
      <c r="E116" s="375">
        <v>15</v>
      </c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3">
        <f t="shared" si="45"/>
        <v>0</v>
      </c>
    </row>
    <row r="117" spans="1:16" x14ac:dyDescent="0.3">
      <c r="A117" s="432" t="s">
        <v>96</v>
      </c>
      <c r="B117" s="433"/>
      <c r="C117" s="322" t="s">
        <v>3</v>
      </c>
      <c r="D117" s="374">
        <f>SUM(D113:D116)</f>
        <v>4642</v>
      </c>
      <c r="E117" s="374">
        <f t="shared" ref="E117:P117" si="48">SUM(E113:E116)</f>
        <v>4675</v>
      </c>
      <c r="F117" s="374">
        <f t="shared" si="48"/>
        <v>0</v>
      </c>
      <c r="G117" s="374">
        <f t="shared" si="48"/>
        <v>0</v>
      </c>
      <c r="H117" s="374">
        <f t="shared" si="48"/>
        <v>0</v>
      </c>
      <c r="I117" s="374">
        <f t="shared" si="48"/>
        <v>0</v>
      </c>
      <c r="J117" s="374">
        <f t="shared" si="48"/>
        <v>0</v>
      </c>
      <c r="K117" s="374">
        <f t="shared" si="48"/>
        <v>0</v>
      </c>
      <c r="L117" s="374">
        <f t="shared" si="48"/>
        <v>0</v>
      </c>
      <c r="M117" s="374">
        <f t="shared" si="48"/>
        <v>0</v>
      </c>
      <c r="N117" s="374">
        <f t="shared" si="48"/>
        <v>0</v>
      </c>
      <c r="O117" s="374">
        <f t="shared" si="48"/>
        <v>0</v>
      </c>
      <c r="P117" s="324">
        <f t="shared" si="48"/>
        <v>0</v>
      </c>
    </row>
    <row r="118" spans="1:16" s="328" customFormat="1" x14ac:dyDescent="0.3">
      <c r="A118" s="376" t="s">
        <v>193</v>
      </c>
      <c r="B118" s="377"/>
      <c r="C118" s="322" t="s">
        <v>3</v>
      </c>
      <c r="D118" s="374">
        <f t="shared" ref="D118:P118" si="49">D111+D117</f>
        <v>4642</v>
      </c>
      <c r="E118" s="374">
        <f t="shared" si="49"/>
        <v>4675</v>
      </c>
      <c r="F118" s="374">
        <f t="shared" si="49"/>
        <v>0</v>
      </c>
      <c r="G118" s="374">
        <f t="shared" si="49"/>
        <v>0</v>
      </c>
      <c r="H118" s="374">
        <f t="shared" si="49"/>
        <v>0</v>
      </c>
      <c r="I118" s="374">
        <f t="shared" si="49"/>
        <v>0</v>
      </c>
      <c r="J118" s="374">
        <f t="shared" si="49"/>
        <v>0</v>
      </c>
      <c r="K118" s="374">
        <f t="shared" si="49"/>
        <v>0</v>
      </c>
      <c r="L118" s="374">
        <f t="shared" si="49"/>
        <v>0</v>
      </c>
      <c r="M118" s="374">
        <f t="shared" si="49"/>
        <v>0</v>
      </c>
      <c r="N118" s="374">
        <f t="shared" si="49"/>
        <v>0</v>
      </c>
      <c r="O118" s="374">
        <f t="shared" si="49"/>
        <v>0</v>
      </c>
      <c r="P118" s="374">
        <f t="shared" si="49"/>
        <v>0</v>
      </c>
    </row>
    <row r="119" spans="1:16" x14ac:dyDescent="0.3">
      <c r="A119" s="432" t="s">
        <v>194</v>
      </c>
      <c r="B119" s="433"/>
      <c r="C119" s="322" t="s">
        <v>3</v>
      </c>
      <c r="D119" s="374">
        <f t="shared" ref="D119:P119" si="50">D105+D118</f>
        <v>4652</v>
      </c>
      <c r="E119" s="374">
        <f t="shared" si="50"/>
        <v>4685</v>
      </c>
      <c r="F119" s="374">
        <f t="shared" si="50"/>
        <v>0</v>
      </c>
      <c r="G119" s="374">
        <f t="shared" si="50"/>
        <v>0</v>
      </c>
      <c r="H119" s="374">
        <f t="shared" si="50"/>
        <v>0</v>
      </c>
      <c r="I119" s="374">
        <f t="shared" si="50"/>
        <v>0</v>
      </c>
      <c r="J119" s="374">
        <f t="shared" si="50"/>
        <v>0</v>
      </c>
      <c r="K119" s="374">
        <f t="shared" si="50"/>
        <v>0</v>
      </c>
      <c r="L119" s="374">
        <f t="shared" si="50"/>
        <v>0</v>
      </c>
      <c r="M119" s="374">
        <f t="shared" si="50"/>
        <v>0</v>
      </c>
      <c r="N119" s="374">
        <f t="shared" si="50"/>
        <v>0</v>
      </c>
      <c r="O119" s="374">
        <f t="shared" si="50"/>
        <v>0</v>
      </c>
      <c r="P119" s="374">
        <f t="shared" si="50"/>
        <v>0</v>
      </c>
    </row>
    <row r="120" spans="1:16" x14ac:dyDescent="0.3">
      <c r="A120" s="414" t="s">
        <v>203</v>
      </c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79"/>
    </row>
    <row r="121" spans="1:16" x14ac:dyDescent="0.3">
      <c r="A121" s="416" t="s">
        <v>95</v>
      </c>
      <c r="B121" s="417"/>
      <c r="C121" s="332" t="s">
        <v>3</v>
      </c>
      <c r="D121" s="378">
        <v>93100</v>
      </c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9">
        <f>O121</f>
        <v>0</v>
      </c>
    </row>
    <row r="122" spans="1:16" x14ac:dyDescent="0.3">
      <c r="A122" s="416" t="s">
        <v>94</v>
      </c>
      <c r="B122" s="417"/>
      <c r="C122" s="332" t="s">
        <v>3</v>
      </c>
      <c r="D122" s="378">
        <v>35250</v>
      </c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9">
        <f>O122</f>
        <v>0</v>
      </c>
    </row>
    <row r="123" spans="1:16" x14ac:dyDescent="0.3">
      <c r="A123" s="447" t="s">
        <v>93</v>
      </c>
      <c r="B123" s="448"/>
      <c r="C123" s="380" t="s">
        <v>6</v>
      </c>
      <c r="D123" s="381">
        <f t="shared" ref="D123:P123" si="51">D122/D121</f>
        <v>0.378625134264232</v>
      </c>
      <c r="E123" s="381" t="e">
        <f t="shared" si="51"/>
        <v>#DIV/0!</v>
      </c>
      <c r="F123" s="381" t="e">
        <f t="shared" si="51"/>
        <v>#DIV/0!</v>
      </c>
      <c r="G123" s="381" t="e">
        <f t="shared" si="51"/>
        <v>#DIV/0!</v>
      </c>
      <c r="H123" s="381" t="e">
        <f t="shared" si="51"/>
        <v>#DIV/0!</v>
      </c>
      <c r="I123" s="381" t="e">
        <f t="shared" si="51"/>
        <v>#DIV/0!</v>
      </c>
      <c r="J123" s="381" t="e">
        <f t="shared" si="51"/>
        <v>#DIV/0!</v>
      </c>
      <c r="K123" s="381" t="e">
        <f t="shared" si="51"/>
        <v>#DIV/0!</v>
      </c>
      <c r="L123" s="381" t="e">
        <f t="shared" si="51"/>
        <v>#DIV/0!</v>
      </c>
      <c r="M123" s="381" t="e">
        <f t="shared" si="51"/>
        <v>#DIV/0!</v>
      </c>
      <c r="N123" s="381" t="e">
        <f t="shared" si="51"/>
        <v>#DIV/0!</v>
      </c>
      <c r="O123" s="381" t="e">
        <f t="shared" si="51"/>
        <v>#DIV/0!</v>
      </c>
      <c r="P123" s="523" t="e">
        <f t="shared" si="51"/>
        <v>#DIV/0!</v>
      </c>
    </row>
    <row r="124" spans="1:16" x14ac:dyDescent="0.3">
      <c r="A124" s="440" t="s">
        <v>92</v>
      </c>
      <c r="B124" s="441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88"/>
    </row>
    <row r="125" spans="1:16" x14ac:dyDescent="0.3">
      <c r="A125" s="226" t="s">
        <v>91</v>
      </c>
      <c r="B125" s="322" t="s">
        <v>85</v>
      </c>
      <c r="C125" s="322" t="s">
        <v>3</v>
      </c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5">
        <f>D125</f>
        <v>0</v>
      </c>
    </row>
    <row r="126" spans="1:16" x14ac:dyDescent="0.3">
      <c r="A126" s="425"/>
      <c r="B126" s="322" t="s">
        <v>84</v>
      </c>
      <c r="C126" s="322" t="s">
        <v>3</v>
      </c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7">
        <f>SUM(D126:O126)</f>
        <v>0</v>
      </c>
    </row>
    <row r="127" spans="1:16" x14ac:dyDescent="0.3">
      <c r="A127" s="425"/>
      <c r="B127" s="382" t="s">
        <v>88</v>
      </c>
      <c r="C127" s="322" t="s">
        <v>3</v>
      </c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7">
        <f>SUM(D127:O127)</f>
        <v>0</v>
      </c>
    </row>
    <row r="128" spans="1:16" x14ac:dyDescent="0.3">
      <c r="A128" s="425"/>
      <c r="B128" s="322" t="s">
        <v>82</v>
      </c>
      <c r="C128" s="322" t="s">
        <v>3</v>
      </c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7">
        <f>SUM(D128:O128)</f>
        <v>0</v>
      </c>
    </row>
    <row r="129" spans="1:16" x14ac:dyDescent="0.3">
      <c r="A129" s="227"/>
      <c r="B129" s="322" t="s">
        <v>81</v>
      </c>
      <c r="C129" s="322" t="s">
        <v>3</v>
      </c>
      <c r="D129" s="354">
        <f t="shared" ref="D129:O129" si="52">D125+D126-D127-D128</f>
        <v>0</v>
      </c>
      <c r="E129" s="354">
        <f t="shared" si="52"/>
        <v>0</v>
      </c>
      <c r="F129" s="354">
        <f t="shared" si="52"/>
        <v>0</v>
      </c>
      <c r="G129" s="354">
        <f t="shared" si="52"/>
        <v>0</v>
      </c>
      <c r="H129" s="354">
        <f t="shared" si="52"/>
        <v>0</v>
      </c>
      <c r="I129" s="354">
        <f t="shared" si="52"/>
        <v>0</v>
      </c>
      <c r="J129" s="354">
        <f t="shared" si="52"/>
        <v>0</v>
      </c>
      <c r="K129" s="354">
        <f t="shared" si="52"/>
        <v>0</v>
      </c>
      <c r="L129" s="354">
        <f t="shared" si="52"/>
        <v>0</v>
      </c>
      <c r="M129" s="354">
        <f t="shared" si="52"/>
        <v>0</v>
      </c>
      <c r="N129" s="354">
        <f t="shared" si="52"/>
        <v>0</v>
      </c>
      <c r="O129" s="354">
        <f t="shared" si="52"/>
        <v>0</v>
      </c>
      <c r="P129" s="355">
        <f>P125+P126-P127-P128</f>
        <v>0</v>
      </c>
    </row>
    <row r="130" spans="1:16" x14ac:dyDescent="0.3">
      <c r="A130" s="226" t="s">
        <v>90</v>
      </c>
      <c r="B130" s="383" t="s">
        <v>85</v>
      </c>
      <c r="C130" s="383" t="s">
        <v>3</v>
      </c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5">
        <f>D130</f>
        <v>0</v>
      </c>
    </row>
    <row r="131" spans="1:16" x14ac:dyDescent="0.3">
      <c r="A131" s="425"/>
      <c r="B131" s="322" t="s">
        <v>84</v>
      </c>
      <c r="C131" s="322" t="s">
        <v>3</v>
      </c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7">
        <f>SUM(D131:O131)</f>
        <v>0</v>
      </c>
    </row>
    <row r="132" spans="1:16" x14ac:dyDescent="0.3">
      <c r="A132" s="425"/>
      <c r="B132" s="382" t="s">
        <v>88</v>
      </c>
      <c r="C132" s="322" t="s">
        <v>3</v>
      </c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7">
        <f>SUM(D132:O132)</f>
        <v>0</v>
      </c>
    </row>
    <row r="133" spans="1:16" x14ac:dyDescent="0.3">
      <c r="A133" s="425"/>
      <c r="B133" s="322" t="s">
        <v>82</v>
      </c>
      <c r="C133" s="322" t="s">
        <v>3</v>
      </c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7">
        <f>SUM(D133:O133)</f>
        <v>0</v>
      </c>
    </row>
    <row r="134" spans="1:16" x14ac:dyDescent="0.3">
      <c r="A134" s="227"/>
      <c r="B134" s="322" t="s">
        <v>81</v>
      </c>
      <c r="C134" s="322" t="s">
        <v>3</v>
      </c>
      <c r="D134" s="354">
        <f t="shared" ref="D134:O134" si="53">D130+D131-D132-D133</f>
        <v>0</v>
      </c>
      <c r="E134" s="354">
        <f t="shared" si="53"/>
        <v>0</v>
      </c>
      <c r="F134" s="354">
        <f t="shared" si="53"/>
        <v>0</v>
      </c>
      <c r="G134" s="354">
        <f t="shared" si="53"/>
        <v>0</v>
      </c>
      <c r="H134" s="354">
        <f t="shared" si="53"/>
        <v>0</v>
      </c>
      <c r="I134" s="354">
        <f t="shared" si="53"/>
        <v>0</v>
      </c>
      <c r="J134" s="354">
        <f t="shared" si="53"/>
        <v>0</v>
      </c>
      <c r="K134" s="354">
        <f t="shared" si="53"/>
        <v>0</v>
      </c>
      <c r="L134" s="354">
        <f t="shared" si="53"/>
        <v>0</v>
      </c>
      <c r="M134" s="354">
        <f t="shared" si="53"/>
        <v>0</v>
      </c>
      <c r="N134" s="354">
        <f t="shared" si="53"/>
        <v>0</v>
      </c>
      <c r="O134" s="354">
        <f t="shared" si="53"/>
        <v>0</v>
      </c>
      <c r="P134" s="355">
        <f>P130+P131-P132-P133</f>
        <v>0</v>
      </c>
    </row>
    <row r="135" spans="1:16" x14ac:dyDescent="0.3">
      <c r="A135" s="226" t="s">
        <v>89</v>
      </c>
      <c r="B135" s="322" t="s">
        <v>85</v>
      </c>
      <c r="C135" s="322" t="s">
        <v>3</v>
      </c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5">
        <f>D135</f>
        <v>0</v>
      </c>
    </row>
    <row r="136" spans="1:16" x14ac:dyDescent="0.3">
      <c r="A136" s="425"/>
      <c r="B136" s="322" t="s">
        <v>84</v>
      </c>
      <c r="C136" s="322" t="s">
        <v>3</v>
      </c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7">
        <f>SUM(D136:O136)</f>
        <v>0</v>
      </c>
    </row>
    <row r="137" spans="1:16" x14ac:dyDescent="0.3">
      <c r="A137" s="425"/>
      <c r="B137" s="382" t="s">
        <v>88</v>
      </c>
      <c r="C137" s="322" t="s">
        <v>3</v>
      </c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7">
        <f>SUM(D137:O137)</f>
        <v>0</v>
      </c>
    </row>
    <row r="138" spans="1:16" x14ac:dyDescent="0.3">
      <c r="A138" s="425"/>
      <c r="B138" s="322" t="s">
        <v>82</v>
      </c>
      <c r="C138" s="322" t="s">
        <v>3</v>
      </c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7">
        <f>SUM(D138:O138)</f>
        <v>0</v>
      </c>
    </row>
    <row r="139" spans="1:16" x14ac:dyDescent="0.3">
      <c r="A139" s="227"/>
      <c r="B139" s="322" t="s">
        <v>81</v>
      </c>
      <c r="C139" s="322" t="s">
        <v>3</v>
      </c>
      <c r="D139" s="354">
        <f t="shared" ref="D139:O139" si="54">D135+D136-D137-D138</f>
        <v>0</v>
      </c>
      <c r="E139" s="354">
        <f t="shared" si="54"/>
        <v>0</v>
      </c>
      <c r="F139" s="354">
        <f t="shared" si="54"/>
        <v>0</v>
      </c>
      <c r="G139" s="354">
        <f t="shared" si="54"/>
        <v>0</v>
      </c>
      <c r="H139" s="354">
        <f t="shared" si="54"/>
        <v>0</v>
      </c>
      <c r="I139" s="354">
        <f t="shared" si="54"/>
        <v>0</v>
      </c>
      <c r="J139" s="354">
        <f t="shared" si="54"/>
        <v>0</v>
      </c>
      <c r="K139" s="354">
        <f t="shared" si="54"/>
        <v>0</v>
      </c>
      <c r="L139" s="354">
        <f t="shared" si="54"/>
        <v>0</v>
      </c>
      <c r="M139" s="354">
        <f t="shared" si="54"/>
        <v>0</v>
      </c>
      <c r="N139" s="354">
        <f t="shared" si="54"/>
        <v>0</v>
      </c>
      <c r="O139" s="354">
        <f t="shared" si="54"/>
        <v>0</v>
      </c>
      <c r="P139" s="355">
        <f>P135+P136-P137-P138</f>
        <v>0</v>
      </c>
    </row>
    <row r="140" spans="1:16" x14ac:dyDescent="0.3">
      <c r="A140" s="226" t="s">
        <v>87</v>
      </c>
      <c r="B140" s="322" t="s">
        <v>85</v>
      </c>
      <c r="C140" s="322" t="s">
        <v>3</v>
      </c>
      <c r="D140" s="354">
        <v>36</v>
      </c>
      <c r="E140" s="354">
        <v>23</v>
      </c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5">
        <f>D140</f>
        <v>36</v>
      </c>
    </row>
    <row r="141" spans="1:16" x14ac:dyDescent="0.3">
      <c r="A141" s="425"/>
      <c r="B141" s="322" t="s">
        <v>84</v>
      </c>
      <c r="C141" s="322" t="s">
        <v>3</v>
      </c>
      <c r="D141" s="356"/>
      <c r="E141" s="356">
        <v>9</v>
      </c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7">
        <f>SUM(D141:O141)</f>
        <v>9</v>
      </c>
    </row>
    <row r="142" spans="1:16" x14ac:dyDescent="0.3">
      <c r="A142" s="425"/>
      <c r="B142" s="322" t="s">
        <v>83</v>
      </c>
      <c r="C142" s="322" t="s">
        <v>3</v>
      </c>
      <c r="D142" s="356">
        <v>6</v>
      </c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7">
        <f>SUM(D142:O142)</f>
        <v>6</v>
      </c>
    </row>
    <row r="143" spans="1:16" x14ac:dyDescent="0.3">
      <c r="A143" s="425"/>
      <c r="B143" s="322" t="s">
        <v>82</v>
      </c>
      <c r="C143" s="322" t="s">
        <v>3</v>
      </c>
      <c r="D143" s="356">
        <v>7</v>
      </c>
      <c r="E143" s="356">
        <v>5</v>
      </c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7">
        <f>SUM(D143:O143)</f>
        <v>12</v>
      </c>
    </row>
    <row r="144" spans="1:16" x14ac:dyDescent="0.3">
      <c r="A144" s="227"/>
      <c r="B144" s="322" t="s">
        <v>81</v>
      </c>
      <c r="C144" s="322" t="s">
        <v>3</v>
      </c>
      <c r="D144" s="354">
        <f t="shared" ref="D144:O144" si="55">D140+D141-D142-D143</f>
        <v>23</v>
      </c>
      <c r="E144" s="354">
        <f t="shared" si="55"/>
        <v>27</v>
      </c>
      <c r="F144" s="354">
        <f t="shared" si="55"/>
        <v>0</v>
      </c>
      <c r="G144" s="354">
        <f t="shared" si="55"/>
        <v>0</v>
      </c>
      <c r="H144" s="354">
        <f t="shared" si="55"/>
        <v>0</v>
      </c>
      <c r="I144" s="354">
        <f t="shared" si="55"/>
        <v>0</v>
      </c>
      <c r="J144" s="354">
        <f t="shared" si="55"/>
        <v>0</v>
      </c>
      <c r="K144" s="354">
        <f t="shared" si="55"/>
        <v>0</v>
      </c>
      <c r="L144" s="354">
        <f t="shared" si="55"/>
        <v>0</v>
      </c>
      <c r="M144" s="354">
        <f t="shared" si="55"/>
        <v>0</v>
      </c>
      <c r="N144" s="354">
        <f t="shared" si="55"/>
        <v>0</v>
      </c>
      <c r="O144" s="354">
        <f t="shared" si="55"/>
        <v>0</v>
      </c>
      <c r="P144" s="355">
        <f>P140+P141-P142-P143</f>
        <v>27</v>
      </c>
    </row>
    <row r="145" spans="1:16" s="328" customFormat="1" x14ac:dyDescent="0.3">
      <c r="A145" s="226" t="s">
        <v>86</v>
      </c>
      <c r="B145" s="322" t="s">
        <v>85</v>
      </c>
      <c r="C145" s="322" t="s">
        <v>3</v>
      </c>
      <c r="D145" s="359">
        <f t="shared" ref="D145:P149" si="56">D125+D130+D135+D140</f>
        <v>36</v>
      </c>
      <c r="E145" s="359">
        <f t="shared" si="56"/>
        <v>23</v>
      </c>
      <c r="F145" s="359">
        <f t="shared" si="56"/>
        <v>0</v>
      </c>
      <c r="G145" s="359">
        <f t="shared" si="56"/>
        <v>0</v>
      </c>
      <c r="H145" s="359">
        <f t="shared" si="56"/>
        <v>0</v>
      </c>
      <c r="I145" s="359">
        <f t="shared" si="56"/>
        <v>0</v>
      </c>
      <c r="J145" s="359">
        <f t="shared" si="56"/>
        <v>0</v>
      </c>
      <c r="K145" s="359">
        <f t="shared" si="56"/>
        <v>0</v>
      </c>
      <c r="L145" s="359">
        <f t="shared" si="56"/>
        <v>0</v>
      </c>
      <c r="M145" s="359">
        <f t="shared" si="56"/>
        <v>0</v>
      </c>
      <c r="N145" s="359">
        <f t="shared" si="56"/>
        <v>0</v>
      </c>
      <c r="O145" s="359">
        <f t="shared" si="56"/>
        <v>0</v>
      </c>
      <c r="P145" s="384">
        <f t="shared" si="56"/>
        <v>36</v>
      </c>
    </row>
    <row r="146" spans="1:16" x14ac:dyDescent="0.3">
      <c r="A146" s="425"/>
      <c r="B146" s="322" t="s">
        <v>84</v>
      </c>
      <c r="C146" s="322" t="s">
        <v>3</v>
      </c>
      <c r="D146" s="359">
        <f t="shared" si="56"/>
        <v>0</v>
      </c>
      <c r="E146" s="359">
        <f t="shared" si="56"/>
        <v>9</v>
      </c>
      <c r="F146" s="359">
        <f t="shared" si="56"/>
        <v>0</v>
      </c>
      <c r="G146" s="359">
        <f t="shared" si="56"/>
        <v>0</v>
      </c>
      <c r="H146" s="359">
        <f t="shared" si="56"/>
        <v>0</v>
      </c>
      <c r="I146" s="359">
        <f t="shared" si="56"/>
        <v>0</v>
      </c>
      <c r="J146" s="359">
        <f t="shared" si="56"/>
        <v>0</v>
      </c>
      <c r="K146" s="359">
        <f t="shared" si="56"/>
        <v>0</v>
      </c>
      <c r="L146" s="359">
        <f t="shared" si="56"/>
        <v>0</v>
      </c>
      <c r="M146" s="359">
        <f t="shared" si="56"/>
        <v>0</v>
      </c>
      <c r="N146" s="359">
        <f t="shared" si="56"/>
        <v>0</v>
      </c>
      <c r="O146" s="359">
        <f t="shared" si="56"/>
        <v>0</v>
      </c>
      <c r="P146" s="384">
        <f t="shared" si="56"/>
        <v>9</v>
      </c>
    </row>
    <row r="147" spans="1:16" x14ac:dyDescent="0.3">
      <c r="A147" s="425"/>
      <c r="B147" s="322" t="s">
        <v>83</v>
      </c>
      <c r="C147" s="322" t="s">
        <v>3</v>
      </c>
      <c r="D147" s="359">
        <f t="shared" si="56"/>
        <v>6</v>
      </c>
      <c r="E147" s="359">
        <f t="shared" si="56"/>
        <v>0</v>
      </c>
      <c r="F147" s="359">
        <f t="shared" si="56"/>
        <v>0</v>
      </c>
      <c r="G147" s="359">
        <f t="shared" si="56"/>
        <v>0</v>
      </c>
      <c r="H147" s="359">
        <f t="shared" si="56"/>
        <v>0</v>
      </c>
      <c r="I147" s="359">
        <f t="shared" si="56"/>
        <v>0</v>
      </c>
      <c r="J147" s="359">
        <f t="shared" si="56"/>
        <v>0</v>
      </c>
      <c r="K147" s="359">
        <f t="shared" si="56"/>
        <v>0</v>
      </c>
      <c r="L147" s="359">
        <f t="shared" si="56"/>
        <v>0</v>
      </c>
      <c r="M147" s="359">
        <f t="shared" si="56"/>
        <v>0</v>
      </c>
      <c r="N147" s="359">
        <f t="shared" si="56"/>
        <v>0</v>
      </c>
      <c r="O147" s="359">
        <f t="shared" si="56"/>
        <v>0</v>
      </c>
      <c r="P147" s="384">
        <f t="shared" si="56"/>
        <v>6</v>
      </c>
    </row>
    <row r="148" spans="1:16" x14ac:dyDescent="0.3">
      <c r="A148" s="425"/>
      <c r="B148" s="322" t="s">
        <v>82</v>
      </c>
      <c r="C148" s="322" t="s">
        <v>3</v>
      </c>
      <c r="D148" s="359">
        <f t="shared" si="56"/>
        <v>7</v>
      </c>
      <c r="E148" s="359">
        <f t="shared" si="56"/>
        <v>5</v>
      </c>
      <c r="F148" s="359">
        <f t="shared" si="56"/>
        <v>0</v>
      </c>
      <c r="G148" s="359">
        <f t="shared" si="56"/>
        <v>0</v>
      </c>
      <c r="H148" s="359">
        <f t="shared" si="56"/>
        <v>0</v>
      </c>
      <c r="I148" s="359">
        <f t="shared" si="56"/>
        <v>0</v>
      </c>
      <c r="J148" s="359">
        <f t="shared" si="56"/>
        <v>0</v>
      </c>
      <c r="K148" s="359">
        <f t="shared" si="56"/>
        <v>0</v>
      </c>
      <c r="L148" s="359">
        <f t="shared" si="56"/>
        <v>0</v>
      </c>
      <c r="M148" s="359">
        <f t="shared" si="56"/>
        <v>0</v>
      </c>
      <c r="N148" s="359">
        <f t="shared" si="56"/>
        <v>0</v>
      </c>
      <c r="O148" s="359">
        <f t="shared" si="56"/>
        <v>0</v>
      </c>
      <c r="P148" s="384">
        <f t="shared" si="56"/>
        <v>12</v>
      </c>
    </row>
    <row r="149" spans="1:16" x14ac:dyDescent="0.3">
      <c r="A149" s="227"/>
      <c r="B149" s="322" t="s">
        <v>81</v>
      </c>
      <c r="C149" s="322" t="s">
        <v>3</v>
      </c>
      <c r="D149" s="354">
        <f t="shared" ref="D149:O149" si="57">D145+D146-D147-D148</f>
        <v>23</v>
      </c>
      <c r="E149" s="354">
        <f t="shared" si="57"/>
        <v>27</v>
      </c>
      <c r="F149" s="354">
        <f t="shared" si="57"/>
        <v>0</v>
      </c>
      <c r="G149" s="354">
        <f t="shared" si="57"/>
        <v>0</v>
      </c>
      <c r="H149" s="354">
        <f t="shared" si="57"/>
        <v>0</v>
      </c>
      <c r="I149" s="354">
        <f t="shared" si="57"/>
        <v>0</v>
      </c>
      <c r="J149" s="354">
        <f t="shared" si="57"/>
        <v>0</v>
      </c>
      <c r="K149" s="354">
        <f t="shared" si="57"/>
        <v>0</v>
      </c>
      <c r="L149" s="354">
        <f t="shared" si="57"/>
        <v>0</v>
      </c>
      <c r="M149" s="354">
        <f t="shared" si="57"/>
        <v>0</v>
      </c>
      <c r="N149" s="354">
        <f t="shared" si="57"/>
        <v>0</v>
      </c>
      <c r="O149" s="354">
        <f t="shared" si="57"/>
        <v>0</v>
      </c>
      <c r="P149" s="384">
        <f t="shared" si="56"/>
        <v>27</v>
      </c>
    </row>
    <row r="150" spans="1:16" x14ac:dyDescent="0.3">
      <c r="A150" s="414" t="s">
        <v>80</v>
      </c>
      <c r="B150" s="415"/>
      <c r="C150" s="415"/>
      <c r="D150" s="415"/>
      <c r="E150" s="415"/>
      <c r="F150" s="415"/>
      <c r="G150" s="415"/>
      <c r="H150" s="415"/>
      <c r="I150" s="415"/>
      <c r="J150" s="415"/>
      <c r="K150" s="415"/>
      <c r="L150" s="415"/>
      <c r="M150" s="415"/>
      <c r="N150" s="415"/>
      <c r="O150" s="415"/>
      <c r="P150" s="479"/>
    </row>
    <row r="151" spans="1:16" x14ac:dyDescent="0.3">
      <c r="A151" s="416" t="s">
        <v>79</v>
      </c>
      <c r="B151" s="417"/>
      <c r="C151" s="322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8"/>
    </row>
    <row r="152" spans="1:16" x14ac:dyDescent="0.3">
      <c r="A152" s="442" t="s">
        <v>78</v>
      </c>
      <c r="B152" s="385" t="s">
        <v>63</v>
      </c>
      <c r="C152" s="322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8"/>
    </row>
    <row r="153" spans="1:16" x14ac:dyDescent="0.3">
      <c r="A153" s="443"/>
      <c r="B153" s="20" t="s">
        <v>73</v>
      </c>
      <c r="C153" s="322" t="s">
        <v>57</v>
      </c>
      <c r="D153" s="350">
        <v>67</v>
      </c>
      <c r="E153" s="350">
        <v>50</v>
      </c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7">
        <f t="shared" ref="P153:P165" si="58">SUM(D153:O153)</f>
        <v>117</v>
      </c>
    </row>
    <row r="154" spans="1:16" x14ac:dyDescent="0.3">
      <c r="A154" s="443"/>
      <c r="B154" s="20" t="s">
        <v>72</v>
      </c>
      <c r="C154" s="322" t="s">
        <v>57</v>
      </c>
      <c r="D154" s="350">
        <v>27</v>
      </c>
      <c r="E154" s="350">
        <v>26</v>
      </c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7">
        <f t="shared" si="58"/>
        <v>53</v>
      </c>
    </row>
    <row r="155" spans="1:16" x14ac:dyDescent="0.3">
      <c r="A155" s="443"/>
      <c r="B155" s="20" t="s">
        <v>53</v>
      </c>
      <c r="C155" s="322" t="s">
        <v>57</v>
      </c>
      <c r="D155" s="350">
        <v>7</v>
      </c>
      <c r="E155" s="350">
        <v>10</v>
      </c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7">
        <f t="shared" si="58"/>
        <v>17</v>
      </c>
    </row>
    <row r="156" spans="1:16" x14ac:dyDescent="0.3">
      <c r="A156" s="443"/>
      <c r="B156" s="20" t="s">
        <v>71</v>
      </c>
      <c r="C156" s="322" t="s">
        <v>57</v>
      </c>
      <c r="D156" s="350">
        <v>2</v>
      </c>
      <c r="E156" s="350">
        <v>7</v>
      </c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7">
        <f t="shared" si="58"/>
        <v>9</v>
      </c>
    </row>
    <row r="157" spans="1:16" x14ac:dyDescent="0.3">
      <c r="A157" s="443"/>
      <c r="B157" s="20" t="s">
        <v>52</v>
      </c>
      <c r="C157" s="322" t="s">
        <v>57</v>
      </c>
      <c r="D157" s="350">
        <v>0</v>
      </c>
      <c r="E157" s="350">
        <v>1</v>
      </c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7">
        <f t="shared" si="58"/>
        <v>1</v>
      </c>
    </row>
    <row r="158" spans="1:16" x14ac:dyDescent="0.3">
      <c r="A158" s="443"/>
      <c r="B158" s="20" t="s">
        <v>51</v>
      </c>
      <c r="C158" s="322" t="s">
        <v>57</v>
      </c>
      <c r="D158" s="350">
        <v>3</v>
      </c>
      <c r="E158" s="350">
        <v>2</v>
      </c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7">
        <f t="shared" si="58"/>
        <v>5</v>
      </c>
    </row>
    <row r="159" spans="1:16" x14ac:dyDescent="0.3">
      <c r="A159" s="443"/>
      <c r="B159" s="20" t="s">
        <v>62</v>
      </c>
      <c r="C159" s="322" t="s">
        <v>57</v>
      </c>
      <c r="D159" s="350">
        <v>0</v>
      </c>
      <c r="E159" s="350">
        <v>3</v>
      </c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7">
        <f t="shared" si="58"/>
        <v>3</v>
      </c>
    </row>
    <row r="160" spans="1:16" x14ac:dyDescent="0.3">
      <c r="A160" s="443"/>
      <c r="B160" s="20" t="s">
        <v>50</v>
      </c>
      <c r="C160" s="322" t="s">
        <v>57</v>
      </c>
      <c r="D160" s="350">
        <v>1</v>
      </c>
      <c r="E160" s="350">
        <v>1</v>
      </c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7">
        <f t="shared" si="58"/>
        <v>2</v>
      </c>
    </row>
    <row r="161" spans="1:16" x14ac:dyDescent="0.3">
      <c r="A161" s="443"/>
      <c r="B161" s="20" t="s">
        <v>49</v>
      </c>
      <c r="C161" s="322" t="s">
        <v>57</v>
      </c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7">
        <f t="shared" si="58"/>
        <v>0</v>
      </c>
    </row>
    <row r="162" spans="1:16" x14ac:dyDescent="0.3">
      <c r="A162" s="443"/>
      <c r="B162" s="20" t="s">
        <v>77</v>
      </c>
      <c r="C162" s="322" t="s">
        <v>57</v>
      </c>
      <c r="D162" s="350"/>
      <c r="E162" s="350">
        <v>1</v>
      </c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7">
        <f t="shared" si="58"/>
        <v>1</v>
      </c>
    </row>
    <row r="163" spans="1:16" x14ac:dyDescent="0.3">
      <c r="A163" s="443"/>
      <c r="B163" s="20" t="s">
        <v>69</v>
      </c>
      <c r="C163" s="322" t="s">
        <v>57</v>
      </c>
      <c r="D163" s="350"/>
      <c r="E163" s="350">
        <v>1</v>
      </c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7">
        <f t="shared" si="58"/>
        <v>1</v>
      </c>
    </row>
    <row r="164" spans="1:16" x14ac:dyDescent="0.3">
      <c r="A164" s="443"/>
      <c r="B164" s="20" t="s">
        <v>68</v>
      </c>
      <c r="C164" s="322" t="s">
        <v>57</v>
      </c>
      <c r="D164" s="350"/>
      <c r="E164" s="350">
        <v>1</v>
      </c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7">
        <f t="shared" si="58"/>
        <v>1</v>
      </c>
    </row>
    <row r="165" spans="1:16" x14ac:dyDescent="0.3">
      <c r="A165" s="444"/>
      <c r="B165" s="20" t="s">
        <v>76</v>
      </c>
      <c r="C165" s="322" t="s">
        <v>57</v>
      </c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7">
        <f t="shared" si="58"/>
        <v>0</v>
      </c>
    </row>
    <row r="166" spans="1:16" x14ac:dyDescent="0.3">
      <c r="A166" s="442" t="s">
        <v>75</v>
      </c>
      <c r="B166" s="386" t="s">
        <v>63</v>
      </c>
      <c r="C166" s="322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7"/>
    </row>
    <row r="167" spans="1:16" x14ac:dyDescent="0.3">
      <c r="A167" s="443"/>
      <c r="B167" s="20" t="s">
        <v>74</v>
      </c>
      <c r="C167" s="322" t="s">
        <v>57</v>
      </c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7">
        <f t="shared" ref="P167:P175" si="59">SUM(D167:O167)</f>
        <v>0</v>
      </c>
    </row>
    <row r="168" spans="1:16" x14ac:dyDescent="0.3">
      <c r="A168" s="443"/>
      <c r="B168" s="20" t="s">
        <v>73</v>
      </c>
      <c r="C168" s="322" t="s">
        <v>57</v>
      </c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7">
        <f t="shared" si="59"/>
        <v>0</v>
      </c>
    </row>
    <row r="169" spans="1:16" x14ac:dyDescent="0.3">
      <c r="A169" s="443"/>
      <c r="B169" s="20" t="s">
        <v>72</v>
      </c>
      <c r="C169" s="322" t="s">
        <v>57</v>
      </c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7">
        <f t="shared" si="59"/>
        <v>0</v>
      </c>
    </row>
    <row r="170" spans="1:16" x14ac:dyDescent="0.3">
      <c r="A170" s="443"/>
      <c r="B170" s="20" t="s">
        <v>71</v>
      </c>
      <c r="C170" s="322" t="s">
        <v>57</v>
      </c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7">
        <f t="shared" si="59"/>
        <v>0</v>
      </c>
    </row>
    <row r="171" spans="1:16" x14ac:dyDescent="0.3">
      <c r="A171" s="443"/>
      <c r="B171" s="20" t="s">
        <v>52</v>
      </c>
      <c r="C171" s="322" t="s">
        <v>57</v>
      </c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7">
        <f t="shared" si="59"/>
        <v>0</v>
      </c>
    </row>
    <row r="172" spans="1:16" x14ac:dyDescent="0.3">
      <c r="A172" s="443"/>
      <c r="B172" s="20" t="s">
        <v>62</v>
      </c>
      <c r="C172" s="322" t="s">
        <v>57</v>
      </c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7">
        <f t="shared" si="59"/>
        <v>0</v>
      </c>
    </row>
    <row r="173" spans="1:16" x14ac:dyDescent="0.3">
      <c r="A173" s="443"/>
      <c r="B173" s="20" t="s">
        <v>61</v>
      </c>
      <c r="C173" s="322" t="s">
        <v>57</v>
      </c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7">
        <f t="shared" si="59"/>
        <v>0</v>
      </c>
    </row>
    <row r="174" spans="1:16" x14ac:dyDescent="0.3">
      <c r="A174" s="443"/>
      <c r="B174" s="20" t="s">
        <v>60</v>
      </c>
      <c r="C174" s="322" t="s">
        <v>57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7">
        <f t="shared" si="59"/>
        <v>0</v>
      </c>
    </row>
    <row r="175" spans="1:16" x14ac:dyDescent="0.3">
      <c r="A175" s="444"/>
      <c r="B175" s="20" t="s">
        <v>69</v>
      </c>
      <c r="C175" s="322" t="s">
        <v>57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7">
        <f t="shared" si="59"/>
        <v>0</v>
      </c>
    </row>
    <row r="176" spans="1:16" x14ac:dyDescent="0.3">
      <c r="A176" s="442" t="s">
        <v>70</v>
      </c>
      <c r="B176" s="386" t="s">
        <v>63</v>
      </c>
      <c r="C176" s="322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7"/>
    </row>
    <row r="177" spans="1:16" x14ac:dyDescent="0.3">
      <c r="A177" s="443"/>
      <c r="B177" s="20" t="s">
        <v>60</v>
      </c>
      <c r="C177" s="322" t="s">
        <v>57</v>
      </c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7">
        <f t="shared" ref="P177:P182" si="60">SUM(D177:O177)</f>
        <v>0</v>
      </c>
    </row>
    <row r="178" spans="1:16" x14ac:dyDescent="0.3">
      <c r="A178" s="443"/>
      <c r="B178" s="20" t="s">
        <v>69</v>
      </c>
      <c r="C178" s="322" t="s">
        <v>57</v>
      </c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7">
        <f t="shared" si="60"/>
        <v>0</v>
      </c>
    </row>
    <row r="179" spans="1:16" x14ac:dyDescent="0.3">
      <c r="A179" s="443"/>
      <c r="B179" s="20" t="s">
        <v>68</v>
      </c>
      <c r="C179" s="322" t="s">
        <v>57</v>
      </c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7">
        <f t="shared" si="60"/>
        <v>0</v>
      </c>
    </row>
    <row r="180" spans="1:16" x14ac:dyDescent="0.3">
      <c r="A180" s="443"/>
      <c r="B180" s="20" t="s">
        <v>67</v>
      </c>
      <c r="C180" s="322" t="s">
        <v>57</v>
      </c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7">
        <f t="shared" si="60"/>
        <v>0</v>
      </c>
    </row>
    <row r="181" spans="1:16" x14ac:dyDescent="0.3">
      <c r="A181" s="443"/>
      <c r="B181" s="20" t="s">
        <v>66</v>
      </c>
      <c r="C181" s="322" t="s">
        <v>57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7">
        <f t="shared" si="60"/>
        <v>0</v>
      </c>
    </row>
    <row r="182" spans="1:16" x14ac:dyDescent="0.3">
      <c r="A182" s="444"/>
      <c r="B182" s="20" t="s">
        <v>65</v>
      </c>
      <c r="C182" s="322" t="s">
        <v>57</v>
      </c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7">
        <f t="shared" si="60"/>
        <v>0</v>
      </c>
    </row>
    <row r="183" spans="1:16" x14ac:dyDescent="0.3">
      <c r="A183" s="442" t="s">
        <v>211</v>
      </c>
      <c r="B183" s="386" t="s">
        <v>63</v>
      </c>
      <c r="C183" s="322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7"/>
    </row>
    <row r="184" spans="1:16" x14ac:dyDescent="0.3">
      <c r="A184" s="443"/>
      <c r="B184" s="20" t="s">
        <v>73</v>
      </c>
      <c r="C184" s="322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7">
        <f>SUM(D184:O184)</f>
        <v>0</v>
      </c>
    </row>
    <row r="185" spans="1:16" x14ac:dyDescent="0.3">
      <c r="A185" s="443"/>
      <c r="B185" s="20" t="s">
        <v>72</v>
      </c>
      <c r="C185" s="322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7">
        <f>SUM(D185:O185)</f>
        <v>0</v>
      </c>
    </row>
    <row r="186" spans="1:16" x14ac:dyDescent="0.3">
      <c r="A186" s="443"/>
      <c r="B186" s="20" t="s">
        <v>53</v>
      </c>
      <c r="C186" s="322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7">
        <f>SUM(D186:O186)</f>
        <v>0</v>
      </c>
    </row>
    <row r="187" spans="1:16" x14ac:dyDescent="0.3">
      <c r="A187" s="444"/>
      <c r="B187" s="20" t="s">
        <v>52</v>
      </c>
      <c r="C187" s="322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7">
        <f>SUM(D187:O187)</f>
        <v>0</v>
      </c>
    </row>
    <row r="188" spans="1:16" x14ac:dyDescent="0.3">
      <c r="A188" s="442" t="s">
        <v>64</v>
      </c>
      <c r="B188" s="386" t="s">
        <v>63</v>
      </c>
      <c r="C188" s="322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7"/>
    </row>
    <row r="189" spans="1:16" x14ac:dyDescent="0.3">
      <c r="A189" s="443"/>
      <c r="B189" s="20" t="s">
        <v>52</v>
      </c>
      <c r="C189" s="322" t="s">
        <v>57</v>
      </c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7">
        <f>SUM(D189:O189)</f>
        <v>0</v>
      </c>
    </row>
    <row r="190" spans="1:16" x14ac:dyDescent="0.3">
      <c r="A190" s="443"/>
      <c r="B190" s="20" t="s">
        <v>62</v>
      </c>
      <c r="C190" s="322" t="s">
        <v>57</v>
      </c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7">
        <f>SUM(D190:O190)</f>
        <v>0</v>
      </c>
    </row>
    <row r="191" spans="1:16" x14ac:dyDescent="0.3">
      <c r="A191" s="443"/>
      <c r="B191" s="20" t="s">
        <v>61</v>
      </c>
      <c r="C191" s="322" t="s">
        <v>57</v>
      </c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7">
        <f>SUM(D191:O191)</f>
        <v>0</v>
      </c>
    </row>
    <row r="192" spans="1:16" x14ac:dyDescent="0.3">
      <c r="A192" s="444"/>
      <c r="B192" s="20" t="s">
        <v>60</v>
      </c>
      <c r="C192" s="322" t="s">
        <v>57</v>
      </c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7">
        <f>SUM(D192:O192)</f>
        <v>0</v>
      </c>
    </row>
    <row r="193" spans="1:16" x14ac:dyDescent="0.3">
      <c r="A193" s="387" t="s">
        <v>59</v>
      </c>
      <c r="B193" s="388"/>
      <c r="C193" s="322"/>
      <c r="D193" s="389">
        <f>SUM(D153:D192)</f>
        <v>107</v>
      </c>
      <c r="E193" s="389">
        <f t="shared" ref="E193:P193" si="61">SUM(E153:E192)</f>
        <v>103</v>
      </c>
      <c r="F193" s="389">
        <f t="shared" si="61"/>
        <v>0</v>
      </c>
      <c r="G193" s="389">
        <f t="shared" si="61"/>
        <v>0</v>
      </c>
      <c r="H193" s="389">
        <f t="shared" si="61"/>
        <v>0</v>
      </c>
      <c r="I193" s="389">
        <f t="shared" si="61"/>
        <v>0</v>
      </c>
      <c r="J193" s="389">
        <f t="shared" si="61"/>
        <v>0</v>
      </c>
      <c r="K193" s="389">
        <f t="shared" si="61"/>
        <v>0</v>
      </c>
      <c r="L193" s="389">
        <f t="shared" si="61"/>
        <v>0</v>
      </c>
      <c r="M193" s="389">
        <f t="shared" si="61"/>
        <v>0</v>
      </c>
      <c r="N193" s="389">
        <f t="shared" si="61"/>
        <v>0</v>
      </c>
      <c r="O193" s="389">
        <f t="shared" si="61"/>
        <v>0</v>
      </c>
      <c r="P193" s="351">
        <f t="shared" si="61"/>
        <v>210</v>
      </c>
    </row>
    <row r="194" spans="1:16" x14ac:dyDescent="0.3">
      <c r="A194" s="420" t="s">
        <v>58</v>
      </c>
      <c r="B194" s="445"/>
      <c r="C194" s="322" t="s">
        <v>57</v>
      </c>
      <c r="D194" s="350">
        <v>8</v>
      </c>
      <c r="E194" s="350">
        <v>8</v>
      </c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48">
        <f>SUM(D194:O194)</f>
        <v>16</v>
      </c>
    </row>
    <row r="195" spans="1:16" x14ac:dyDescent="0.3">
      <c r="A195" s="422"/>
      <c r="B195" s="446"/>
      <c r="C195" s="390" t="s">
        <v>55</v>
      </c>
      <c r="D195" s="350">
        <v>212</v>
      </c>
      <c r="E195" s="350">
        <v>223</v>
      </c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48">
        <f>SUM(D195:O195)</f>
        <v>435</v>
      </c>
    </row>
    <row r="196" spans="1:16" x14ac:dyDescent="0.3">
      <c r="A196" s="391" t="s">
        <v>204</v>
      </c>
      <c r="B196" s="392"/>
      <c r="C196" s="390" t="s">
        <v>55</v>
      </c>
      <c r="D196" s="350">
        <v>24</v>
      </c>
      <c r="E196" s="350">
        <v>24</v>
      </c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48">
        <f>SUM(D196:O196)/12</f>
        <v>4</v>
      </c>
    </row>
    <row r="197" spans="1:16" x14ac:dyDescent="0.3">
      <c r="A197" s="416" t="s">
        <v>56</v>
      </c>
      <c r="B197" s="417"/>
      <c r="C197" s="390" t="s">
        <v>55</v>
      </c>
      <c r="D197" s="350">
        <v>72</v>
      </c>
      <c r="E197" s="350">
        <v>60</v>
      </c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48">
        <f>SUM(D197:O197)</f>
        <v>132</v>
      </c>
    </row>
    <row r="198" spans="1:16" x14ac:dyDescent="0.3">
      <c r="A198" s="414" t="s">
        <v>205</v>
      </c>
      <c r="B198" s="415"/>
      <c r="C198" s="415"/>
      <c r="D198" s="415"/>
      <c r="E198" s="415"/>
      <c r="F198" s="415"/>
      <c r="G198" s="415"/>
      <c r="H198" s="415"/>
      <c r="I198" s="415"/>
      <c r="J198" s="415"/>
      <c r="K198" s="415"/>
      <c r="L198" s="415"/>
      <c r="M198" s="415"/>
      <c r="N198" s="415"/>
      <c r="O198" s="415"/>
      <c r="P198" s="479"/>
    </row>
    <row r="199" spans="1:16" x14ac:dyDescent="0.3">
      <c r="A199" s="420" t="s">
        <v>54</v>
      </c>
      <c r="B199" s="331" t="s">
        <v>53</v>
      </c>
      <c r="C199" s="322" t="s">
        <v>47</v>
      </c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48">
        <f t="shared" ref="P199:P204" si="62">SUM(D199:O199)</f>
        <v>0</v>
      </c>
    </row>
    <row r="200" spans="1:16" x14ac:dyDescent="0.3">
      <c r="A200" s="421"/>
      <c r="B200" s="331" t="s">
        <v>52</v>
      </c>
      <c r="C200" s="322" t="s">
        <v>47</v>
      </c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48">
        <f t="shared" si="62"/>
        <v>0</v>
      </c>
    </row>
    <row r="201" spans="1:16" x14ac:dyDescent="0.3">
      <c r="A201" s="421"/>
      <c r="B201" s="331" t="s">
        <v>51</v>
      </c>
      <c r="C201" s="322" t="s">
        <v>47</v>
      </c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48">
        <f t="shared" si="62"/>
        <v>0</v>
      </c>
    </row>
    <row r="202" spans="1:16" x14ac:dyDescent="0.3">
      <c r="A202" s="421"/>
      <c r="B202" s="331" t="s">
        <v>50</v>
      </c>
      <c r="C202" s="322" t="s">
        <v>47</v>
      </c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48">
        <f t="shared" si="62"/>
        <v>0</v>
      </c>
    </row>
    <row r="203" spans="1:16" x14ac:dyDescent="0.3">
      <c r="A203" s="422"/>
      <c r="B203" s="331" t="s">
        <v>49</v>
      </c>
      <c r="C203" s="322" t="s">
        <v>47</v>
      </c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48">
        <f t="shared" si="62"/>
        <v>0</v>
      </c>
    </row>
    <row r="204" spans="1:16" x14ac:dyDescent="0.3">
      <c r="A204" s="393" t="s">
        <v>48</v>
      </c>
      <c r="B204" s="331"/>
      <c r="C204" s="322" t="s">
        <v>47</v>
      </c>
      <c r="D204" s="345">
        <f t="shared" ref="D204:O204" si="63">SUM(D199:D203)</f>
        <v>0</v>
      </c>
      <c r="E204" s="345">
        <f t="shared" si="63"/>
        <v>0</v>
      </c>
      <c r="F204" s="345">
        <f t="shared" si="63"/>
        <v>0</v>
      </c>
      <c r="G204" s="345">
        <f t="shared" si="63"/>
        <v>0</v>
      </c>
      <c r="H204" s="345">
        <f t="shared" si="63"/>
        <v>0</v>
      </c>
      <c r="I204" s="345">
        <f t="shared" si="63"/>
        <v>0</v>
      </c>
      <c r="J204" s="345">
        <f t="shared" si="63"/>
        <v>0</v>
      </c>
      <c r="K204" s="345">
        <f t="shared" si="63"/>
        <v>0</v>
      </c>
      <c r="L204" s="345">
        <f t="shared" si="63"/>
        <v>0</v>
      </c>
      <c r="M204" s="345">
        <f t="shared" si="63"/>
        <v>0</v>
      </c>
      <c r="N204" s="345">
        <f t="shared" si="63"/>
        <v>0</v>
      </c>
      <c r="O204" s="345">
        <f t="shared" si="63"/>
        <v>0</v>
      </c>
      <c r="P204" s="394">
        <f t="shared" si="62"/>
        <v>0</v>
      </c>
    </row>
    <row r="205" spans="1:16" s="328" customFormat="1" x14ac:dyDescent="0.3">
      <c r="A205" s="414" t="s">
        <v>46</v>
      </c>
      <c r="B205" s="415"/>
      <c r="C205" s="415"/>
      <c r="D205" s="415"/>
      <c r="E205" s="415"/>
      <c r="F205" s="415"/>
      <c r="G205" s="415"/>
      <c r="H205" s="415"/>
      <c r="I205" s="415"/>
      <c r="J205" s="415"/>
      <c r="K205" s="415"/>
      <c r="L205" s="415"/>
      <c r="M205" s="415"/>
      <c r="N205" s="415"/>
      <c r="O205" s="415"/>
      <c r="P205" s="479"/>
    </row>
    <row r="206" spans="1:16" x14ac:dyDescent="0.3">
      <c r="A206" s="416" t="s">
        <v>43</v>
      </c>
      <c r="B206" s="417"/>
      <c r="C206" s="322" t="s">
        <v>31</v>
      </c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8">
        <f>SUM(D206:O206)</f>
        <v>0</v>
      </c>
    </row>
    <row r="207" spans="1:16" x14ac:dyDescent="0.3">
      <c r="A207" s="416" t="s">
        <v>42</v>
      </c>
      <c r="B207" s="417"/>
      <c r="C207" s="322" t="s">
        <v>31</v>
      </c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8">
        <f>SUM(D207:O207)</f>
        <v>0</v>
      </c>
    </row>
    <row r="208" spans="1:16" x14ac:dyDescent="0.3">
      <c r="A208" s="423" t="s">
        <v>41</v>
      </c>
      <c r="B208" s="424"/>
      <c r="C208" s="322" t="s">
        <v>31</v>
      </c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8">
        <f>SUM(D208:O208)</f>
        <v>0</v>
      </c>
    </row>
    <row r="209" spans="1:16" x14ac:dyDescent="0.3">
      <c r="A209" s="416" t="s">
        <v>40</v>
      </c>
      <c r="B209" s="417"/>
      <c r="C209" s="322" t="s">
        <v>31</v>
      </c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8">
        <f>SUM(D209:O209)</f>
        <v>0</v>
      </c>
    </row>
    <row r="210" spans="1:16" x14ac:dyDescent="0.3">
      <c r="A210" s="418" t="s">
        <v>45</v>
      </c>
      <c r="B210" s="419"/>
      <c r="C210" s="322" t="s">
        <v>31</v>
      </c>
      <c r="D210" s="389">
        <f t="shared" ref="D210:O210" si="64">SUM(D206:D209)</f>
        <v>0</v>
      </c>
      <c r="E210" s="389">
        <f t="shared" si="64"/>
        <v>0</v>
      </c>
      <c r="F210" s="389">
        <f t="shared" si="64"/>
        <v>0</v>
      </c>
      <c r="G210" s="389">
        <f t="shared" si="64"/>
        <v>0</v>
      </c>
      <c r="H210" s="389">
        <f t="shared" si="64"/>
        <v>0</v>
      </c>
      <c r="I210" s="389">
        <f t="shared" si="64"/>
        <v>0</v>
      </c>
      <c r="J210" s="389">
        <f t="shared" si="64"/>
        <v>0</v>
      </c>
      <c r="K210" s="389">
        <f t="shared" si="64"/>
        <v>0</v>
      </c>
      <c r="L210" s="389">
        <f t="shared" si="64"/>
        <v>0</v>
      </c>
      <c r="M210" s="389">
        <f t="shared" si="64"/>
        <v>0</v>
      </c>
      <c r="N210" s="389">
        <f t="shared" si="64"/>
        <v>0</v>
      </c>
      <c r="O210" s="389">
        <f t="shared" si="64"/>
        <v>0</v>
      </c>
      <c r="P210" s="348">
        <f>SUM(D210:O210)</f>
        <v>0</v>
      </c>
    </row>
    <row r="211" spans="1:16" s="328" customFormat="1" x14ac:dyDescent="0.3">
      <c r="A211" s="414" t="s">
        <v>44</v>
      </c>
      <c r="B211" s="415"/>
      <c r="C211" s="415"/>
      <c r="D211" s="415"/>
      <c r="E211" s="415"/>
      <c r="F211" s="415"/>
      <c r="G211" s="415"/>
      <c r="H211" s="415"/>
      <c r="I211" s="415"/>
      <c r="J211" s="415"/>
      <c r="K211" s="415"/>
      <c r="L211" s="415"/>
      <c r="M211" s="415"/>
      <c r="N211" s="415"/>
      <c r="O211" s="415"/>
      <c r="P211" s="479"/>
    </row>
    <row r="212" spans="1:16" x14ac:dyDescent="0.3">
      <c r="A212" s="416" t="s">
        <v>43</v>
      </c>
      <c r="B212" s="417"/>
      <c r="C212" s="322" t="s">
        <v>31</v>
      </c>
      <c r="D212" s="346">
        <v>28569026</v>
      </c>
      <c r="E212" s="346">
        <v>32424810</v>
      </c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8">
        <f>SUM(D212:O212)</f>
        <v>60993836</v>
      </c>
    </row>
    <row r="213" spans="1:16" x14ac:dyDescent="0.3">
      <c r="A213" s="416" t="s">
        <v>42</v>
      </c>
      <c r="B213" s="417"/>
      <c r="C213" s="322" t="s">
        <v>31</v>
      </c>
      <c r="D213" s="346">
        <v>154700</v>
      </c>
      <c r="E213" s="346">
        <v>134100</v>
      </c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8">
        <f>SUM(D213:O213)</f>
        <v>288800</v>
      </c>
    </row>
    <row r="214" spans="1:16" x14ac:dyDescent="0.3">
      <c r="A214" s="423" t="s">
        <v>41</v>
      </c>
      <c r="B214" s="424"/>
      <c r="C214" s="322" t="s">
        <v>31</v>
      </c>
      <c r="D214" s="346">
        <v>5965590</v>
      </c>
      <c r="E214" s="346">
        <v>4843630</v>
      </c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8">
        <f>SUM(D214:O214)</f>
        <v>10809220</v>
      </c>
    </row>
    <row r="215" spans="1:16" x14ac:dyDescent="0.3">
      <c r="A215" s="416" t="s">
        <v>40</v>
      </c>
      <c r="B215" s="417"/>
      <c r="C215" s="322" t="s">
        <v>31</v>
      </c>
      <c r="D215" s="346">
        <v>1910450</v>
      </c>
      <c r="E215" s="346">
        <v>1032940</v>
      </c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8">
        <f>SUM(D215:O215)</f>
        <v>2943390</v>
      </c>
    </row>
    <row r="216" spans="1:16" x14ac:dyDescent="0.3">
      <c r="A216" s="418" t="s">
        <v>39</v>
      </c>
      <c r="B216" s="419"/>
      <c r="C216" s="322" t="s">
        <v>31</v>
      </c>
      <c r="D216" s="389">
        <f t="shared" ref="D216:O216" si="65">SUM(D212:D215)</f>
        <v>36599766</v>
      </c>
      <c r="E216" s="389">
        <f t="shared" si="65"/>
        <v>38435480</v>
      </c>
      <c r="F216" s="389">
        <f t="shared" si="65"/>
        <v>0</v>
      </c>
      <c r="G216" s="389">
        <f t="shared" si="65"/>
        <v>0</v>
      </c>
      <c r="H216" s="389">
        <f t="shared" si="65"/>
        <v>0</v>
      </c>
      <c r="I216" s="389">
        <f t="shared" si="65"/>
        <v>0</v>
      </c>
      <c r="J216" s="389">
        <f t="shared" si="65"/>
        <v>0</v>
      </c>
      <c r="K216" s="389">
        <f t="shared" si="65"/>
        <v>0</v>
      </c>
      <c r="L216" s="389">
        <f t="shared" si="65"/>
        <v>0</v>
      </c>
      <c r="M216" s="389">
        <f t="shared" si="65"/>
        <v>0</v>
      </c>
      <c r="N216" s="389">
        <f t="shared" si="65"/>
        <v>0</v>
      </c>
      <c r="O216" s="389">
        <f t="shared" si="65"/>
        <v>0</v>
      </c>
      <c r="P216" s="348">
        <f>SUM(D216:O216)</f>
        <v>75035246</v>
      </c>
    </row>
    <row r="217" spans="1:16" s="328" customFormat="1" x14ac:dyDescent="0.3">
      <c r="A217" s="395" t="s">
        <v>38</v>
      </c>
      <c r="B217" s="396"/>
      <c r="C217" s="322" t="s">
        <v>31</v>
      </c>
      <c r="D217" s="389">
        <f>D210+D216</f>
        <v>36599766</v>
      </c>
      <c r="E217" s="389">
        <f t="shared" ref="E217:P217" si="66">E210+E216</f>
        <v>38435480</v>
      </c>
      <c r="F217" s="389">
        <f t="shared" si="66"/>
        <v>0</v>
      </c>
      <c r="G217" s="389">
        <f t="shared" si="66"/>
        <v>0</v>
      </c>
      <c r="H217" s="389">
        <f t="shared" si="66"/>
        <v>0</v>
      </c>
      <c r="I217" s="389">
        <f t="shared" si="66"/>
        <v>0</v>
      </c>
      <c r="J217" s="389">
        <f t="shared" si="66"/>
        <v>0</v>
      </c>
      <c r="K217" s="389">
        <f t="shared" si="66"/>
        <v>0</v>
      </c>
      <c r="L217" s="389">
        <f t="shared" si="66"/>
        <v>0</v>
      </c>
      <c r="M217" s="389">
        <f t="shared" si="66"/>
        <v>0</v>
      </c>
      <c r="N217" s="389">
        <f t="shared" si="66"/>
        <v>0</v>
      </c>
      <c r="O217" s="389">
        <f t="shared" si="66"/>
        <v>0</v>
      </c>
      <c r="P217" s="351">
        <f t="shared" si="66"/>
        <v>75035246</v>
      </c>
    </row>
    <row r="218" spans="1:16" s="328" customFormat="1" x14ac:dyDescent="0.3">
      <c r="A218" s="414" t="s">
        <v>37</v>
      </c>
      <c r="B218" s="415"/>
      <c r="C218" s="415"/>
      <c r="D218" s="415"/>
      <c r="E218" s="415"/>
      <c r="F218" s="415"/>
      <c r="G218" s="415"/>
      <c r="H218" s="415"/>
      <c r="I218" s="415"/>
      <c r="J218" s="415"/>
      <c r="K218" s="415"/>
      <c r="L218" s="415"/>
      <c r="M218" s="415"/>
      <c r="N218" s="415"/>
      <c r="O218" s="415"/>
      <c r="P218" s="479"/>
    </row>
    <row r="219" spans="1:16" x14ac:dyDescent="0.3">
      <c r="A219" s="416" t="s">
        <v>35</v>
      </c>
      <c r="B219" s="417"/>
      <c r="C219" s="322" t="s">
        <v>31</v>
      </c>
      <c r="D219" s="346">
        <v>94354.03</v>
      </c>
      <c r="E219" s="346">
        <v>118914.79</v>
      </c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8">
        <f>SUM(D219:O219)</f>
        <v>213268.82</v>
      </c>
    </row>
    <row r="220" spans="1:16" x14ac:dyDescent="0.3">
      <c r="A220" s="416" t="s">
        <v>34</v>
      </c>
      <c r="B220" s="417"/>
      <c r="C220" s="322" t="s">
        <v>31</v>
      </c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8">
        <f>SUM(D220:O220)</f>
        <v>0</v>
      </c>
    </row>
    <row r="221" spans="1:16" x14ac:dyDescent="0.3">
      <c r="A221" s="416" t="s">
        <v>33</v>
      </c>
      <c r="B221" s="417"/>
      <c r="C221" s="322" t="s">
        <v>31</v>
      </c>
      <c r="D221" s="346">
        <v>218315.19</v>
      </c>
      <c r="E221" s="346">
        <v>1119191.02</v>
      </c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8">
        <f>SUM(D221:O221)</f>
        <v>1337506.21</v>
      </c>
    </row>
    <row r="222" spans="1:16" x14ac:dyDescent="0.3">
      <c r="A222" s="416" t="s">
        <v>32</v>
      </c>
      <c r="B222" s="417"/>
      <c r="C222" s="322" t="s">
        <v>31</v>
      </c>
      <c r="D222" s="346">
        <v>8410.99</v>
      </c>
      <c r="E222" s="346">
        <v>8410.99</v>
      </c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8">
        <f>SUM(D222:O222)</f>
        <v>16821.98</v>
      </c>
    </row>
    <row r="223" spans="1:16" x14ac:dyDescent="0.3">
      <c r="A223" s="418" t="s">
        <v>36</v>
      </c>
      <c r="B223" s="419"/>
      <c r="C223" s="322" t="s">
        <v>31</v>
      </c>
      <c r="D223" s="397">
        <f t="shared" ref="D223:O223" si="67">SUM(D219:D222)</f>
        <v>321080.20999999996</v>
      </c>
      <c r="E223" s="397">
        <f t="shared" si="67"/>
        <v>1246516.8</v>
      </c>
      <c r="F223" s="397">
        <f t="shared" si="67"/>
        <v>0</v>
      </c>
      <c r="G223" s="397">
        <f t="shared" si="67"/>
        <v>0</v>
      </c>
      <c r="H223" s="397">
        <f t="shared" si="67"/>
        <v>0</v>
      </c>
      <c r="I223" s="397">
        <f t="shared" si="67"/>
        <v>0</v>
      </c>
      <c r="J223" s="397">
        <f t="shared" si="67"/>
        <v>0</v>
      </c>
      <c r="K223" s="397">
        <f t="shared" si="67"/>
        <v>0</v>
      </c>
      <c r="L223" s="397">
        <f t="shared" si="67"/>
        <v>0</v>
      </c>
      <c r="M223" s="397">
        <f t="shared" si="67"/>
        <v>0</v>
      </c>
      <c r="N223" s="397">
        <f t="shared" si="67"/>
        <v>0</v>
      </c>
      <c r="O223" s="397">
        <f t="shared" si="67"/>
        <v>0</v>
      </c>
      <c r="P223" s="348">
        <f>SUM(D223:O223)</f>
        <v>1567597.01</v>
      </c>
    </row>
    <row r="224" spans="1:16" x14ac:dyDescent="0.3">
      <c r="A224" s="414" t="s">
        <v>213</v>
      </c>
      <c r="B224" s="415"/>
      <c r="C224" s="415"/>
      <c r="D224" s="415"/>
      <c r="E224" s="415"/>
      <c r="F224" s="415"/>
      <c r="G224" s="415"/>
      <c r="H224" s="415"/>
      <c r="I224" s="415"/>
      <c r="J224" s="415"/>
      <c r="K224" s="415"/>
      <c r="L224" s="415"/>
      <c r="M224" s="415"/>
      <c r="N224" s="415"/>
      <c r="O224" s="415"/>
      <c r="P224" s="479"/>
    </row>
    <row r="225" spans="1:16" x14ac:dyDescent="0.3">
      <c r="A225" s="416" t="s">
        <v>35</v>
      </c>
      <c r="B225" s="417"/>
      <c r="C225" s="322" t="s">
        <v>31</v>
      </c>
      <c r="D225" s="346">
        <v>28386016</v>
      </c>
      <c r="E225" s="346">
        <v>32206440</v>
      </c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8">
        <f t="shared" ref="P225:P230" si="68">SUM(D225:O225)</f>
        <v>60592456</v>
      </c>
    </row>
    <row r="226" spans="1:16" x14ac:dyDescent="0.3">
      <c r="A226" s="416" t="s">
        <v>34</v>
      </c>
      <c r="B226" s="417"/>
      <c r="C226" s="322" t="s">
        <v>31</v>
      </c>
      <c r="D226" s="346">
        <v>154700</v>
      </c>
      <c r="E226" s="346">
        <v>134100</v>
      </c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8">
        <f t="shared" si="68"/>
        <v>288800</v>
      </c>
    </row>
    <row r="227" spans="1:16" x14ac:dyDescent="0.3">
      <c r="A227" s="416" t="s">
        <v>33</v>
      </c>
      <c r="B227" s="417"/>
      <c r="C227" s="322" t="s">
        <v>31</v>
      </c>
      <c r="D227" s="346">
        <v>1910450</v>
      </c>
      <c r="E227" s="346">
        <v>1032940</v>
      </c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8">
        <f t="shared" si="68"/>
        <v>2943390</v>
      </c>
    </row>
    <row r="228" spans="1:16" x14ac:dyDescent="0.3">
      <c r="A228" s="416" t="s">
        <v>32</v>
      </c>
      <c r="B228" s="417"/>
      <c r="C228" s="322" t="s">
        <v>31</v>
      </c>
      <c r="D228" s="346">
        <v>5965590</v>
      </c>
      <c r="E228" s="346">
        <v>4843630</v>
      </c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8">
        <f t="shared" si="68"/>
        <v>10809220</v>
      </c>
    </row>
    <row r="229" spans="1:16" x14ac:dyDescent="0.3">
      <c r="A229" s="418" t="s">
        <v>214</v>
      </c>
      <c r="B229" s="419"/>
      <c r="C229" s="322" t="s">
        <v>31</v>
      </c>
      <c r="D229" s="397">
        <f t="shared" ref="D229:O229" si="69">SUM(D225:D228)</f>
        <v>36416756</v>
      </c>
      <c r="E229" s="397">
        <f t="shared" si="69"/>
        <v>38217110</v>
      </c>
      <c r="F229" s="397">
        <f t="shared" si="69"/>
        <v>0</v>
      </c>
      <c r="G229" s="397">
        <f t="shared" si="69"/>
        <v>0</v>
      </c>
      <c r="H229" s="397">
        <f t="shared" si="69"/>
        <v>0</v>
      </c>
      <c r="I229" s="397">
        <f t="shared" si="69"/>
        <v>0</v>
      </c>
      <c r="J229" s="397">
        <f t="shared" si="69"/>
        <v>0</v>
      </c>
      <c r="K229" s="397">
        <f t="shared" si="69"/>
        <v>0</v>
      </c>
      <c r="L229" s="397">
        <f t="shared" si="69"/>
        <v>0</v>
      </c>
      <c r="M229" s="397">
        <f t="shared" si="69"/>
        <v>0</v>
      </c>
      <c r="N229" s="397">
        <f t="shared" si="69"/>
        <v>0</v>
      </c>
      <c r="O229" s="397">
        <f t="shared" si="69"/>
        <v>0</v>
      </c>
      <c r="P229" s="348">
        <f t="shared" si="68"/>
        <v>74633866</v>
      </c>
    </row>
    <row r="230" spans="1:16" x14ac:dyDescent="0.3">
      <c r="A230" s="395" t="s">
        <v>215</v>
      </c>
      <c r="B230" s="398"/>
      <c r="C230" s="322" t="s">
        <v>31</v>
      </c>
      <c r="D230" s="397">
        <f>D223+D229</f>
        <v>36737836.210000001</v>
      </c>
      <c r="E230" s="397">
        <f t="shared" ref="E230:O230" si="70">E223+E229</f>
        <v>39463626.799999997</v>
      </c>
      <c r="F230" s="397">
        <f t="shared" si="70"/>
        <v>0</v>
      </c>
      <c r="G230" s="397">
        <f t="shared" si="70"/>
        <v>0</v>
      </c>
      <c r="H230" s="397">
        <f t="shared" si="70"/>
        <v>0</v>
      </c>
      <c r="I230" s="397">
        <f t="shared" si="70"/>
        <v>0</v>
      </c>
      <c r="J230" s="397">
        <f t="shared" si="70"/>
        <v>0</v>
      </c>
      <c r="K230" s="397">
        <f t="shared" si="70"/>
        <v>0</v>
      </c>
      <c r="L230" s="397">
        <f t="shared" si="70"/>
        <v>0</v>
      </c>
      <c r="M230" s="397">
        <f t="shared" si="70"/>
        <v>0</v>
      </c>
      <c r="N230" s="397">
        <f t="shared" si="70"/>
        <v>0</v>
      </c>
      <c r="O230" s="397">
        <f t="shared" si="70"/>
        <v>0</v>
      </c>
      <c r="P230" s="348">
        <f t="shared" si="68"/>
        <v>76201463.00999999</v>
      </c>
    </row>
    <row r="231" spans="1:16" x14ac:dyDescent="0.3">
      <c r="A231" s="414" t="s">
        <v>30</v>
      </c>
      <c r="B231" s="415"/>
      <c r="C231" s="415"/>
      <c r="D231" s="415"/>
      <c r="E231" s="415"/>
      <c r="F231" s="415"/>
      <c r="G231" s="415"/>
      <c r="H231" s="415"/>
      <c r="I231" s="415"/>
      <c r="J231" s="415"/>
      <c r="K231" s="415"/>
      <c r="L231" s="415"/>
      <c r="M231" s="415"/>
      <c r="N231" s="415"/>
      <c r="O231" s="415"/>
      <c r="P231" s="479"/>
    </row>
    <row r="232" spans="1:16" x14ac:dyDescent="0.3">
      <c r="A232" s="416" t="s">
        <v>29</v>
      </c>
      <c r="B232" s="417"/>
      <c r="C232" s="322" t="s">
        <v>18</v>
      </c>
      <c r="D232" s="346">
        <v>3269.58</v>
      </c>
      <c r="E232" s="346">
        <v>3269.58</v>
      </c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8">
        <f>SUM(D232:O232)</f>
        <v>6539.16</v>
      </c>
    </row>
    <row r="233" spans="1:16" x14ac:dyDescent="0.3">
      <c r="A233" s="416" t="s">
        <v>28</v>
      </c>
      <c r="B233" s="417"/>
      <c r="C233" s="322" t="s">
        <v>18</v>
      </c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8">
        <f>SUM(D233:O233)</f>
        <v>0</v>
      </c>
    </row>
    <row r="234" spans="1:16" x14ac:dyDescent="0.3">
      <c r="A234" s="416" t="s">
        <v>27</v>
      </c>
      <c r="B234" s="417"/>
      <c r="C234" s="322" t="s">
        <v>18</v>
      </c>
      <c r="D234" s="346">
        <v>10180.92</v>
      </c>
      <c r="E234" s="346">
        <v>10180.92</v>
      </c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8">
        <f>SUM(D234:O234)</f>
        <v>20361.84</v>
      </c>
    </row>
    <row r="235" spans="1:16" x14ac:dyDescent="0.3">
      <c r="A235" s="416" t="s">
        <v>26</v>
      </c>
      <c r="B235" s="417"/>
      <c r="C235" s="322" t="s">
        <v>18</v>
      </c>
      <c r="D235" s="346">
        <v>4637.34</v>
      </c>
      <c r="E235" s="346">
        <v>4637.34</v>
      </c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8">
        <f>SUM(D235:O235)</f>
        <v>9274.68</v>
      </c>
    </row>
    <row r="236" spans="1:16" x14ac:dyDescent="0.3">
      <c r="A236" s="418" t="s">
        <v>25</v>
      </c>
      <c r="B236" s="419"/>
      <c r="C236" s="322" t="s">
        <v>18</v>
      </c>
      <c r="D236" s="397">
        <f t="shared" ref="D236:P236" si="71">SUM(D232:D235)</f>
        <v>18087.84</v>
      </c>
      <c r="E236" s="397">
        <f t="shared" si="71"/>
        <v>18087.84</v>
      </c>
      <c r="F236" s="397">
        <f t="shared" si="71"/>
        <v>0</v>
      </c>
      <c r="G236" s="397">
        <f t="shared" si="71"/>
        <v>0</v>
      </c>
      <c r="H236" s="397">
        <f t="shared" si="71"/>
        <v>0</v>
      </c>
      <c r="I236" s="397">
        <f t="shared" si="71"/>
        <v>0</v>
      </c>
      <c r="J236" s="397">
        <f t="shared" si="71"/>
        <v>0</v>
      </c>
      <c r="K236" s="397">
        <f t="shared" si="71"/>
        <v>0</v>
      </c>
      <c r="L236" s="397">
        <f t="shared" si="71"/>
        <v>0</v>
      </c>
      <c r="M236" s="397">
        <f t="shared" si="71"/>
        <v>0</v>
      </c>
      <c r="N236" s="397">
        <f t="shared" si="71"/>
        <v>0</v>
      </c>
      <c r="O236" s="397">
        <f t="shared" si="71"/>
        <v>0</v>
      </c>
      <c r="P236" s="351">
        <f t="shared" si="71"/>
        <v>36175.68</v>
      </c>
    </row>
    <row r="237" spans="1:16" x14ac:dyDescent="0.3">
      <c r="A237" s="414" t="s">
        <v>24</v>
      </c>
      <c r="B237" s="415"/>
      <c r="C237" s="415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79"/>
    </row>
    <row r="238" spans="1:16" x14ac:dyDescent="0.3">
      <c r="A238" s="416" t="s">
        <v>23</v>
      </c>
      <c r="B238" s="417"/>
      <c r="C238" s="322" t="s">
        <v>18</v>
      </c>
      <c r="D238" s="345">
        <v>5358</v>
      </c>
      <c r="E238" s="345">
        <v>5358</v>
      </c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8">
        <f>SUM(D238:O238)</f>
        <v>10716</v>
      </c>
    </row>
    <row r="239" spans="1:16" x14ac:dyDescent="0.3">
      <c r="A239" s="416" t="s">
        <v>22</v>
      </c>
      <c r="B239" s="417"/>
      <c r="C239" s="322" t="s">
        <v>18</v>
      </c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8">
        <f>SUM(D239:O239)</f>
        <v>0</v>
      </c>
    </row>
    <row r="240" spans="1:16" x14ac:dyDescent="0.3">
      <c r="A240" s="416" t="s">
        <v>21</v>
      </c>
      <c r="B240" s="417"/>
      <c r="C240" s="322" t="s">
        <v>18</v>
      </c>
      <c r="D240" s="345">
        <v>2679</v>
      </c>
      <c r="E240" s="345">
        <v>2679</v>
      </c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8">
        <f>SUM(D240:O240)</f>
        <v>5358</v>
      </c>
    </row>
    <row r="241" spans="1:16" x14ac:dyDescent="0.3">
      <c r="A241" s="416" t="s">
        <v>20</v>
      </c>
      <c r="B241" s="417"/>
      <c r="C241" s="322" t="s">
        <v>18</v>
      </c>
      <c r="D241" s="346">
        <v>893</v>
      </c>
      <c r="E241" s="346">
        <v>893</v>
      </c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8">
        <f>SUM(D241:O241)</f>
        <v>1786</v>
      </c>
    </row>
    <row r="242" spans="1:16" x14ac:dyDescent="0.3">
      <c r="A242" s="418" t="s">
        <v>19</v>
      </c>
      <c r="B242" s="419"/>
      <c r="C242" s="322" t="s">
        <v>18</v>
      </c>
      <c r="D242" s="397">
        <f t="shared" ref="D242:P242" si="72">SUM(D238:D241)</f>
        <v>8930</v>
      </c>
      <c r="E242" s="397">
        <f t="shared" si="72"/>
        <v>8930</v>
      </c>
      <c r="F242" s="397">
        <f t="shared" si="72"/>
        <v>0</v>
      </c>
      <c r="G242" s="397">
        <f t="shared" si="72"/>
        <v>0</v>
      </c>
      <c r="H242" s="397">
        <f t="shared" si="72"/>
        <v>0</v>
      </c>
      <c r="I242" s="397">
        <f t="shared" si="72"/>
        <v>0</v>
      </c>
      <c r="J242" s="397">
        <f t="shared" si="72"/>
        <v>0</v>
      </c>
      <c r="K242" s="397">
        <f t="shared" si="72"/>
        <v>0</v>
      </c>
      <c r="L242" s="397">
        <f t="shared" si="72"/>
        <v>0</v>
      </c>
      <c r="M242" s="397">
        <f t="shared" si="72"/>
        <v>0</v>
      </c>
      <c r="N242" s="397">
        <f t="shared" si="72"/>
        <v>0</v>
      </c>
      <c r="O242" s="397">
        <f t="shared" si="72"/>
        <v>0</v>
      </c>
      <c r="P242" s="351">
        <f t="shared" si="72"/>
        <v>17860</v>
      </c>
    </row>
    <row r="243" spans="1:16" x14ac:dyDescent="0.3">
      <c r="A243" s="418" t="s">
        <v>216</v>
      </c>
      <c r="B243" s="419"/>
      <c r="C243" s="322" t="s">
        <v>18</v>
      </c>
      <c r="D243" s="389">
        <f>D230+D236+D242</f>
        <v>36764854.050000004</v>
      </c>
      <c r="E243" s="389">
        <f t="shared" ref="E243:O243" si="73">E230+E236+E242</f>
        <v>39490644.640000001</v>
      </c>
      <c r="F243" s="389">
        <f t="shared" si="73"/>
        <v>0</v>
      </c>
      <c r="G243" s="389">
        <f t="shared" si="73"/>
        <v>0</v>
      </c>
      <c r="H243" s="389">
        <f t="shared" si="73"/>
        <v>0</v>
      </c>
      <c r="I243" s="389">
        <f t="shared" si="73"/>
        <v>0</v>
      </c>
      <c r="J243" s="389">
        <f t="shared" si="73"/>
        <v>0</v>
      </c>
      <c r="K243" s="389">
        <f t="shared" si="73"/>
        <v>0</v>
      </c>
      <c r="L243" s="389">
        <f t="shared" si="73"/>
        <v>0</v>
      </c>
      <c r="M243" s="389">
        <f t="shared" si="73"/>
        <v>0</v>
      </c>
      <c r="N243" s="389">
        <f t="shared" si="73"/>
        <v>0</v>
      </c>
      <c r="O243" s="389">
        <f t="shared" si="73"/>
        <v>0</v>
      </c>
      <c r="P243" s="351">
        <f t="shared" ref="P243" si="74">P216+P223+P236+P242</f>
        <v>76656878.690000013</v>
      </c>
    </row>
    <row r="244" spans="1:16" x14ac:dyDescent="0.3">
      <c r="A244" s="414" t="s">
        <v>206</v>
      </c>
      <c r="B244" s="415"/>
      <c r="C244" s="415"/>
      <c r="D244" s="415"/>
      <c r="E244" s="415"/>
      <c r="F244" s="415"/>
      <c r="G244" s="415"/>
      <c r="H244" s="415"/>
      <c r="I244" s="415"/>
      <c r="J244" s="415"/>
      <c r="K244" s="415"/>
      <c r="L244" s="415"/>
      <c r="M244" s="415"/>
      <c r="N244" s="415"/>
      <c r="O244" s="415"/>
      <c r="P244" s="479"/>
    </row>
    <row r="245" spans="1:16" x14ac:dyDescent="0.3">
      <c r="A245" s="436" t="s">
        <v>207</v>
      </c>
      <c r="B245" s="437"/>
      <c r="C245" s="322" t="s">
        <v>18</v>
      </c>
      <c r="D245" s="399">
        <v>943459.42000000016</v>
      </c>
      <c r="E245" s="399">
        <v>1050779.6000000003</v>
      </c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400">
        <f>O245</f>
        <v>0</v>
      </c>
    </row>
    <row r="246" spans="1:16" x14ac:dyDescent="0.3">
      <c r="A246" s="436" t="s">
        <v>208</v>
      </c>
      <c r="B246" s="437"/>
      <c r="C246" s="322" t="s">
        <v>18</v>
      </c>
      <c r="D246" s="399">
        <v>334156.72000000003</v>
      </c>
      <c r="E246" s="399">
        <v>1259593.3099999998</v>
      </c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400">
        <f>O246</f>
        <v>0</v>
      </c>
    </row>
    <row r="247" spans="1:16" x14ac:dyDescent="0.3">
      <c r="A247" s="434" t="s">
        <v>209</v>
      </c>
      <c r="B247" s="435"/>
      <c r="C247" s="322" t="s">
        <v>18</v>
      </c>
      <c r="D247" s="401">
        <f>D245+D246</f>
        <v>1277616.1400000001</v>
      </c>
      <c r="E247" s="401">
        <f t="shared" ref="E247:P247" si="75">E245+E246</f>
        <v>2310372.91</v>
      </c>
      <c r="F247" s="401">
        <f t="shared" si="75"/>
        <v>0</v>
      </c>
      <c r="G247" s="401">
        <f t="shared" si="75"/>
        <v>0</v>
      </c>
      <c r="H247" s="401">
        <f t="shared" si="75"/>
        <v>0</v>
      </c>
      <c r="I247" s="401">
        <f t="shared" si="75"/>
        <v>0</v>
      </c>
      <c r="J247" s="401">
        <f t="shared" si="75"/>
        <v>0</v>
      </c>
      <c r="K247" s="401">
        <f t="shared" si="75"/>
        <v>0</v>
      </c>
      <c r="L247" s="401">
        <f t="shared" si="75"/>
        <v>0</v>
      </c>
      <c r="M247" s="401">
        <f t="shared" si="75"/>
        <v>0</v>
      </c>
      <c r="N247" s="401">
        <f t="shared" si="75"/>
        <v>0</v>
      </c>
      <c r="O247" s="401">
        <f t="shared" si="75"/>
        <v>0</v>
      </c>
      <c r="P247" s="400">
        <f t="shared" si="75"/>
        <v>0</v>
      </c>
    </row>
    <row r="248" spans="1:16" x14ac:dyDescent="0.3">
      <c r="A248" s="414" t="s">
        <v>17</v>
      </c>
      <c r="B248" s="415"/>
      <c r="C248" s="415"/>
      <c r="D248" s="415"/>
      <c r="E248" s="415"/>
      <c r="F248" s="415"/>
      <c r="G248" s="415"/>
      <c r="H248" s="415"/>
      <c r="I248" s="415"/>
      <c r="J248" s="415"/>
      <c r="K248" s="415"/>
      <c r="L248" s="415"/>
      <c r="M248" s="415"/>
      <c r="N248" s="415"/>
      <c r="O248" s="415"/>
      <c r="P248" s="479"/>
    </row>
    <row r="249" spans="1:16" x14ac:dyDescent="0.3">
      <c r="A249" s="428" t="s">
        <v>16</v>
      </c>
      <c r="B249" s="429"/>
      <c r="C249" s="332" t="s">
        <v>6</v>
      </c>
      <c r="D249" s="402">
        <f>D58/D243</f>
        <v>0.83402850751967006</v>
      </c>
      <c r="E249" s="402">
        <f t="shared" ref="E249:O249" si="76">E58/E243</f>
        <v>0.93050126513457698</v>
      </c>
      <c r="F249" s="402" t="e">
        <f t="shared" si="76"/>
        <v>#DIV/0!</v>
      </c>
      <c r="G249" s="402" t="e">
        <f t="shared" si="76"/>
        <v>#DIV/0!</v>
      </c>
      <c r="H249" s="402" t="e">
        <f t="shared" si="76"/>
        <v>#DIV/0!</v>
      </c>
      <c r="I249" s="402" t="e">
        <f t="shared" si="76"/>
        <v>#DIV/0!</v>
      </c>
      <c r="J249" s="402" t="e">
        <f t="shared" si="76"/>
        <v>#DIV/0!</v>
      </c>
      <c r="K249" s="402" t="e">
        <f t="shared" si="76"/>
        <v>#DIV/0!</v>
      </c>
      <c r="L249" s="402" t="e">
        <f t="shared" si="76"/>
        <v>#DIV/0!</v>
      </c>
      <c r="M249" s="402" t="e">
        <f t="shared" si="76"/>
        <v>#DIV/0!</v>
      </c>
      <c r="N249" s="402" t="e">
        <f t="shared" si="76"/>
        <v>#DIV/0!</v>
      </c>
      <c r="O249" s="402" t="e">
        <f t="shared" si="76"/>
        <v>#DIV/0!</v>
      </c>
      <c r="P249" s="524">
        <f t="shared" ref="P249" si="77">P58/P243%</f>
        <v>88.188330005430828</v>
      </c>
    </row>
    <row r="250" spans="1:16" x14ac:dyDescent="0.3">
      <c r="A250" s="428" t="s">
        <v>210</v>
      </c>
      <c r="B250" s="429"/>
      <c r="C250" s="332" t="s">
        <v>6</v>
      </c>
      <c r="D250" s="381">
        <f>D210/(D223+D245)</f>
        <v>0</v>
      </c>
      <c r="E250" s="381">
        <f t="shared" ref="E250:O250" si="78">E210/(E223+E245)</f>
        <v>0</v>
      </c>
      <c r="F250" s="381" t="e">
        <f t="shared" si="78"/>
        <v>#DIV/0!</v>
      </c>
      <c r="G250" s="381" t="e">
        <f t="shared" si="78"/>
        <v>#DIV/0!</v>
      </c>
      <c r="H250" s="381" t="e">
        <f t="shared" si="78"/>
        <v>#DIV/0!</v>
      </c>
      <c r="I250" s="381" t="e">
        <f t="shared" si="78"/>
        <v>#DIV/0!</v>
      </c>
      <c r="J250" s="381" t="e">
        <f t="shared" si="78"/>
        <v>#DIV/0!</v>
      </c>
      <c r="K250" s="381" t="e">
        <f t="shared" si="78"/>
        <v>#DIV/0!</v>
      </c>
      <c r="L250" s="381" t="e">
        <f t="shared" si="78"/>
        <v>#DIV/0!</v>
      </c>
      <c r="M250" s="381" t="e">
        <f t="shared" si="78"/>
        <v>#DIV/0!</v>
      </c>
      <c r="N250" s="381" t="e">
        <f t="shared" si="78"/>
        <v>#DIV/0!</v>
      </c>
      <c r="O250" s="381" t="e">
        <f t="shared" si="78"/>
        <v>#DIV/0!</v>
      </c>
      <c r="P250" s="523">
        <f t="shared" ref="P250" si="79">P210/(P223+P245)%</f>
        <v>0</v>
      </c>
    </row>
    <row r="251" spans="1:16" ht="16.2" thickBot="1" x14ac:dyDescent="0.35">
      <c r="A251" s="438" t="s">
        <v>15</v>
      </c>
      <c r="B251" s="439"/>
      <c r="C251" s="332" t="s">
        <v>6</v>
      </c>
      <c r="D251" s="403">
        <f>D210/D223</f>
        <v>0</v>
      </c>
      <c r="E251" s="403">
        <f t="shared" ref="E251:O251" si="80">E210/E223</f>
        <v>0</v>
      </c>
      <c r="F251" s="403" t="e">
        <f t="shared" si="80"/>
        <v>#DIV/0!</v>
      </c>
      <c r="G251" s="403" t="e">
        <f t="shared" si="80"/>
        <v>#DIV/0!</v>
      </c>
      <c r="H251" s="403" t="e">
        <f t="shared" si="80"/>
        <v>#DIV/0!</v>
      </c>
      <c r="I251" s="403" t="e">
        <f t="shared" si="80"/>
        <v>#DIV/0!</v>
      </c>
      <c r="J251" s="403" t="e">
        <f t="shared" si="80"/>
        <v>#DIV/0!</v>
      </c>
      <c r="K251" s="403" t="e">
        <f t="shared" si="80"/>
        <v>#DIV/0!</v>
      </c>
      <c r="L251" s="403" t="e">
        <f t="shared" si="80"/>
        <v>#DIV/0!</v>
      </c>
      <c r="M251" s="403" t="e">
        <f t="shared" si="80"/>
        <v>#DIV/0!</v>
      </c>
      <c r="N251" s="403" t="e">
        <f t="shared" si="80"/>
        <v>#DIV/0!</v>
      </c>
      <c r="O251" s="403" t="e">
        <f t="shared" si="80"/>
        <v>#DIV/0!</v>
      </c>
      <c r="P251" s="525">
        <f t="shared" ref="P251" si="81">P210/P223%</f>
        <v>0</v>
      </c>
    </row>
    <row r="252" spans="1:16" x14ac:dyDescent="0.3">
      <c r="A252" s="440" t="s">
        <v>14</v>
      </c>
      <c r="B252" s="441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488"/>
    </row>
    <row r="253" spans="1:16" s="328" customFormat="1" ht="15" customHeight="1" x14ac:dyDescent="0.3">
      <c r="A253" s="428" t="s">
        <v>13</v>
      </c>
      <c r="B253" s="429"/>
      <c r="C253" s="332" t="s">
        <v>3</v>
      </c>
      <c r="D253" s="350">
        <v>40</v>
      </c>
      <c r="E253" s="350">
        <v>2933</v>
      </c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526">
        <f>SUM(D253:O253)</f>
        <v>2973</v>
      </c>
    </row>
    <row r="254" spans="1:16" s="328" customFormat="1" x14ac:dyDescent="0.3">
      <c r="A254" s="428" t="s">
        <v>12</v>
      </c>
      <c r="B254" s="429"/>
      <c r="C254" s="332" t="s">
        <v>3</v>
      </c>
      <c r="D254" s="350">
        <v>1</v>
      </c>
      <c r="E254" s="350">
        <v>2</v>
      </c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526">
        <f>SUM(D254:O254)</f>
        <v>3</v>
      </c>
    </row>
    <row r="255" spans="1:16" ht="15.75" customHeight="1" x14ac:dyDescent="0.3">
      <c r="A255" s="428" t="s">
        <v>11</v>
      </c>
      <c r="B255" s="429"/>
      <c r="C255" s="332" t="s">
        <v>3</v>
      </c>
      <c r="D255" s="350">
        <f t="shared" ref="D255:O255" si="82">D95</f>
        <v>2946</v>
      </c>
      <c r="E255" s="350">
        <f t="shared" si="82"/>
        <v>2933</v>
      </c>
      <c r="F255" s="350">
        <f t="shared" si="82"/>
        <v>0</v>
      </c>
      <c r="G255" s="350">
        <f t="shared" si="82"/>
        <v>0</v>
      </c>
      <c r="H255" s="350">
        <f t="shared" si="82"/>
        <v>0</v>
      </c>
      <c r="I255" s="350">
        <f t="shared" si="82"/>
        <v>0</v>
      </c>
      <c r="J255" s="350">
        <f t="shared" si="82"/>
        <v>0</v>
      </c>
      <c r="K255" s="350">
        <f t="shared" si="82"/>
        <v>0</v>
      </c>
      <c r="L255" s="350">
        <f t="shared" si="82"/>
        <v>0</v>
      </c>
      <c r="M255" s="350">
        <f t="shared" si="82"/>
        <v>0</v>
      </c>
      <c r="N255" s="350">
        <f t="shared" si="82"/>
        <v>0</v>
      </c>
      <c r="O255" s="350">
        <f t="shared" si="82"/>
        <v>0</v>
      </c>
      <c r="P255" s="526">
        <f>SUM(D255:O255)</f>
        <v>5879</v>
      </c>
    </row>
    <row r="256" spans="1:16" x14ac:dyDescent="0.3">
      <c r="A256" s="428" t="s">
        <v>10</v>
      </c>
      <c r="B256" s="429"/>
      <c r="C256" s="332" t="s">
        <v>3</v>
      </c>
      <c r="D256" s="350">
        <f t="shared" ref="D256:O256" si="83">D91</f>
        <v>40</v>
      </c>
      <c r="E256" s="350">
        <f t="shared" si="83"/>
        <v>20</v>
      </c>
      <c r="F256" s="350">
        <f t="shared" si="83"/>
        <v>0</v>
      </c>
      <c r="G256" s="350">
        <f t="shared" si="83"/>
        <v>0</v>
      </c>
      <c r="H256" s="350">
        <f t="shared" si="83"/>
        <v>0</v>
      </c>
      <c r="I256" s="350">
        <f t="shared" si="83"/>
        <v>0</v>
      </c>
      <c r="J256" s="350">
        <f t="shared" si="83"/>
        <v>0</v>
      </c>
      <c r="K256" s="350">
        <f t="shared" si="83"/>
        <v>0</v>
      </c>
      <c r="L256" s="350">
        <f t="shared" si="83"/>
        <v>0</v>
      </c>
      <c r="M256" s="350">
        <f t="shared" si="83"/>
        <v>0</v>
      </c>
      <c r="N256" s="350">
        <f t="shared" si="83"/>
        <v>0</v>
      </c>
      <c r="O256" s="350">
        <f t="shared" si="83"/>
        <v>0</v>
      </c>
      <c r="P256" s="526">
        <f>SUM(D256:O256)</f>
        <v>60</v>
      </c>
    </row>
    <row r="257" spans="1:16" ht="15.6" customHeight="1" x14ac:dyDescent="0.3">
      <c r="A257" s="428" t="s">
        <v>9</v>
      </c>
      <c r="B257" s="429"/>
      <c r="C257" s="332" t="s">
        <v>3</v>
      </c>
      <c r="D257" s="350">
        <v>7</v>
      </c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526">
        <f>SUM(D257:O257)</f>
        <v>7</v>
      </c>
    </row>
    <row r="258" spans="1:16" x14ac:dyDescent="0.3">
      <c r="A258" s="418" t="s">
        <v>8</v>
      </c>
      <c r="B258" s="419"/>
      <c r="C258" s="332" t="s">
        <v>3</v>
      </c>
      <c r="D258" s="345">
        <f t="shared" ref="D258:P258" si="84">D257/D256</f>
        <v>0.17499999999999999</v>
      </c>
      <c r="E258" s="345">
        <f t="shared" si="84"/>
        <v>0</v>
      </c>
      <c r="F258" s="345" t="e">
        <f t="shared" si="84"/>
        <v>#DIV/0!</v>
      </c>
      <c r="G258" s="345" t="e">
        <f t="shared" si="84"/>
        <v>#DIV/0!</v>
      </c>
      <c r="H258" s="345" t="e">
        <f t="shared" si="84"/>
        <v>#DIV/0!</v>
      </c>
      <c r="I258" s="345" t="e">
        <f t="shared" si="84"/>
        <v>#DIV/0!</v>
      </c>
      <c r="J258" s="345" t="e">
        <f t="shared" si="84"/>
        <v>#DIV/0!</v>
      </c>
      <c r="K258" s="345" t="e">
        <f t="shared" si="84"/>
        <v>#DIV/0!</v>
      </c>
      <c r="L258" s="345" t="e">
        <f t="shared" si="84"/>
        <v>#DIV/0!</v>
      </c>
      <c r="M258" s="345" t="e">
        <f t="shared" si="84"/>
        <v>#DIV/0!</v>
      </c>
      <c r="N258" s="345" t="e">
        <f t="shared" si="84"/>
        <v>#DIV/0!</v>
      </c>
      <c r="O258" s="345" t="e">
        <f t="shared" si="84"/>
        <v>#DIV/0!</v>
      </c>
      <c r="P258" s="526">
        <f t="shared" si="84"/>
        <v>0.11666666666666667</v>
      </c>
    </row>
    <row r="259" spans="1:16" x14ac:dyDescent="0.3">
      <c r="A259" s="418" t="s">
        <v>7</v>
      </c>
      <c r="B259" s="419"/>
      <c r="C259" s="332" t="s">
        <v>6</v>
      </c>
      <c r="D259" s="404">
        <f t="shared" ref="D259:P259" si="85">D92/D255*100</f>
        <v>0</v>
      </c>
      <c r="E259" s="404">
        <f t="shared" si="85"/>
        <v>0</v>
      </c>
      <c r="F259" s="404" t="e">
        <f t="shared" si="85"/>
        <v>#DIV/0!</v>
      </c>
      <c r="G259" s="404" t="e">
        <f t="shared" si="85"/>
        <v>#DIV/0!</v>
      </c>
      <c r="H259" s="404" t="e">
        <f t="shared" si="85"/>
        <v>#DIV/0!</v>
      </c>
      <c r="I259" s="404" t="e">
        <f t="shared" si="85"/>
        <v>#DIV/0!</v>
      </c>
      <c r="J259" s="404" t="e">
        <f t="shared" si="85"/>
        <v>#DIV/0!</v>
      </c>
      <c r="K259" s="404" t="e">
        <f t="shared" si="85"/>
        <v>#DIV/0!</v>
      </c>
      <c r="L259" s="404" t="e">
        <f t="shared" si="85"/>
        <v>#DIV/0!</v>
      </c>
      <c r="M259" s="404" t="e">
        <f t="shared" si="85"/>
        <v>#DIV/0!</v>
      </c>
      <c r="N259" s="404" t="e">
        <f t="shared" si="85"/>
        <v>#DIV/0!</v>
      </c>
      <c r="O259" s="404" t="e">
        <f t="shared" si="85"/>
        <v>#DIV/0!</v>
      </c>
      <c r="P259" s="527">
        <f t="shared" si="85"/>
        <v>0</v>
      </c>
    </row>
    <row r="260" spans="1:16" x14ac:dyDescent="0.3">
      <c r="A260" s="414" t="s">
        <v>5</v>
      </c>
      <c r="B260" s="415"/>
      <c r="C260" s="415"/>
      <c r="D260" s="415"/>
      <c r="E260" s="415"/>
      <c r="F260" s="415"/>
      <c r="G260" s="415"/>
      <c r="H260" s="415"/>
      <c r="I260" s="415"/>
      <c r="J260" s="415"/>
      <c r="K260" s="415"/>
      <c r="L260" s="415"/>
      <c r="M260" s="415"/>
      <c r="N260" s="415"/>
      <c r="O260" s="415"/>
      <c r="P260" s="479"/>
    </row>
    <row r="261" spans="1:16" s="328" customFormat="1" ht="15" customHeight="1" x14ac:dyDescent="0.3">
      <c r="A261" s="428" t="s">
        <v>4</v>
      </c>
      <c r="B261" s="429"/>
      <c r="C261" s="332" t="s">
        <v>3</v>
      </c>
      <c r="D261" s="350">
        <v>6</v>
      </c>
      <c r="E261" s="350">
        <v>4</v>
      </c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1">
        <f>SUM(D261:O261)</f>
        <v>10</v>
      </c>
    </row>
    <row r="262" spans="1:16" s="328" customFormat="1" ht="15.75" customHeight="1" x14ac:dyDescent="0.3">
      <c r="A262" s="428" t="s">
        <v>2</v>
      </c>
      <c r="B262" s="429"/>
      <c r="C262" s="332" t="s">
        <v>0</v>
      </c>
      <c r="D262" s="350">
        <v>24</v>
      </c>
      <c r="E262" s="350">
        <v>3</v>
      </c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1">
        <f>SUM(D262:O262)</f>
        <v>27</v>
      </c>
    </row>
    <row r="263" spans="1:16" ht="16.2" thickBot="1" x14ac:dyDescent="0.35">
      <c r="A263" s="426" t="s">
        <v>1</v>
      </c>
      <c r="B263" s="427"/>
      <c r="C263" s="405" t="s">
        <v>0</v>
      </c>
      <c r="D263" s="406">
        <f>D261/D262</f>
        <v>0.25</v>
      </c>
      <c r="E263" s="406">
        <f t="shared" ref="E263:P263" si="86">E261/E262</f>
        <v>1.3333333333333333</v>
      </c>
      <c r="F263" s="406" t="e">
        <f t="shared" si="86"/>
        <v>#DIV/0!</v>
      </c>
      <c r="G263" s="406" t="e">
        <f t="shared" si="86"/>
        <v>#DIV/0!</v>
      </c>
      <c r="H263" s="406" t="e">
        <f t="shared" si="86"/>
        <v>#DIV/0!</v>
      </c>
      <c r="I263" s="406" t="e">
        <f t="shared" si="86"/>
        <v>#DIV/0!</v>
      </c>
      <c r="J263" s="406" t="e">
        <f t="shared" si="86"/>
        <v>#DIV/0!</v>
      </c>
      <c r="K263" s="406" t="e">
        <f t="shared" si="86"/>
        <v>#DIV/0!</v>
      </c>
      <c r="L263" s="406" t="e">
        <f t="shared" si="86"/>
        <v>#DIV/0!</v>
      </c>
      <c r="M263" s="406" t="e">
        <f t="shared" si="86"/>
        <v>#DIV/0!</v>
      </c>
      <c r="N263" s="406" t="e">
        <f t="shared" si="86"/>
        <v>#DIV/0!</v>
      </c>
      <c r="O263" s="406" t="e">
        <f t="shared" si="86"/>
        <v>#DIV/0!</v>
      </c>
      <c r="P263" s="477">
        <f t="shared" si="86"/>
        <v>0.37037037037037035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263"/>
  <sheetViews>
    <sheetView tabSelected="1" zoomScale="106" zoomScaleNormal="106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24" sqref="E24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1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12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</row>
    <row r="7" spans="1:16" ht="16.2" thickBot="1" x14ac:dyDescent="0.35">
      <c r="A7" s="216" t="s">
        <v>176</v>
      </c>
      <c r="B7" s="217"/>
      <c r="C7" s="60" t="s">
        <v>175</v>
      </c>
      <c r="D7" s="59" t="s">
        <v>165</v>
      </c>
      <c r="E7" s="59" t="s">
        <v>164</v>
      </c>
      <c r="F7" s="59" t="s">
        <v>163</v>
      </c>
      <c r="G7" s="59" t="s">
        <v>174</v>
      </c>
      <c r="H7" s="59" t="s">
        <v>173</v>
      </c>
      <c r="I7" s="59" t="s">
        <v>172</v>
      </c>
      <c r="J7" s="59" t="s">
        <v>171</v>
      </c>
      <c r="K7" s="59" t="s">
        <v>170</v>
      </c>
      <c r="L7" s="59" t="s">
        <v>169</v>
      </c>
      <c r="M7" s="59" t="s">
        <v>168</v>
      </c>
      <c r="N7" s="59" t="s">
        <v>167</v>
      </c>
      <c r="O7" s="59" t="s">
        <v>166</v>
      </c>
      <c r="P7" s="58" t="s">
        <v>162</v>
      </c>
    </row>
    <row r="8" spans="1:16" ht="15" thickBot="1" x14ac:dyDescent="0.35">
      <c r="A8" s="277" t="s">
        <v>161</v>
      </c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9"/>
    </row>
    <row r="9" spans="1:16" x14ac:dyDescent="0.3">
      <c r="A9" s="220" t="s">
        <v>178</v>
      </c>
      <c r="B9" s="221"/>
      <c r="C9" s="57" t="s">
        <v>154</v>
      </c>
      <c r="D9" s="33">
        <f>Mangochi!D9+'Monkey Bay'!D9+Namwera!D9+Nkhudzi!D9</f>
        <v>247660</v>
      </c>
      <c r="E9" s="33">
        <f>Mangochi!E9+'Monkey Bay'!E9+Namwera!E9+Nkhudzi!E9</f>
        <v>255935</v>
      </c>
      <c r="F9" s="33">
        <f>Mangochi!F9+'Monkey Bay'!F9+Namwera!F9+Nkhudzi!F9</f>
        <v>0</v>
      </c>
      <c r="G9" s="33">
        <f>Mangochi!G9+'Monkey Bay'!G9+Namwera!G9+Nkhudzi!G9</f>
        <v>0</v>
      </c>
      <c r="H9" s="33">
        <f>Mangochi!H9+'Monkey Bay'!H9+Namwera!H9+Nkhudzi!H9</f>
        <v>0</v>
      </c>
      <c r="I9" s="33">
        <f>Mangochi!I9+'Monkey Bay'!I9+Namwera!I9+Nkhudzi!I9</f>
        <v>0</v>
      </c>
      <c r="J9" s="33">
        <f>Mangochi!J9+'Monkey Bay'!J9+Namwera!J9+Nkhudzi!J9</f>
        <v>0</v>
      </c>
      <c r="K9" s="33">
        <f>Mangochi!K9+'Monkey Bay'!K9+Namwera!K9+Nkhudzi!K9</f>
        <v>0</v>
      </c>
      <c r="L9" s="33">
        <f>Mangochi!L9+'Monkey Bay'!L9+Namwera!L9+Nkhudzi!L9</f>
        <v>0</v>
      </c>
      <c r="M9" s="33">
        <f>Mangochi!M9+'Monkey Bay'!M9+Namwera!M9+Nkhudzi!M9</f>
        <v>0</v>
      </c>
      <c r="N9" s="33">
        <f>Mangochi!N9+'Monkey Bay'!N9+Namwera!N9+Nkhudzi!N9</f>
        <v>0</v>
      </c>
      <c r="O9" s="33">
        <f>Mangochi!O9+'Monkey Bay'!O9+Namwera!O9+Nkhudzi!O9</f>
        <v>0</v>
      </c>
      <c r="P9" s="142">
        <f>SUM(D9:O9)</f>
        <v>503595</v>
      </c>
    </row>
    <row r="10" spans="1:16" ht="14.4" x14ac:dyDescent="0.3">
      <c r="A10" s="257" t="s">
        <v>179</v>
      </c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9"/>
    </row>
    <row r="11" spans="1:16" x14ac:dyDescent="0.3">
      <c r="A11" s="218" t="s">
        <v>159</v>
      </c>
      <c r="B11" s="219"/>
      <c r="C11" s="11" t="s">
        <v>154</v>
      </c>
      <c r="D11" s="25">
        <f>Mangochi!D11+'Monkey Bay'!D11+Namwera!D11+Nkhudzi!D11</f>
        <v>71261</v>
      </c>
      <c r="E11" s="25">
        <f>Mangochi!E11+'Monkey Bay'!E11+Namwera!E11+Nkhudzi!E11</f>
        <v>78663</v>
      </c>
      <c r="F11" s="25">
        <f>Mangochi!F11+'Monkey Bay'!F11+Namwera!F11+Nkhudzi!F11</f>
        <v>0</v>
      </c>
      <c r="G11" s="25">
        <f>Mangochi!G11+'Monkey Bay'!G11+Namwera!G11+Nkhudzi!G11</f>
        <v>0</v>
      </c>
      <c r="H11" s="25">
        <f>Mangochi!H11+'Monkey Bay'!H11+Namwera!H11+Nkhudzi!H11</f>
        <v>0</v>
      </c>
      <c r="I11" s="25">
        <f>Mangochi!I11+'Monkey Bay'!I11+Namwera!I11+Nkhudzi!I11</f>
        <v>0</v>
      </c>
      <c r="J11" s="25">
        <f>Mangochi!J11+'Monkey Bay'!J11+Namwera!J11+Nkhudzi!J11</f>
        <v>0</v>
      </c>
      <c r="K11" s="25">
        <f>Mangochi!K11+'Monkey Bay'!K11+Namwera!K11+Nkhudzi!K11</f>
        <v>0</v>
      </c>
      <c r="L11" s="25">
        <f>Mangochi!L11+'Monkey Bay'!L11+Namwera!L11+Nkhudzi!L11</f>
        <v>0</v>
      </c>
      <c r="M11" s="25">
        <f>Mangochi!M11+'Monkey Bay'!M11+Namwera!M11+Nkhudzi!M11</f>
        <v>0</v>
      </c>
      <c r="N11" s="25">
        <f>Mangochi!N11+'Monkey Bay'!N11+Namwera!N11+Nkhudzi!N11</f>
        <v>0</v>
      </c>
      <c r="O11" s="25">
        <f>Mangochi!O11+'Monkey Bay'!O11+Namwera!O11+Nkhudzi!O11</f>
        <v>0</v>
      </c>
      <c r="P11" s="54">
        <f>SUM(D11:O11)</f>
        <v>149924</v>
      </c>
    </row>
    <row r="12" spans="1:16" x14ac:dyDescent="0.3">
      <c r="A12" s="218" t="s">
        <v>158</v>
      </c>
      <c r="B12" s="219"/>
      <c r="C12" s="11" t="s">
        <v>154</v>
      </c>
      <c r="D12" s="25">
        <f>Mangochi!D12+'Monkey Bay'!D12+Namwera!D12+Nkhudzi!D12</f>
        <v>0</v>
      </c>
      <c r="E12" s="25">
        <f>Mangochi!E12+'Monkey Bay'!E12+Namwera!E12+Nkhudzi!E12</f>
        <v>0</v>
      </c>
      <c r="F12" s="25">
        <f>Mangochi!F12+'Monkey Bay'!F12+Namwera!F12+Nkhudzi!F12</f>
        <v>0</v>
      </c>
      <c r="G12" s="25">
        <f>Mangochi!G12+'Monkey Bay'!G12+Namwera!G12+Nkhudzi!G12</f>
        <v>0</v>
      </c>
      <c r="H12" s="25">
        <f>Mangochi!H12+'Monkey Bay'!H12+Namwera!H12+Nkhudzi!H12</f>
        <v>0</v>
      </c>
      <c r="I12" s="25">
        <f>Mangochi!I12+'Monkey Bay'!I12+Namwera!I12+Nkhudzi!I12</f>
        <v>0</v>
      </c>
      <c r="J12" s="25">
        <f>Mangochi!J12+'Monkey Bay'!J12+Namwera!J12+Nkhudzi!J12</f>
        <v>0</v>
      </c>
      <c r="K12" s="25">
        <f>Mangochi!K12+'Monkey Bay'!K12+Namwera!K12+Nkhudzi!K12</f>
        <v>0</v>
      </c>
      <c r="L12" s="25">
        <f>Mangochi!L12+'Monkey Bay'!L12+Namwera!L12+Nkhudzi!L12</f>
        <v>0</v>
      </c>
      <c r="M12" s="25">
        <f>Mangochi!M12+'Monkey Bay'!M12+Namwera!M12+Nkhudzi!M12</f>
        <v>0</v>
      </c>
      <c r="N12" s="25">
        <f>Mangochi!N12+'Monkey Bay'!N12+Namwera!N12+Nkhudzi!N12</f>
        <v>0</v>
      </c>
      <c r="O12" s="25">
        <f>Mangochi!O12+'Monkey Bay'!O12+Namwera!O12+Nkhudzi!O12</f>
        <v>0</v>
      </c>
      <c r="P12" s="54">
        <f>SUM(D12:O12)</f>
        <v>0</v>
      </c>
    </row>
    <row r="13" spans="1:16" x14ac:dyDescent="0.3">
      <c r="A13" s="218" t="s">
        <v>157</v>
      </c>
      <c r="B13" s="219"/>
      <c r="C13" s="11" t="s">
        <v>154</v>
      </c>
      <c r="D13" s="25">
        <f>Mangochi!D13+'Monkey Bay'!D13+Namwera!D13+Nkhudzi!D13</f>
        <v>4476</v>
      </c>
      <c r="E13" s="25">
        <f>Mangochi!E13+'Monkey Bay'!E13+Namwera!E13+Nkhudzi!E13</f>
        <v>5153</v>
      </c>
      <c r="F13" s="25">
        <f>Mangochi!F13+'Monkey Bay'!F13+Namwera!F13+Nkhudzi!F13</f>
        <v>0</v>
      </c>
      <c r="G13" s="25">
        <f>Mangochi!G13+'Monkey Bay'!G13+Namwera!G13+Nkhudzi!G13</f>
        <v>0</v>
      </c>
      <c r="H13" s="25">
        <f>Mangochi!H13+'Monkey Bay'!H13+Namwera!H13+Nkhudzi!H13</f>
        <v>0</v>
      </c>
      <c r="I13" s="25">
        <f>Mangochi!I13+'Monkey Bay'!I13+Namwera!I13+Nkhudzi!I13</f>
        <v>0</v>
      </c>
      <c r="J13" s="25">
        <f>Mangochi!J13+'Monkey Bay'!J13+Namwera!J13+Nkhudzi!J13</f>
        <v>0</v>
      </c>
      <c r="K13" s="25">
        <f>Mangochi!K13+'Monkey Bay'!K13+Namwera!K13+Nkhudzi!K13</f>
        <v>0</v>
      </c>
      <c r="L13" s="25">
        <f>Mangochi!L13+'Monkey Bay'!L13+Namwera!L13+Nkhudzi!L13</f>
        <v>0</v>
      </c>
      <c r="M13" s="25">
        <f>Mangochi!M13+'Monkey Bay'!M13+Namwera!M13+Nkhudzi!M13</f>
        <v>0</v>
      </c>
      <c r="N13" s="25">
        <f>Mangochi!N13+'Monkey Bay'!N13+Namwera!N13+Nkhudzi!N13</f>
        <v>0</v>
      </c>
      <c r="O13" s="25">
        <f>Mangochi!O13+'Monkey Bay'!O13+Namwera!O13+Nkhudzi!O13</f>
        <v>0</v>
      </c>
      <c r="P13" s="54">
        <f>SUM(D13:O13)</f>
        <v>9629</v>
      </c>
    </row>
    <row r="14" spans="1:16" x14ac:dyDescent="0.3">
      <c r="A14" s="212" t="s">
        <v>156</v>
      </c>
      <c r="B14" s="213"/>
      <c r="C14" s="11" t="s">
        <v>154</v>
      </c>
      <c r="D14" s="25">
        <f>Mangochi!D14+'Monkey Bay'!D14+Namwera!D14+Nkhudzi!D14</f>
        <v>65</v>
      </c>
      <c r="E14" s="25">
        <f>Mangochi!E14+'Monkey Bay'!E14+Namwera!E14+Nkhudzi!E14</f>
        <v>80</v>
      </c>
      <c r="F14" s="25">
        <f>Mangochi!F14+'Monkey Bay'!F14+Namwera!F14+Nkhudzi!F14</f>
        <v>0</v>
      </c>
      <c r="G14" s="25">
        <f>Mangochi!G14+'Monkey Bay'!G14+Namwera!G14+Nkhudzi!G14</f>
        <v>0</v>
      </c>
      <c r="H14" s="25">
        <f>Mangochi!H14+'Monkey Bay'!H14+Namwera!H14+Nkhudzi!H14</f>
        <v>0</v>
      </c>
      <c r="I14" s="25">
        <f>Mangochi!I14+'Monkey Bay'!I14+Namwera!I14+Nkhudzi!I14</f>
        <v>0</v>
      </c>
      <c r="J14" s="25">
        <f>Mangochi!J14+'Monkey Bay'!J14+Namwera!J14+Nkhudzi!J14</f>
        <v>0</v>
      </c>
      <c r="K14" s="25">
        <f>Mangochi!K14+'Monkey Bay'!K14+Namwera!K14+Nkhudzi!K14</f>
        <v>0</v>
      </c>
      <c r="L14" s="25">
        <f>Mangochi!L14+'Monkey Bay'!L14+Namwera!L14+Nkhudzi!L14</f>
        <v>0</v>
      </c>
      <c r="M14" s="25">
        <f>Mangochi!M14+'Monkey Bay'!M14+Namwera!M14+Nkhudzi!M14</f>
        <v>0</v>
      </c>
      <c r="N14" s="25">
        <f>Mangochi!N14+'Monkey Bay'!N14+Namwera!N14+Nkhudzi!N14</f>
        <v>0</v>
      </c>
      <c r="O14" s="25">
        <f>Mangochi!O14+'Monkey Bay'!O14+Namwera!O14+Nkhudzi!O14</f>
        <v>0</v>
      </c>
      <c r="P14" s="54">
        <f>SUM(D14:O14)</f>
        <v>145</v>
      </c>
    </row>
    <row r="15" spans="1:16" s="62" customFormat="1" x14ac:dyDescent="0.3">
      <c r="A15" s="214" t="s">
        <v>160</v>
      </c>
      <c r="B15" s="215"/>
      <c r="C15" s="61" t="s">
        <v>154</v>
      </c>
      <c r="D15" s="33">
        <f t="shared" ref="D15:P15" si="0">SUM(D11:D14)</f>
        <v>75802</v>
      </c>
      <c r="E15" s="33">
        <f t="shared" ref="E15:L15" si="1">SUM(E11:E14)</f>
        <v>83896</v>
      </c>
      <c r="F15" s="33">
        <f t="shared" si="1"/>
        <v>0</v>
      </c>
      <c r="G15" s="33">
        <f t="shared" si="1"/>
        <v>0</v>
      </c>
      <c r="H15" s="33">
        <f t="shared" si="1"/>
        <v>0</v>
      </c>
      <c r="I15" s="33">
        <f t="shared" si="1"/>
        <v>0</v>
      </c>
      <c r="J15" s="33">
        <f t="shared" si="1"/>
        <v>0</v>
      </c>
      <c r="K15" s="33">
        <f t="shared" si="1"/>
        <v>0</v>
      </c>
      <c r="L15" s="33">
        <f t="shared" si="1"/>
        <v>0</v>
      </c>
      <c r="M15" s="33">
        <f t="shared" ref="M15" si="2">SUM(M11:M14)</f>
        <v>0</v>
      </c>
      <c r="N15" s="33">
        <f t="shared" ref="N15" si="3">SUM(N11:N14)</f>
        <v>0</v>
      </c>
      <c r="O15" s="33">
        <f t="shared" ref="O15" si="4">SUM(O11:O14)</f>
        <v>0</v>
      </c>
      <c r="P15" s="54">
        <f t="shared" si="0"/>
        <v>159698</v>
      </c>
    </row>
    <row r="16" spans="1:16" s="2" customFormat="1" ht="14.4" x14ac:dyDescent="0.3">
      <c r="A16" s="257" t="s">
        <v>180</v>
      </c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9"/>
    </row>
    <row r="17" spans="1:16" s="2" customFormat="1" x14ac:dyDescent="0.3">
      <c r="A17" s="218" t="s">
        <v>182</v>
      </c>
      <c r="B17" s="219"/>
      <c r="C17" s="11" t="s">
        <v>154</v>
      </c>
      <c r="D17" s="25">
        <f>Mangochi!D17+'Monkey Bay'!D17+Namwera!D17+Nkhudzi!D17</f>
        <v>59225.600000000079</v>
      </c>
      <c r="E17" s="25">
        <f>Mangochi!E17+'Monkey Bay'!E17+Namwera!E17+Nkhudzi!E17</f>
        <v>69450.699999999837</v>
      </c>
      <c r="F17" s="25">
        <f>Mangochi!F17+'Monkey Bay'!F17+Namwera!F17+Nkhudzi!F17</f>
        <v>0</v>
      </c>
      <c r="G17" s="25">
        <f>Mangochi!G17+'Monkey Bay'!G17+Namwera!G17+Nkhudzi!G17</f>
        <v>0</v>
      </c>
      <c r="H17" s="25">
        <f>Mangochi!H17+'Monkey Bay'!H17+Namwera!H17+Nkhudzi!H17</f>
        <v>0</v>
      </c>
      <c r="I17" s="25">
        <f>Mangochi!I17+'Monkey Bay'!I17+Namwera!I17+Nkhudzi!I17</f>
        <v>0</v>
      </c>
      <c r="J17" s="25">
        <f>Mangochi!J17+'Monkey Bay'!J17+Namwera!J17+Nkhudzi!J17</f>
        <v>0</v>
      </c>
      <c r="K17" s="25">
        <f>Mangochi!K17+'Monkey Bay'!K17+Namwera!K17+Nkhudzi!K17</f>
        <v>0</v>
      </c>
      <c r="L17" s="25">
        <f>Mangochi!L17+'Monkey Bay'!L17+Namwera!L17+Nkhudzi!L17</f>
        <v>0</v>
      </c>
      <c r="M17" s="25">
        <f>Mangochi!M17+'Monkey Bay'!M17+Namwera!M17+Nkhudzi!M17</f>
        <v>0</v>
      </c>
      <c r="N17" s="25">
        <f>Mangochi!N17+'Monkey Bay'!N17+Namwera!N17+Nkhudzi!N17</f>
        <v>0</v>
      </c>
      <c r="O17" s="25">
        <f>Mangochi!O17+'Monkey Bay'!O17+Namwera!O17+Nkhudzi!O17</f>
        <v>0</v>
      </c>
      <c r="P17" s="54">
        <f>SUM(D17:O17)</f>
        <v>128676.29999999992</v>
      </c>
    </row>
    <row r="18" spans="1:16" s="2" customFormat="1" x14ac:dyDescent="0.3">
      <c r="A18" s="218" t="s">
        <v>183</v>
      </c>
      <c r="B18" s="219"/>
      <c r="C18" s="11" t="s">
        <v>154</v>
      </c>
      <c r="D18" s="25">
        <f>Mangochi!D18+'Monkey Bay'!D18+Namwera!D18+Nkhudzi!D18</f>
        <v>6557.9000000000015</v>
      </c>
      <c r="E18" s="25">
        <f>Mangochi!E18+'Monkey Bay'!E18+Namwera!E18+Nkhudzi!E18</f>
        <v>6254.8</v>
      </c>
      <c r="F18" s="25">
        <f>Mangochi!F18+'Monkey Bay'!F18+Namwera!F18+Nkhudzi!F18</f>
        <v>0</v>
      </c>
      <c r="G18" s="25">
        <f>Mangochi!G18+'Monkey Bay'!G18+Namwera!G18+Nkhudzi!G18</f>
        <v>0</v>
      </c>
      <c r="H18" s="25">
        <f>Mangochi!H18+'Monkey Bay'!H18+Namwera!H18+Nkhudzi!H18</f>
        <v>0</v>
      </c>
      <c r="I18" s="25">
        <f>Mangochi!I18+'Monkey Bay'!I18+Namwera!I18+Nkhudzi!I18</f>
        <v>0</v>
      </c>
      <c r="J18" s="25">
        <f>Mangochi!J18+'Monkey Bay'!J18+Namwera!J18+Nkhudzi!J18</f>
        <v>0</v>
      </c>
      <c r="K18" s="25">
        <f>Mangochi!K18+'Monkey Bay'!K18+Namwera!K18+Nkhudzi!K18</f>
        <v>0</v>
      </c>
      <c r="L18" s="25">
        <f>Mangochi!L18+'Monkey Bay'!L18+Namwera!L18+Nkhudzi!L18</f>
        <v>0</v>
      </c>
      <c r="M18" s="25">
        <f>Mangochi!M18+'Monkey Bay'!M18+Namwera!M18+Nkhudzi!M18</f>
        <v>0</v>
      </c>
      <c r="N18" s="25">
        <f>Mangochi!N18+'Monkey Bay'!N18+Namwera!N18+Nkhudzi!N18</f>
        <v>0</v>
      </c>
      <c r="O18" s="25">
        <f>Mangochi!O18+'Monkey Bay'!O18+Namwera!O18+Nkhudzi!O18</f>
        <v>0</v>
      </c>
      <c r="P18" s="54">
        <f>SUM(D18:O18)</f>
        <v>12812.7</v>
      </c>
    </row>
    <row r="19" spans="1:16" s="2" customFormat="1" x14ac:dyDescent="0.3">
      <c r="A19" s="218" t="s">
        <v>184</v>
      </c>
      <c r="B19" s="219"/>
      <c r="C19" s="11" t="s">
        <v>154</v>
      </c>
      <c r="D19" s="25">
        <f>Mangochi!D19+'Monkey Bay'!D19+Namwera!D19+Nkhudzi!D19</f>
        <v>9056.5999999999985</v>
      </c>
      <c r="E19" s="25">
        <f>Mangochi!E19+'Monkey Bay'!E19+Namwera!E19+Nkhudzi!E19</f>
        <v>8118.300000000002</v>
      </c>
      <c r="F19" s="25">
        <f>Mangochi!F19+'Monkey Bay'!F19+Namwera!F19+Nkhudzi!F19</f>
        <v>0</v>
      </c>
      <c r="G19" s="25">
        <f>Mangochi!G19+'Monkey Bay'!G19+Namwera!G19+Nkhudzi!G19</f>
        <v>0</v>
      </c>
      <c r="H19" s="25">
        <f>Mangochi!H19+'Monkey Bay'!H19+Namwera!H19+Nkhudzi!H19</f>
        <v>0</v>
      </c>
      <c r="I19" s="25">
        <f>Mangochi!I19+'Monkey Bay'!I19+Namwera!I19+Nkhudzi!I19</f>
        <v>0</v>
      </c>
      <c r="J19" s="25">
        <f>Mangochi!J19+'Monkey Bay'!J19+Namwera!J19+Nkhudzi!J19</f>
        <v>0</v>
      </c>
      <c r="K19" s="25">
        <f>Mangochi!K19+'Monkey Bay'!K19+Namwera!K19+Nkhudzi!K19</f>
        <v>0</v>
      </c>
      <c r="L19" s="25">
        <f>Mangochi!L19+'Monkey Bay'!L19+Namwera!L19+Nkhudzi!L19</f>
        <v>0</v>
      </c>
      <c r="M19" s="25">
        <f>Mangochi!M19+'Monkey Bay'!M19+Namwera!M19+Nkhudzi!M19</f>
        <v>0</v>
      </c>
      <c r="N19" s="25">
        <f>Mangochi!N19+'Monkey Bay'!N19+Namwera!N19+Nkhudzi!N19</f>
        <v>0</v>
      </c>
      <c r="O19" s="25">
        <f>Mangochi!O19+'Monkey Bay'!O19+Namwera!O19+Nkhudzi!O19</f>
        <v>0</v>
      </c>
      <c r="P19" s="54">
        <f>SUM(D19:O19)</f>
        <v>17174.900000000001</v>
      </c>
    </row>
    <row r="20" spans="1:16" s="2" customFormat="1" x14ac:dyDescent="0.3">
      <c r="A20" s="212" t="s">
        <v>185</v>
      </c>
      <c r="B20" s="213"/>
      <c r="C20" s="11" t="s">
        <v>154</v>
      </c>
      <c r="D20" s="25">
        <f>Mangochi!D20+'Monkey Bay'!D20+Namwera!D20+Nkhudzi!D20</f>
        <v>3615.3999999999987</v>
      </c>
      <c r="E20" s="25">
        <f>Mangochi!E20+'Monkey Bay'!E20+Namwera!E20+Nkhudzi!E20</f>
        <v>4196.7999999999965</v>
      </c>
      <c r="F20" s="25">
        <f>Mangochi!F20+'Monkey Bay'!F20+Namwera!F20+Nkhudzi!F20</f>
        <v>0</v>
      </c>
      <c r="G20" s="25">
        <f>Mangochi!G20+'Monkey Bay'!G20+Namwera!G20+Nkhudzi!G20</f>
        <v>0</v>
      </c>
      <c r="H20" s="25">
        <f>Mangochi!H20+'Monkey Bay'!H20+Namwera!H20+Nkhudzi!H20</f>
        <v>0</v>
      </c>
      <c r="I20" s="25">
        <f>Mangochi!I20+'Monkey Bay'!I20+Namwera!I20+Nkhudzi!I20</f>
        <v>0</v>
      </c>
      <c r="J20" s="25">
        <f>Mangochi!J20+'Monkey Bay'!J20+Namwera!J20+Nkhudzi!J20</f>
        <v>0</v>
      </c>
      <c r="K20" s="25">
        <f>Mangochi!K20+'Monkey Bay'!K20+Namwera!K20+Nkhudzi!K20</f>
        <v>0</v>
      </c>
      <c r="L20" s="25">
        <f>Mangochi!L20+'Monkey Bay'!L20+Namwera!L20+Nkhudzi!L20</f>
        <v>0</v>
      </c>
      <c r="M20" s="25">
        <f>Mangochi!M20+'Monkey Bay'!M20+Namwera!M20+Nkhudzi!M20</f>
        <v>0</v>
      </c>
      <c r="N20" s="25">
        <f>Mangochi!N20+'Monkey Bay'!N20+Namwera!N20+Nkhudzi!N20</f>
        <v>0</v>
      </c>
      <c r="O20" s="25">
        <f>Mangochi!O20+'Monkey Bay'!O20+Namwera!O20+Nkhudzi!O20</f>
        <v>0</v>
      </c>
      <c r="P20" s="54">
        <f>SUM(D20:O20)</f>
        <v>7812.1999999999953</v>
      </c>
    </row>
    <row r="21" spans="1:16" s="70" customFormat="1" x14ac:dyDescent="0.3">
      <c r="A21" s="214" t="s">
        <v>186</v>
      </c>
      <c r="B21" s="215"/>
      <c r="C21" s="61" t="s">
        <v>154</v>
      </c>
      <c r="D21" s="33">
        <f t="shared" ref="D21:L21" si="5">SUM(D17:D20)</f>
        <v>78455.500000000087</v>
      </c>
      <c r="E21" s="33">
        <f t="shared" si="5"/>
        <v>88020.599999999846</v>
      </c>
      <c r="F21" s="33">
        <f t="shared" si="5"/>
        <v>0</v>
      </c>
      <c r="G21" s="33">
        <f t="shared" si="5"/>
        <v>0</v>
      </c>
      <c r="H21" s="33">
        <f t="shared" si="5"/>
        <v>0</v>
      </c>
      <c r="I21" s="33">
        <f t="shared" si="5"/>
        <v>0</v>
      </c>
      <c r="J21" s="33">
        <f t="shared" si="5"/>
        <v>0</v>
      </c>
      <c r="K21" s="33">
        <f t="shared" si="5"/>
        <v>0</v>
      </c>
      <c r="L21" s="33">
        <f t="shared" si="5"/>
        <v>0</v>
      </c>
      <c r="M21" s="33">
        <f t="shared" ref="M21" si="6">SUM(M17:M20)</f>
        <v>0</v>
      </c>
      <c r="N21" s="33">
        <f t="shared" ref="N21" si="7">SUM(N17:N20)</f>
        <v>0</v>
      </c>
      <c r="O21" s="33">
        <f t="shared" ref="O21" si="8">SUM(O17:O20)</f>
        <v>0</v>
      </c>
      <c r="P21" s="54">
        <f t="shared" ref="P21" si="9">SUM(P17:P20)</f>
        <v>166476.09999999989</v>
      </c>
    </row>
    <row r="22" spans="1:16" s="2" customFormat="1" x14ac:dyDescent="0.3">
      <c r="A22" s="311" t="s">
        <v>187</v>
      </c>
      <c r="B22" s="298"/>
      <c r="C22" s="11" t="s">
        <v>154</v>
      </c>
      <c r="D22" s="33">
        <f t="shared" ref="D22:L22" si="10">D21+D15</f>
        <v>154257.50000000009</v>
      </c>
      <c r="E22" s="33">
        <f t="shared" si="10"/>
        <v>171916.59999999986</v>
      </c>
      <c r="F22" s="33">
        <f t="shared" si="10"/>
        <v>0</v>
      </c>
      <c r="G22" s="33">
        <f t="shared" si="10"/>
        <v>0</v>
      </c>
      <c r="H22" s="33">
        <f t="shared" si="10"/>
        <v>0</v>
      </c>
      <c r="I22" s="33">
        <f t="shared" si="10"/>
        <v>0</v>
      </c>
      <c r="J22" s="33">
        <f t="shared" si="10"/>
        <v>0</v>
      </c>
      <c r="K22" s="33">
        <f t="shared" si="10"/>
        <v>0</v>
      </c>
      <c r="L22" s="33">
        <f t="shared" si="10"/>
        <v>0</v>
      </c>
      <c r="M22" s="33">
        <f t="shared" ref="M22" si="11">M21+M15</f>
        <v>0</v>
      </c>
      <c r="N22" s="33">
        <f t="shared" ref="N22" si="12">N21+N15</f>
        <v>0</v>
      </c>
      <c r="O22" s="33">
        <f t="shared" ref="O22" si="13">O21+O15</f>
        <v>0</v>
      </c>
      <c r="P22" s="54">
        <f t="shared" ref="P22" si="14">P21+P15</f>
        <v>326174.09999999986</v>
      </c>
    </row>
    <row r="23" spans="1:16" ht="14.4" x14ac:dyDescent="0.3">
      <c r="A23" s="313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5"/>
    </row>
    <row r="24" spans="1:16" x14ac:dyDescent="0.3">
      <c r="A24" s="304" t="s">
        <v>181</v>
      </c>
      <c r="B24" s="36" t="s">
        <v>155</v>
      </c>
      <c r="C24" s="5" t="s">
        <v>154</v>
      </c>
      <c r="D24" s="53">
        <f t="shared" ref="D24:L24" si="15">D9-D22</f>
        <v>93402.499999999913</v>
      </c>
      <c r="E24" s="53">
        <f t="shared" si="15"/>
        <v>84018.40000000014</v>
      </c>
      <c r="F24" s="53">
        <f t="shared" si="15"/>
        <v>0</v>
      </c>
      <c r="G24" s="53">
        <f t="shared" si="15"/>
        <v>0</v>
      </c>
      <c r="H24" s="53">
        <f t="shared" si="15"/>
        <v>0</v>
      </c>
      <c r="I24" s="53">
        <f t="shared" si="15"/>
        <v>0</v>
      </c>
      <c r="J24" s="53">
        <f t="shared" si="15"/>
        <v>0</v>
      </c>
      <c r="K24" s="53">
        <f t="shared" si="15"/>
        <v>0</v>
      </c>
      <c r="L24" s="53">
        <f t="shared" si="15"/>
        <v>0</v>
      </c>
      <c r="M24" s="53">
        <f t="shared" ref="M24" si="16">M9-M22</f>
        <v>0</v>
      </c>
      <c r="N24" s="53">
        <f t="shared" ref="N24" si="17">N9-N22</f>
        <v>0</v>
      </c>
      <c r="O24" s="53">
        <f t="shared" ref="O24" si="18">O9-O22</f>
        <v>0</v>
      </c>
      <c r="P24" s="94">
        <f t="shared" ref="P24" si="19">P9-P22</f>
        <v>177420.90000000014</v>
      </c>
    </row>
    <row r="25" spans="1:16" x14ac:dyDescent="0.3">
      <c r="A25" s="306"/>
      <c r="B25" s="52" t="s">
        <v>153</v>
      </c>
      <c r="C25" s="51" t="s">
        <v>6</v>
      </c>
      <c r="D25" s="50">
        <f t="shared" ref="D25:P25" si="20">D24/D9</f>
        <v>0.37714003068723212</v>
      </c>
      <c r="E25" s="50">
        <f t="shared" ref="E25:L25" si="21">E24/E9</f>
        <v>0.32828022740148921</v>
      </c>
      <c r="F25" s="50" t="e">
        <f t="shared" si="21"/>
        <v>#DIV/0!</v>
      </c>
      <c r="G25" s="50" t="e">
        <f t="shared" si="21"/>
        <v>#DIV/0!</v>
      </c>
      <c r="H25" s="50" t="e">
        <f t="shared" si="21"/>
        <v>#DIV/0!</v>
      </c>
      <c r="I25" s="50" t="e">
        <f t="shared" si="21"/>
        <v>#DIV/0!</v>
      </c>
      <c r="J25" s="50" t="e">
        <f t="shared" si="21"/>
        <v>#DIV/0!</v>
      </c>
      <c r="K25" s="50" t="e">
        <f t="shared" si="21"/>
        <v>#DIV/0!</v>
      </c>
      <c r="L25" s="50" t="e">
        <f t="shared" si="21"/>
        <v>#DIV/0!</v>
      </c>
      <c r="M25" s="50" t="e">
        <f t="shared" ref="M25" si="22">M24/M9</f>
        <v>#DIV/0!</v>
      </c>
      <c r="N25" s="50" t="e">
        <f t="shared" ref="N25" si="23">N24/N9</f>
        <v>#DIV/0!</v>
      </c>
      <c r="O25" s="50" t="e">
        <f t="shared" ref="O25" si="24">O24/O9</f>
        <v>#DIV/0!</v>
      </c>
      <c r="P25" s="143">
        <f t="shared" si="20"/>
        <v>0.3523087004438093</v>
      </c>
    </row>
    <row r="26" spans="1:16" ht="14.4" x14ac:dyDescent="0.3">
      <c r="A26" s="257" t="s">
        <v>152</v>
      </c>
      <c r="B26" s="258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9"/>
    </row>
    <row r="27" spans="1:16" ht="14.4" x14ac:dyDescent="0.3">
      <c r="A27" s="301" t="s">
        <v>151</v>
      </c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3"/>
    </row>
    <row r="28" spans="1:1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7"/>
      <c r="N28" s="47"/>
      <c r="O28" s="46"/>
      <c r="P28" s="45"/>
    </row>
    <row r="29" spans="1:16" x14ac:dyDescent="0.3">
      <c r="A29" s="226" t="s">
        <v>148</v>
      </c>
      <c r="B29" s="533">
        <v>23929.1</v>
      </c>
      <c r="C29" s="5" t="s">
        <v>142</v>
      </c>
      <c r="D29" s="33">
        <f>Mangochi!D29+'Monkey Bay'!D29+Namwera!D29+Nkhudzi!D29</f>
        <v>694.5</v>
      </c>
      <c r="E29" s="33">
        <f>Mangochi!E29+'Monkey Bay'!E29+Namwera!E29+Nkhudzi!E29</f>
        <v>718.5</v>
      </c>
      <c r="F29" s="33">
        <f>Mangochi!F29+'Monkey Bay'!F29+Namwera!F29+Nkhudzi!F29</f>
        <v>0</v>
      </c>
      <c r="G29" s="33">
        <f>Mangochi!G29+'Monkey Bay'!G29+Namwera!G29+Nkhudzi!G29</f>
        <v>0</v>
      </c>
      <c r="H29" s="33">
        <f>Mangochi!H29+'Monkey Bay'!H29+Namwera!H29+Nkhudzi!H29</f>
        <v>0</v>
      </c>
      <c r="I29" s="33">
        <f>Mangochi!I29+'Monkey Bay'!I29+Namwera!I29+Nkhudzi!I29</f>
        <v>0</v>
      </c>
      <c r="J29" s="33">
        <f>Mangochi!J29+'Monkey Bay'!J29+Namwera!J29+Nkhudzi!J29</f>
        <v>0</v>
      </c>
      <c r="K29" s="33">
        <f>Mangochi!K29+'Monkey Bay'!K29+Namwera!K29+Nkhudzi!K29</f>
        <v>0</v>
      </c>
      <c r="L29" s="33">
        <f>Mangochi!L29+'Monkey Bay'!L29+Namwera!L29+Nkhudzi!L29</f>
        <v>0</v>
      </c>
      <c r="M29" s="33">
        <f>Mangochi!M29+'Monkey Bay'!M29+Namwera!M29+Nkhudzi!M29</f>
        <v>0</v>
      </c>
      <c r="N29" s="33">
        <f>Mangochi!N29+'Monkey Bay'!N29+Namwera!N29+Nkhudzi!N29</f>
        <v>0</v>
      </c>
      <c r="O29" s="33">
        <f>Mangochi!O29+'Monkey Bay'!O29+Namwera!O29+Nkhudzi!O29</f>
        <v>0</v>
      </c>
      <c r="P29" s="44">
        <f>SUM(D29:O29)</f>
        <v>1413</v>
      </c>
    </row>
    <row r="30" spans="1:16" x14ac:dyDescent="0.3">
      <c r="A30" s="227"/>
      <c r="B30" s="534"/>
      <c r="C30" s="41" t="s">
        <v>141</v>
      </c>
      <c r="D30" s="15">
        <f>Mangochi!D30+'Monkey Bay'!D30+Namwera!D30+Nkhudzi!D30</f>
        <v>8.6115359386862274</v>
      </c>
      <c r="E30" s="15">
        <f>Mangochi!E30+'Monkey Bay'!E30+Namwera!E30+Nkhudzi!E30</f>
        <v>8.0512323460169881</v>
      </c>
      <c r="F30" s="15" t="e">
        <f>Mangochi!F30+'Monkey Bay'!F30+Namwera!F30+Nkhudzi!F30</f>
        <v>#DIV/0!</v>
      </c>
      <c r="G30" s="15" t="e">
        <f>Mangochi!G30+'Monkey Bay'!G30+Namwera!G30+Nkhudzi!G30</f>
        <v>#DIV/0!</v>
      </c>
      <c r="H30" s="15" t="e">
        <f>Mangochi!H30+'Monkey Bay'!H30+Namwera!H30+Nkhudzi!H30</f>
        <v>#DIV/0!</v>
      </c>
      <c r="I30" s="15" t="e">
        <f>Mangochi!I30+'Monkey Bay'!I30+Namwera!I30+Nkhudzi!I30</f>
        <v>#DIV/0!</v>
      </c>
      <c r="J30" s="15" t="e">
        <f>Mangochi!J30+'Monkey Bay'!J30+Namwera!J30+Nkhudzi!J30</f>
        <v>#DIV/0!</v>
      </c>
      <c r="K30" s="15" t="e">
        <f>Mangochi!K30+'Monkey Bay'!K30+Namwera!K30+Nkhudzi!K30</f>
        <v>#DIV/0!</v>
      </c>
      <c r="L30" s="15" t="e">
        <f>Mangochi!L30+'Monkey Bay'!L30+Namwera!L30+Nkhudzi!L30</f>
        <v>#DIV/0!</v>
      </c>
      <c r="M30" s="15" t="e">
        <f>Mangochi!M30+'Monkey Bay'!M30+Namwera!M30+Nkhudzi!M30</f>
        <v>#DIV/0!</v>
      </c>
      <c r="N30" s="15" t="e">
        <f>Mangochi!N30+'Monkey Bay'!N30+Namwera!N30+Nkhudzi!N30</f>
        <v>#DIV/0!</v>
      </c>
      <c r="O30" s="15" t="e">
        <f>Mangochi!O30+'Monkey Bay'!O30+Namwera!O30+Nkhudzi!O30</f>
        <v>#DIV/0!</v>
      </c>
      <c r="P30" s="97">
        <f t="shared" ref="P30" si="25">P29/(P9/1000)</f>
        <v>2.8058261102671787</v>
      </c>
    </row>
    <row r="31" spans="1:16" x14ac:dyDescent="0.3">
      <c r="A31" s="222" t="s">
        <v>147</v>
      </c>
      <c r="B31" s="535">
        <v>1090.4000000000001</v>
      </c>
      <c r="C31" s="5" t="s">
        <v>142</v>
      </c>
      <c r="D31" s="33">
        <f>Mangochi!D31+'Monkey Bay'!D31+Namwera!D31+Nkhudzi!D31</f>
        <v>0</v>
      </c>
      <c r="E31" s="33">
        <f>Mangochi!E31+'Monkey Bay'!E31+Namwera!E31+Nkhudzi!E31</f>
        <v>0</v>
      </c>
      <c r="F31" s="33">
        <f>Mangochi!F31+'Monkey Bay'!F31+Namwera!F31+Nkhudzi!F31</f>
        <v>0</v>
      </c>
      <c r="G31" s="33">
        <f>Mangochi!G31+'Monkey Bay'!G31+Namwera!G31+Nkhudzi!G31</f>
        <v>0</v>
      </c>
      <c r="H31" s="33">
        <f>Mangochi!H31+'Monkey Bay'!H31+Namwera!H31+Nkhudzi!H31</f>
        <v>0</v>
      </c>
      <c r="I31" s="33">
        <f>Mangochi!I31+'Monkey Bay'!I31+Namwera!I31+Nkhudzi!I31</f>
        <v>0</v>
      </c>
      <c r="J31" s="33">
        <f>Mangochi!J31+'Monkey Bay'!J31+Namwera!J31+Nkhudzi!J31</f>
        <v>0</v>
      </c>
      <c r="K31" s="33">
        <f>Mangochi!K31+'Monkey Bay'!K31+Namwera!K31+Nkhudzi!K31</f>
        <v>0</v>
      </c>
      <c r="L31" s="33">
        <f>Mangochi!L31+'Monkey Bay'!L31+Namwera!L31+Nkhudzi!L31</f>
        <v>0</v>
      </c>
      <c r="M31" s="33">
        <f>Mangochi!M31+'Monkey Bay'!M31+Namwera!M31</f>
        <v>0</v>
      </c>
      <c r="N31" s="33">
        <f>Mangochi!N31+'Monkey Bay'!N31+Namwera!N31</f>
        <v>0</v>
      </c>
      <c r="O31" s="33">
        <f>Mangochi!O31+'Monkey Bay'!O31+Namwera!O31</f>
        <v>0</v>
      </c>
      <c r="P31" s="44">
        <f>SUM(D31:O31)</f>
        <v>0</v>
      </c>
    </row>
    <row r="32" spans="1:16" x14ac:dyDescent="0.3">
      <c r="A32" s="223"/>
      <c r="B32" s="535"/>
      <c r="C32" s="41" t="s">
        <v>141</v>
      </c>
      <c r="D32" s="15">
        <f>Mangochi!D32+'Monkey Bay'!D32+Namwera!D32+Nkhudzi!D32</f>
        <v>0</v>
      </c>
      <c r="E32" s="15">
        <f>Mangochi!E32+'Monkey Bay'!E32+Namwera!E32+Nkhudzi!E32</f>
        <v>0</v>
      </c>
      <c r="F32" s="15" t="e">
        <f>Mangochi!F32+'Monkey Bay'!F32+Namwera!F32+Nkhudzi!F32</f>
        <v>#DIV/0!</v>
      </c>
      <c r="G32" s="15" t="e">
        <f>Mangochi!G32+'Monkey Bay'!G32+Namwera!G32+Nkhudzi!G32</f>
        <v>#DIV/0!</v>
      </c>
      <c r="H32" s="15" t="e">
        <f>Mangochi!H32+'Monkey Bay'!H32+Namwera!H32+Nkhudzi!H32</f>
        <v>#DIV/0!</v>
      </c>
      <c r="I32" s="15" t="e">
        <f>Mangochi!I32+'Monkey Bay'!I32+Namwera!I32+Nkhudzi!I32</f>
        <v>#DIV/0!</v>
      </c>
      <c r="J32" s="15" t="e">
        <f>Mangochi!J32+'Monkey Bay'!J32+Namwera!J32+Nkhudzi!J32</f>
        <v>#DIV/0!</v>
      </c>
      <c r="K32" s="15" t="e">
        <f>Mangochi!K32+'Monkey Bay'!K32+Namwera!K32+Nkhudzi!K32</f>
        <v>#DIV/0!</v>
      </c>
      <c r="L32" s="15" t="e">
        <f>Mangochi!L32+'Monkey Bay'!L32+Namwera!L32+Nkhudzi!L32</f>
        <v>#DIV/0!</v>
      </c>
      <c r="M32" s="15" t="e">
        <f>Mangochi!M32+'Monkey Bay'!M32+Namwera!M32</f>
        <v>#DIV/0!</v>
      </c>
      <c r="N32" s="15" t="e">
        <f>Mangochi!N32+'Monkey Bay'!N32+Namwera!N32</f>
        <v>#DIV/0!</v>
      </c>
      <c r="O32" s="15" t="e">
        <f>Mangochi!O32+'Monkey Bay'!O32+Namwera!O32</f>
        <v>#DIV/0!</v>
      </c>
      <c r="P32" s="97">
        <f t="shared" ref="P32" si="26">P31/(P9/1000)</f>
        <v>0</v>
      </c>
    </row>
    <row r="33" spans="1:16" x14ac:dyDescent="0.3">
      <c r="A33" s="222" t="s">
        <v>146</v>
      </c>
      <c r="B33" s="531">
        <v>1228.2886000000001</v>
      </c>
      <c r="C33" s="5" t="s">
        <v>142</v>
      </c>
      <c r="D33" s="33">
        <f>Mangochi!D33+'Monkey Bay'!D33+Namwera!D33+Nkhudzi!D33</f>
        <v>0</v>
      </c>
      <c r="E33" s="33">
        <f>Mangochi!E33+'Monkey Bay'!E33+Namwera!E33+Nkhudzi!E33</f>
        <v>0</v>
      </c>
      <c r="F33" s="33">
        <f>Mangochi!F33+'Monkey Bay'!F33+Namwera!F33+Nkhudzi!F33</f>
        <v>0</v>
      </c>
      <c r="G33" s="33">
        <f>Mangochi!G33+'Monkey Bay'!G33+Namwera!G33+Nkhudzi!G33</f>
        <v>0</v>
      </c>
      <c r="H33" s="33">
        <f>Mangochi!H33+'Monkey Bay'!H33+Namwera!H33+Nkhudzi!H33</f>
        <v>0</v>
      </c>
      <c r="I33" s="33">
        <f>Mangochi!I33+'Monkey Bay'!I33+Namwera!I33+Nkhudzi!I33</f>
        <v>0</v>
      </c>
      <c r="J33" s="33">
        <f>Mangochi!J33+'Monkey Bay'!J33+Namwera!J33+Nkhudzi!J33</f>
        <v>0</v>
      </c>
      <c r="K33" s="33">
        <f>Mangochi!K33+'Monkey Bay'!K33+Namwera!K33+Nkhudzi!K33</f>
        <v>0</v>
      </c>
      <c r="L33" s="33">
        <f>Mangochi!L33+'Monkey Bay'!L33+Namwera!L33+Nkhudzi!L33</f>
        <v>0</v>
      </c>
      <c r="M33" s="33">
        <f>Mangochi!M33+'Monkey Bay'!M33+Namwera!M33</f>
        <v>0</v>
      </c>
      <c r="N33" s="33">
        <f>Mangochi!N33+'Monkey Bay'!N33+Namwera!N33</f>
        <v>0</v>
      </c>
      <c r="O33" s="33">
        <f>Mangochi!O33+'Monkey Bay'!O33+Namwera!O33</f>
        <v>0</v>
      </c>
      <c r="P33" s="44">
        <f>SUM(D33:O33)</f>
        <v>0</v>
      </c>
    </row>
    <row r="34" spans="1:16" x14ac:dyDescent="0.3">
      <c r="A34" s="223"/>
      <c r="B34" s="534"/>
      <c r="C34" s="41" t="s">
        <v>141</v>
      </c>
      <c r="D34" s="15">
        <f>Mangochi!D34+'Monkey Bay'!D34+Namwera!D34+Nkhudzi!D34</f>
        <v>0</v>
      </c>
      <c r="E34" s="15">
        <f>Mangochi!E34+'Monkey Bay'!E34+Namwera!E34+Nkhudzi!E34</f>
        <v>0</v>
      </c>
      <c r="F34" s="15" t="e">
        <f>Mangochi!F34+'Monkey Bay'!F34+Namwera!F34+Nkhudzi!F34</f>
        <v>#DIV/0!</v>
      </c>
      <c r="G34" s="15" t="e">
        <f>Mangochi!G34+'Monkey Bay'!G34+Namwera!G34+Nkhudzi!G34</f>
        <v>#DIV/0!</v>
      </c>
      <c r="H34" s="15" t="e">
        <f>Mangochi!H34+'Monkey Bay'!H34+Namwera!H34+Nkhudzi!H34</f>
        <v>#DIV/0!</v>
      </c>
      <c r="I34" s="15" t="e">
        <f>Mangochi!I34+'Monkey Bay'!I34+Namwera!I34+Nkhudzi!I34</f>
        <v>#DIV/0!</v>
      </c>
      <c r="J34" s="15" t="e">
        <f>Mangochi!J34+'Monkey Bay'!J34+Namwera!J34+Nkhudzi!J34</f>
        <v>#DIV/0!</v>
      </c>
      <c r="K34" s="15" t="e">
        <f>Mangochi!K34+'Monkey Bay'!K34+Namwera!K34+Nkhudzi!K34</f>
        <v>#DIV/0!</v>
      </c>
      <c r="L34" s="15" t="e">
        <f>Mangochi!L34+'Monkey Bay'!L34+Namwera!L34+Nkhudzi!L34</f>
        <v>#DIV/0!</v>
      </c>
      <c r="M34" s="15" t="e">
        <f>Mangochi!M34+'Monkey Bay'!M34+Namwera!M34</f>
        <v>#DIV/0!</v>
      </c>
      <c r="N34" s="15" t="e">
        <f>Mangochi!N34+'Monkey Bay'!N34+Namwera!N34</f>
        <v>#DIV/0!</v>
      </c>
      <c r="O34" s="15" t="e">
        <f>Mangochi!O34+'Monkey Bay'!O34+Namwera!O34</f>
        <v>#DIV/0!</v>
      </c>
      <c r="P34" s="97">
        <f t="shared" ref="P34" si="27">P33/(P9/1000)</f>
        <v>0</v>
      </c>
    </row>
    <row r="35" spans="1:16" x14ac:dyDescent="0.3">
      <c r="A35" s="222" t="s">
        <v>145</v>
      </c>
      <c r="B35" s="531">
        <v>3726.7258000000002</v>
      </c>
      <c r="C35" s="5" t="s">
        <v>128</v>
      </c>
      <c r="D35" s="33">
        <f>Mangochi!D35+'Monkey Bay'!D35+Namwera!D35+Nkhudzi!D35</f>
        <v>0</v>
      </c>
      <c r="E35" s="33">
        <f>Mangochi!E35+'Monkey Bay'!E35+Namwera!E35+Nkhudzi!E35</f>
        <v>0</v>
      </c>
      <c r="F35" s="33">
        <f>Mangochi!F35+'Monkey Bay'!F35+Namwera!F35+Nkhudzi!F35</f>
        <v>0</v>
      </c>
      <c r="G35" s="33">
        <f>Mangochi!G35+'Monkey Bay'!G35+Namwera!G35+Nkhudzi!G35</f>
        <v>0</v>
      </c>
      <c r="H35" s="33">
        <f>Mangochi!H35+'Monkey Bay'!H35+Namwera!H35+Nkhudzi!H35</f>
        <v>0</v>
      </c>
      <c r="I35" s="33">
        <f>Mangochi!I35+'Monkey Bay'!I35+Namwera!I35+Nkhudzi!I35</f>
        <v>0</v>
      </c>
      <c r="J35" s="33">
        <f>Mangochi!J35+'Monkey Bay'!J35+Namwera!J35+Nkhudzi!J35</f>
        <v>0</v>
      </c>
      <c r="K35" s="33">
        <f>Mangochi!K35+'Monkey Bay'!K35+Namwera!K35+Nkhudzi!K35</f>
        <v>0</v>
      </c>
      <c r="L35" s="33">
        <f>Mangochi!L35+'Monkey Bay'!L35+Namwera!L35+Nkhudzi!L35</f>
        <v>0</v>
      </c>
      <c r="M35" s="33">
        <f>Mangochi!M35+'Monkey Bay'!M35+Namwera!M35</f>
        <v>0</v>
      </c>
      <c r="N35" s="33">
        <f>Mangochi!N35+'Monkey Bay'!N35+Namwera!N35</f>
        <v>0</v>
      </c>
      <c r="O35" s="33">
        <f>Mangochi!O35+'Monkey Bay'!O35+Namwera!O35</f>
        <v>0</v>
      </c>
      <c r="P35" s="97"/>
    </row>
    <row r="36" spans="1:16" x14ac:dyDescent="0.3">
      <c r="A36" s="223"/>
      <c r="B36" s="534"/>
      <c r="C36" s="5" t="s">
        <v>144</v>
      </c>
      <c r="D36" s="13">
        <f>Mangochi!D36+'Monkey Bay'!D36+Namwera!D36+Nkhudzi!D36</f>
        <v>0</v>
      </c>
      <c r="E36" s="13">
        <f>Mangochi!E36+'Monkey Bay'!E36+Namwera!E36+Nkhudzi!E36</f>
        <v>0</v>
      </c>
      <c r="F36" s="13">
        <f>Mangochi!F36+'Monkey Bay'!F36+Namwera!F36+Nkhudzi!F36</f>
        <v>0</v>
      </c>
      <c r="G36" s="13">
        <f>Mangochi!G36+'Monkey Bay'!G36+Namwera!G36+Nkhudzi!G36</f>
        <v>0</v>
      </c>
      <c r="H36" s="13">
        <f>Mangochi!H36+'Monkey Bay'!H36+Namwera!H36+Nkhudzi!H36</f>
        <v>0</v>
      </c>
      <c r="I36" s="13">
        <f>Mangochi!I36+'Monkey Bay'!I36+Namwera!I36+Nkhudzi!I36</f>
        <v>0</v>
      </c>
      <c r="J36" s="13">
        <f>Mangochi!J36+'Monkey Bay'!J36+Namwera!J36+Nkhudzi!J36</f>
        <v>0</v>
      </c>
      <c r="K36" s="13">
        <f>Mangochi!K36+'Monkey Bay'!K36+Namwera!K36+Nkhudzi!K36</f>
        <v>0</v>
      </c>
      <c r="L36" s="13">
        <f>Mangochi!L36+'Monkey Bay'!L36+Namwera!L36+Nkhudzi!L36</f>
        <v>0</v>
      </c>
      <c r="M36" s="13"/>
      <c r="N36" s="13"/>
      <c r="O36" s="13"/>
      <c r="P36" s="97"/>
    </row>
    <row r="37" spans="1:16" x14ac:dyDescent="0.3">
      <c r="A37" s="222" t="s">
        <v>188</v>
      </c>
      <c r="B37" s="531">
        <v>3951.5935999999997</v>
      </c>
      <c r="C37" s="5" t="s">
        <v>128</v>
      </c>
      <c r="D37" s="33">
        <f>Mangochi!D37+'Monkey Bay'!D37+Namwera!D37+Nkhudzi!D37</f>
        <v>0</v>
      </c>
      <c r="E37" s="33">
        <f>Mangochi!E37+'Monkey Bay'!E37+Namwera!E37+Nkhudzi!E37</f>
        <v>0</v>
      </c>
      <c r="F37" s="33">
        <f>Mangochi!F37+'Monkey Bay'!F37+Namwera!F37+Nkhudzi!F37</f>
        <v>0</v>
      </c>
      <c r="G37" s="33">
        <f>Mangochi!G37+'Monkey Bay'!G37+Namwera!G37+Nkhudzi!G37</f>
        <v>0</v>
      </c>
      <c r="H37" s="33">
        <f>Mangochi!H37+'Monkey Bay'!H37+Namwera!H37+Nkhudzi!H37</f>
        <v>0</v>
      </c>
      <c r="I37" s="33">
        <f>Mangochi!I37+'Monkey Bay'!I37+Namwera!I37+Nkhudzi!I37</f>
        <v>0</v>
      </c>
      <c r="J37" s="33">
        <f>Mangochi!J37+'Monkey Bay'!J37+Namwera!J37+Nkhudzi!J37</f>
        <v>0</v>
      </c>
      <c r="K37" s="33">
        <f>Mangochi!K37+'Monkey Bay'!K37+Namwera!K37+Nkhudzi!K37</f>
        <v>0</v>
      </c>
      <c r="L37" s="33">
        <f>Mangochi!L37+'Monkey Bay'!L37+Namwera!L37+Nkhudzi!L37</f>
        <v>0</v>
      </c>
      <c r="M37" s="33">
        <f>Mangochi!M37+'Monkey Bay'!M37+Namwera!M37</f>
        <v>0</v>
      </c>
      <c r="N37" s="33">
        <f>Mangochi!N37+'Monkey Bay'!N37+Namwera!N37</f>
        <v>0</v>
      </c>
      <c r="O37" s="33">
        <f>Mangochi!O37+'Monkey Bay'!O37+Namwera!O37</f>
        <v>0</v>
      </c>
      <c r="P37" s="44">
        <f>SUM(D37:O37)</f>
        <v>0</v>
      </c>
    </row>
    <row r="38" spans="1:16" x14ac:dyDescent="0.3">
      <c r="A38" s="223"/>
      <c r="B38" s="534"/>
      <c r="C38" s="5" t="s">
        <v>144</v>
      </c>
      <c r="D38" s="15">
        <f>Mangochi!D38+'Monkey Bay'!D38+Namwera!D38+Nkhudzi!D38</f>
        <v>0</v>
      </c>
      <c r="E38" s="15">
        <f>Mangochi!E38+'Monkey Bay'!E38+Namwera!E38+Nkhudzi!E38</f>
        <v>0</v>
      </c>
      <c r="F38" s="15" t="e">
        <f>Mangochi!F38+'Monkey Bay'!F38+Namwera!F38+Nkhudzi!F38</f>
        <v>#DIV/0!</v>
      </c>
      <c r="G38" s="15" t="e">
        <f>Mangochi!G38+'Monkey Bay'!G38+Namwera!G38+Nkhudzi!G38</f>
        <v>#DIV/0!</v>
      </c>
      <c r="H38" s="15" t="e">
        <f>Mangochi!H38+'Monkey Bay'!H38+Namwera!H38+Nkhudzi!H38</f>
        <v>#DIV/0!</v>
      </c>
      <c r="I38" s="15" t="e">
        <f>Mangochi!I38+'Monkey Bay'!I38+Namwera!I38+Nkhudzi!I38</f>
        <v>#DIV/0!</v>
      </c>
      <c r="J38" s="15" t="e">
        <f>Mangochi!J38+'Monkey Bay'!J38+Namwera!J38+Nkhudzi!J38</f>
        <v>#DIV/0!</v>
      </c>
      <c r="K38" s="15" t="e">
        <f>Mangochi!K38+'Monkey Bay'!K38+Namwera!K38+Nkhudzi!K38</f>
        <v>#DIV/0!</v>
      </c>
      <c r="L38" s="15" t="e">
        <f>Mangochi!L38+'Monkey Bay'!L38+Namwera!L38+Nkhudzi!L38</f>
        <v>#DIV/0!</v>
      </c>
      <c r="M38" s="15" t="e">
        <f>Mangochi!M38+'Monkey Bay'!M38+Namwera!M38</f>
        <v>#DIV/0!</v>
      </c>
      <c r="N38" s="15" t="e">
        <f>Mangochi!N38+'Monkey Bay'!N38+Namwera!N38</f>
        <v>#DIV/0!</v>
      </c>
      <c r="O38" s="15" t="e">
        <f>Mangochi!O38+'Monkey Bay'!O38+Namwera!O38</f>
        <v>#DIV/0!</v>
      </c>
      <c r="P38" s="97">
        <f t="shared" ref="P38" si="28">P37/(P9/1000)</f>
        <v>0</v>
      </c>
    </row>
    <row r="39" spans="1:16" x14ac:dyDescent="0.3">
      <c r="A39" s="222" t="s">
        <v>143</v>
      </c>
      <c r="B39" s="531">
        <v>1950</v>
      </c>
      <c r="C39" s="5" t="s">
        <v>142</v>
      </c>
      <c r="D39" s="33">
        <f>Mangochi!D39+'Monkey Bay'!D39+Namwera!D39+Nkhudzi!D39</f>
        <v>0</v>
      </c>
      <c r="E39" s="33">
        <f>Mangochi!E39+'Monkey Bay'!E39+Namwera!E39+Nkhudzi!E39</f>
        <v>0</v>
      </c>
      <c r="F39" s="33">
        <f>Mangochi!F39+'Monkey Bay'!F39+Namwera!F39+Nkhudzi!F39</f>
        <v>0</v>
      </c>
      <c r="G39" s="33">
        <f>Mangochi!G39+'Monkey Bay'!G39+Namwera!G39+Nkhudzi!G39</f>
        <v>0</v>
      </c>
      <c r="H39" s="33">
        <f>Mangochi!H39+'Monkey Bay'!H39+Namwera!H39+Nkhudzi!H39</f>
        <v>0</v>
      </c>
      <c r="I39" s="33">
        <f>Mangochi!I39+'Monkey Bay'!I39+Namwera!I39+Nkhudzi!I39</f>
        <v>0</v>
      </c>
      <c r="J39" s="33">
        <f>Mangochi!J39+'Monkey Bay'!J39+Namwera!J39+Nkhudzi!J39</f>
        <v>0</v>
      </c>
      <c r="K39" s="33">
        <f>Mangochi!K39+'Monkey Bay'!K39+Namwera!K39+Nkhudzi!K39</f>
        <v>0</v>
      </c>
      <c r="L39" s="33">
        <f>Mangochi!L39+'Monkey Bay'!L39+Namwera!L39+Nkhudzi!L39</f>
        <v>0</v>
      </c>
      <c r="M39" s="33">
        <f>Mangochi!M39+'Monkey Bay'!M39+Namwera!M39</f>
        <v>0</v>
      </c>
      <c r="N39" s="33">
        <f>Mangochi!N39+'Monkey Bay'!N39+Namwera!N39</f>
        <v>0</v>
      </c>
      <c r="O39" s="33">
        <f>Mangochi!O39+'Monkey Bay'!O39+Namwera!O39</f>
        <v>0</v>
      </c>
      <c r="P39" s="44">
        <f>SUM(D39:O39)</f>
        <v>0</v>
      </c>
    </row>
    <row r="40" spans="1:16" ht="16.2" thickBot="1" x14ac:dyDescent="0.35">
      <c r="A40" s="223"/>
      <c r="B40" s="532"/>
      <c r="C40" s="41" t="s">
        <v>141</v>
      </c>
      <c r="D40" s="15">
        <f>Mangochi!D40+'Monkey Bay'!D40+Namwera!D40+Nkhudzi!D40</f>
        <v>0</v>
      </c>
      <c r="E40" s="15">
        <f>Mangochi!E40+'Monkey Bay'!E40+Namwera!E40+Nkhudzi!E40</f>
        <v>0</v>
      </c>
      <c r="F40" s="15" t="e">
        <f>Mangochi!F40+'Monkey Bay'!F40+Namwera!F40+Nkhudzi!F40</f>
        <v>#DIV/0!</v>
      </c>
      <c r="G40" s="15" t="e">
        <f>Mangochi!G40+'Monkey Bay'!G40+Namwera!G40+Nkhudzi!G40</f>
        <v>#DIV/0!</v>
      </c>
      <c r="H40" s="15" t="e">
        <f>Mangochi!H40+'Monkey Bay'!H40+Namwera!H40+Nkhudzi!H40</f>
        <v>#DIV/0!</v>
      </c>
      <c r="I40" s="15" t="e">
        <f>Mangochi!I40+'Monkey Bay'!I40+Namwera!I40+Nkhudzi!I40</f>
        <v>#DIV/0!</v>
      </c>
      <c r="J40" s="15" t="e">
        <f>Mangochi!J40+'Monkey Bay'!J40+Namwera!J40+Nkhudzi!J40</f>
        <v>#DIV/0!</v>
      </c>
      <c r="K40" s="15" t="e">
        <f>Mangochi!K40+'Monkey Bay'!K40+Namwera!K40+Nkhudzi!K40</f>
        <v>#DIV/0!</v>
      </c>
      <c r="L40" s="15" t="e">
        <f>Mangochi!L40+'Monkey Bay'!L40+Namwera!L40+Nkhudzi!L40</f>
        <v>#DIV/0!</v>
      </c>
      <c r="M40" s="15" t="e">
        <f>Mangochi!M40+'Monkey Bay'!M40+Namwera!M40</f>
        <v>#DIV/0!</v>
      </c>
      <c r="N40" s="15" t="e">
        <f>Mangochi!N40+'Monkey Bay'!N40+Namwera!N40</f>
        <v>#DIV/0!</v>
      </c>
      <c r="O40" s="15" t="e">
        <f>Mangochi!O40+'Monkey Bay'!O40+Namwera!O40</f>
        <v>#DIV/0!</v>
      </c>
      <c r="P40" s="97">
        <f t="shared" ref="P40" si="29">P39/(P9/1000)</f>
        <v>0</v>
      </c>
    </row>
    <row r="41" spans="1:16" x14ac:dyDescent="0.3">
      <c r="A41" s="212" t="s">
        <v>140</v>
      </c>
      <c r="B41" s="213"/>
      <c r="C41" s="11" t="s">
        <v>31</v>
      </c>
      <c r="D41" s="40">
        <f>Mangochi!D41+'Monkey Bay'!D41+Namwera!D41+Nkhudzi!D41</f>
        <v>16618759.949999997</v>
      </c>
      <c r="E41" s="40">
        <f>Mangochi!E41+'Monkey Bay'!E41+Namwera!E41+Nkhudzi!E41</f>
        <v>17193058.350000001</v>
      </c>
      <c r="F41" s="40">
        <f>Mangochi!F41+'Monkey Bay'!F41+Namwera!F41+Nkhudzi!F41</f>
        <v>0</v>
      </c>
      <c r="G41" s="40">
        <f>Mangochi!G41+'Monkey Bay'!G41+Namwera!G41+Nkhudzi!G41</f>
        <v>0</v>
      </c>
      <c r="H41" s="40">
        <f>Mangochi!H41+'Monkey Bay'!H41+Namwera!H41+Nkhudzi!H41</f>
        <v>0</v>
      </c>
      <c r="I41" s="40">
        <f>Mangochi!I41+'Monkey Bay'!I41+Namwera!I41+Nkhudzi!I41</f>
        <v>0</v>
      </c>
      <c r="J41" s="40">
        <f>Mangochi!J41+'Monkey Bay'!J41+Namwera!J41+Nkhudzi!J41</f>
        <v>0</v>
      </c>
      <c r="K41" s="40">
        <f>Mangochi!K41+'Monkey Bay'!K41+Namwera!K41+Nkhudzi!K41</f>
        <v>0</v>
      </c>
      <c r="L41" s="40">
        <f>Mangochi!L41+'Monkey Bay'!L41+Namwera!L41+Nkhudzi!L41</f>
        <v>0</v>
      </c>
      <c r="M41" s="40">
        <f>Mangochi!M41+'Monkey Bay'!M41+Namwera!M41+Nkhudzi!M41</f>
        <v>0</v>
      </c>
      <c r="N41" s="40">
        <f>Mangochi!N41+'Monkey Bay'!N41+Namwera!N41+Nkhudzi!N41</f>
        <v>0</v>
      </c>
      <c r="O41" s="40">
        <f>Mangochi!O41+'Monkey Bay'!O41+Namwera!O41+Nkhudzi!O41</f>
        <v>0</v>
      </c>
      <c r="P41" s="38">
        <f>SUM(D41:O41)</f>
        <v>33811818.299999997</v>
      </c>
    </row>
    <row r="42" spans="1:16" x14ac:dyDescent="0.3">
      <c r="A42" s="233" t="s">
        <v>139</v>
      </c>
      <c r="B42" s="234"/>
      <c r="C42" s="41" t="s">
        <v>117</v>
      </c>
      <c r="D42" s="15">
        <f>Mangochi!D42+'Monkey Bay'!D42+Namwera!D42+Nkhudzi!D42</f>
        <v>206.06630463041657</v>
      </c>
      <c r="E42" s="15">
        <f>Mangochi!E42+'Monkey Bay'!E42+Namwera!E42+Nkhudzi!E42</f>
        <v>192.65874393107509</v>
      </c>
      <c r="F42" s="15" t="e">
        <f>Mangochi!F42+'Monkey Bay'!F42+Namwera!F42+Nkhudzi!F42</f>
        <v>#DIV/0!</v>
      </c>
      <c r="G42" s="15" t="e">
        <f>Mangochi!G42+'Monkey Bay'!G42+Namwera!G42+Nkhudzi!G42</f>
        <v>#DIV/0!</v>
      </c>
      <c r="H42" s="15" t="e">
        <f>Mangochi!H42+'Monkey Bay'!H42+Namwera!H42+Nkhudzi!H42</f>
        <v>#DIV/0!</v>
      </c>
      <c r="I42" s="15" t="e">
        <f>Mangochi!I42+'Monkey Bay'!I42+Namwera!I42+Nkhudzi!I42</f>
        <v>#DIV/0!</v>
      </c>
      <c r="J42" s="15" t="e">
        <f>Mangochi!J42+'Monkey Bay'!J42+Namwera!J42+Nkhudzi!J42</f>
        <v>#DIV/0!</v>
      </c>
      <c r="K42" s="15" t="e">
        <f>Mangochi!K42+'Monkey Bay'!K42+Namwera!K42+Nkhudzi!K42</f>
        <v>#DIV/0!</v>
      </c>
      <c r="L42" s="15" t="e">
        <f>Mangochi!L42+'Monkey Bay'!L42+Namwera!L42+Nkhudzi!L42</f>
        <v>#DIV/0!</v>
      </c>
      <c r="M42" s="15" t="e">
        <f>Mangochi!M42+'Monkey Bay'!M42+Namwera!M42+Nkhudzi!M42</f>
        <v>#DIV/0!</v>
      </c>
      <c r="N42" s="15" t="e">
        <f>Mangochi!N42+'Monkey Bay'!N42+Namwera!N42+Nkhudzi!N42</f>
        <v>#DIV/0!</v>
      </c>
      <c r="O42" s="15" t="e">
        <f>Mangochi!O42+'Monkey Bay'!O42+Namwera!O42+Nkhudzi!O42</f>
        <v>#DIV/0!</v>
      </c>
      <c r="P42" s="43">
        <f t="shared" ref="P42" si="30">P41/P9</f>
        <v>67.14089357519434</v>
      </c>
    </row>
    <row r="43" spans="1:16" ht="14.4" x14ac:dyDescent="0.3">
      <c r="A43" s="228" t="s">
        <v>138</v>
      </c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30"/>
    </row>
    <row r="44" spans="1:16" x14ac:dyDescent="0.3">
      <c r="A44" s="212" t="s">
        <v>137</v>
      </c>
      <c r="B44" s="213"/>
      <c r="C44" s="11" t="s">
        <v>136</v>
      </c>
      <c r="D44" s="33">
        <f>Mangochi!D44+'Monkey Bay'!D44+Namwera!D44+Nkhudzi!D44</f>
        <v>140786.91</v>
      </c>
      <c r="E44" s="33">
        <f>Mangochi!E44+'Monkey Bay'!E44+Namwera!E44+Nkhudzi!E44</f>
        <v>164909.25</v>
      </c>
      <c r="F44" s="33">
        <f>Mangochi!F44+'Monkey Bay'!F44+Namwera!F44+Nkhudzi!F44</f>
        <v>0</v>
      </c>
      <c r="G44" s="33">
        <f>Mangochi!G44+'Monkey Bay'!G44+Namwera!G44+Nkhudzi!G44</f>
        <v>0</v>
      </c>
      <c r="H44" s="33">
        <f>Mangochi!H44+'Monkey Bay'!H44+Namwera!H44+Nkhudzi!H44</f>
        <v>0</v>
      </c>
      <c r="I44" s="33">
        <f>Mangochi!I44+'Monkey Bay'!I44+Namwera!I44+Nkhudzi!I44</f>
        <v>0</v>
      </c>
      <c r="J44" s="33">
        <f>Mangochi!J44+'Monkey Bay'!J44+Namwera!J44+Nkhudzi!J44</f>
        <v>0</v>
      </c>
      <c r="K44" s="33">
        <f>Mangochi!K44+'Monkey Bay'!K44+Namwera!K44+Nkhudzi!K44</f>
        <v>0</v>
      </c>
      <c r="L44" s="33">
        <f>Mangochi!L44+'Monkey Bay'!L44+Namwera!L44+Nkhudzi!L44</f>
        <v>0</v>
      </c>
      <c r="M44" s="33">
        <f>Mangochi!M44+'Monkey Bay'!M44+Namwera!M44+Nkhudzi!M44</f>
        <v>0</v>
      </c>
      <c r="N44" s="33">
        <f>Mangochi!N44+'Monkey Bay'!N44+Namwera!N44+Nkhudzi!N44</f>
        <v>0</v>
      </c>
      <c r="O44" s="33">
        <f>Mangochi!O44+'Monkey Bay'!O44+Namwera!O44+Nkhudzi!O44</f>
        <v>0</v>
      </c>
      <c r="P44" s="38">
        <f>SUM(D44:O44)</f>
        <v>305696.16000000003</v>
      </c>
    </row>
    <row r="45" spans="1:16" x14ac:dyDescent="0.3">
      <c r="A45" s="233" t="s">
        <v>135</v>
      </c>
      <c r="B45" s="234"/>
      <c r="C45" s="41" t="s">
        <v>134</v>
      </c>
      <c r="D45" s="15">
        <f>Mangochi!D45+'Monkey Bay'!D45+Namwera!D45+Nkhudzi!D45</f>
        <v>3.9696202493039712</v>
      </c>
      <c r="E45" s="15">
        <f>Mangochi!E45+'Monkey Bay'!E45+Namwera!E45+Nkhudzi!E45</f>
        <v>4.3865636223315061</v>
      </c>
      <c r="F45" s="15" t="e">
        <f>Mangochi!F45+'Monkey Bay'!F45+Namwera!F45+Nkhudzi!F45</f>
        <v>#DIV/0!</v>
      </c>
      <c r="G45" s="15" t="e">
        <f>Mangochi!G45+'Monkey Bay'!G45+Namwera!G45+Nkhudzi!G45</f>
        <v>#DIV/0!</v>
      </c>
      <c r="H45" s="15" t="e">
        <f>Mangochi!H45+'Monkey Bay'!H45+Namwera!H45+Nkhudzi!H45</f>
        <v>#DIV/0!</v>
      </c>
      <c r="I45" s="15" t="e">
        <f>Mangochi!I45+'Monkey Bay'!I45+Namwera!I45+Nkhudzi!I45</f>
        <v>#DIV/0!</v>
      </c>
      <c r="J45" s="15" t="e">
        <f>Mangochi!J45+'Monkey Bay'!J45+Namwera!J45+Nkhudzi!J45</f>
        <v>#DIV/0!</v>
      </c>
      <c r="K45" s="15" t="e">
        <f>Mangochi!K45+'Monkey Bay'!K45+Namwera!K45+Nkhudzi!K45</f>
        <v>#DIV/0!</v>
      </c>
      <c r="L45" s="15" t="e">
        <f>Mangochi!L45+'Monkey Bay'!L45+Namwera!L45+Nkhudzi!L45</f>
        <v>#DIV/0!</v>
      </c>
      <c r="M45" s="15" t="e">
        <f>Mangochi!M45+'Monkey Bay'!M45+Namwera!M45+Nkhudzi!M45</f>
        <v>#DIV/0!</v>
      </c>
      <c r="N45" s="15" t="e">
        <f>Mangochi!N45+'Monkey Bay'!N45+Namwera!N45+Nkhudzi!N45</f>
        <v>#DIV/0!</v>
      </c>
      <c r="O45" s="15" t="e">
        <f>Mangochi!O45+'Monkey Bay'!O45+Namwera!O45+Nkhudzi!O45</f>
        <v>#DIV/0!</v>
      </c>
      <c r="P45" s="97">
        <f t="shared" ref="P45" si="31">P44/P9</f>
        <v>0.60702779018854447</v>
      </c>
    </row>
    <row r="46" spans="1:16" x14ac:dyDescent="0.3">
      <c r="A46" s="231" t="s">
        <v>133</v>
      </c>
      <c r="B46" s="232"/>
      <c r="C46" s="5" t="s">
        <v>31</v>
      </c>
      <c r="D46" s="33">
        <f>Mangochi!D46+'Monkey Bay'!D46+Namwera!D46+Nkhudzi!D46</f>
        <v>23613759.646525003</v>
      </c>
      <c r="E46" s="33">
        <f>Mangochi!E46+'Monkey Bay'!E46+Namwera!E46+Nkhudzi!E46</f>
        <v>27646472.141874999</v>
      </c>
      <c r="F46" s="33">
        <f>Mangochi!F46+'Monkey Bay'!F46+Namwera!F46+Nkhudzi!F46</f>
        <v>77356</v>
      </c>
      <c r="G46" s="33">
        <f>Mangochi!G46+'Monkey Bay'!G46+Namwera!G46+Nkhudzi!G46</f>
        <v>77356</v>
      </c>
      <c r="H46" s="33">
        <f>Mangochi!H46+'Monkey Bay'!H46+Namwera!H46+Nkhudzi!H46</f>
        <v>77356</v>
      </c>
      <c r="I46" s="33">
        <f>Mangochi!I46+'Monkey Bay'!I46+Namwera!I46+Nkhudzi!I46</f>
        <v>77356</v>
      </c>
      <c r="J46" s="33">
        <f>Mangochi!J46+'Monkey Bay'!J46+Namwera!J46+Nkhudzi!J46</f>
        <v>77356</v>
      </c>
      <c r="K46" s="33">
        <f>Mangochi!K46+'Monkey Bay'!K46+Namwera!K46+Nkhudzi!K46</f>
        <v>77356</v>
      </c>
      <c r="L46" s="33">
        <f>Mangochi!L46+'Monkey Bay'!L46+Namwera!L46+Nkhudzi!L46</f>
        <v>77356</v>
      </c>
      <c r="M46" s="33">
        <f>Mangochi!M46+'Monkey Bay'!M46+Namwera!M46+Nkhudzi!M46</f>
        <v>77356</v>
      </c>
      <c r="N46" s="33">
        <f>Mangochi!N46+'Monkey Bay'!N46+Namwera!N46+Nkhudzi!N46</f>
        <v>77356</v>
      </c>
      <c r="O46" s="33">
        <f>Mangochi!O46+'Monkey Bay'!O46+Namwera!O46+Nkhudzi!O46</f>
        <v>77356</v>
      </c>
      <c r="P46" s="38">
        <f>SUM(D46:O46)</f>
        <v>52033791.788400002</v>
      </c>
    </row>
    <row r="47" spans="1:16" s="2" customFormat="1" x14ac:dyDescent="0.3">
      <c r="A47" s="212" t="s">
        <v>132</v>
      </c>
      <c r="B47" s="213"/>
      <c r="C47" s="11" t="s">
        <v>117</v>
      </c>
      <c r="D47" s="15">
        <f>Mangochi!D47+'Monkey Bay'!D47+Namwera!D47+Nkhudzi!D47</f>
        <v>670.33416365258506</v>
      </c>
      <c r="E47" s="15">
        <f>Mangochi!E47+'Monkey Bay'!E47+Namwera!E47+Nkhudzi!E47</f>
        <v>738.16045931123301</v>
      </c>
      <c r="F47" s="15" t="e">
        <f>Mangochi!F47+'Monkey Bay'!F47+Namwera!F47+Nkhudzi!F47</f>
        <v>#DIV/0!</v>
      </c>
      <c r="G47" s="15" t="e">
        <f>Mangochi!G47+'Monkey Bay'!G47+Namwera!G47+Nkhudzi!G47</f>
        <v>#DIV/0!</v>
      </c>
      <c r="H47" s="15" t="e">
        <f>Mangochi!H47+'Monkey Bay'!H47+Namwera!H47+Nkhudzi!H47</f>
        <v>#DIV/0!</v>
      </c>
      <c r="I47" s="15" t="e">
        <f>Mangochi!I47+'Monkey Bay'!I47+Namwera!I47+Nkhudzi!I47</f>
        <v>#DIV/0!</v>
      </c>
      <c r="J47" s="15" t="e">
        <f>Mangochi!J47+'Monkey Bay'!J47+Namwera!J47+Nkhudzi!J47</f>
        <v>#DIV/0!</v>
      </c>
      <c r="K47" s="15" t="e">
        <f>Mangochi!K47+'Monkey Bay'!K47+Namwera!K47+Nkhudzi!K47</f>
        <v>#DIV/0!</v>
      </c>
      <c r="L47" s="15" t="e">
        <f>Mangochi!L47+'Monkey Bay'!L47+Namwera!L47+Nkhudzi!L47</f>
        <v>#DIV/0!</v>
      </c>
      <c r="M47" s="15" t="e">
        <f>Mangochi!M47+'Monkey Bay'!M47+Namwera!M47+Nkhudzi!M47</f>
        <v>#DIV/0!</v>
      </c>
      <c r="N47" s="15" t="e">
        <f>Mangochi!N47+'Monkey Bay'!N47+Namwera!N47+Nkhudzi!N47</f>
        <v>#DIV/0!</v>
      </c>
      <c r="O47" s="15" t="e">
        <f>Mangochi!O47+'Monkey Bay'!O47+Namwera!O47+Nkhudzi!O47</f>
        <v>#DIV/0!</v>
      </c>
      <c r="P47" s="97">
        <f t="shared" ref="P47" si="32">P46/P9</f>
        <v>103.32467913382779</v>
      </c>
    </row>
    <row r="48" spans="1:16" ht="14.4" x14ac:dyDescent="0.3">
      <c r="A48" s="228" t="s">
        <v>131</v>
      </c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30"/>
    </row>
    <row r="49" spans="1:16" x14ac:dyDescent="0.3">
      <c r="A49" s="212" t="s">
        <v>130</v>
      </c>
      <c r="B49" s="213"/>
      <c r="C49" s="5" t="s">
        <v>129</v>
      </c>
      <c r="D49" s="33">
        <f>Mangochi!D49+'Monkey Bay'!D49+Namwera!D49+Nkhudzi!D49</f>
        <v>1948</v>
      </c>
      <c r="E49" s="33">
        <f>Mangochi!E49+'Monkey Bay'!E49+Namwera!E49+Nkhudzi!E49</f>
        <v>2481</v>
      </c>
      <c r="F49" s="33">
        <f>Mangochi!F49+'Monkey Bay'!F49+Namwera!F49+Nkhudzi!F49</f>
        <v>0</v>
      </c>
      <c r="G49" s="33">
        <f>Mangochi!G49+'Monkey Bay'!G49+Namwera!G49+Nkhudzi!G49</f>
        <v>0</v>
      </c>
      <c r="H49" s="33">
        <f>Mangochi!H49+'Monkey Bay'!H49+Namwera!H49+Nkhudzi!H49</f>
        <v>0</v>
      </c>
      <c r="I49" s="33">
        <f>Mangochi!I49+'Monkey Bay'!I49+Namwera!I49+Nkhudzi!I49</f>
        <v>0</v>
      </c>
      <c r="J49" s="33">
        <f>Mangochi!J49+'Monkey Bay'!J49+Namwera!J49+Nkhudzi!J49</f>
        <v>0</v>
      </c>
      <c r="K49" s="33">
        <f>Mangochi!K49+'Monkey Bay'!K49+Namwera!K49+Nkhudzi!K49</f>
        <v>0</v>
      </c>
      <c r="L49" s="33">
        <f>Mangochi!L49+'Monkey Bay'!L49+Namwera!L49+Nkhudzi!L49</f>
        <v>0</v>
      </c>
      <c r="M49" s="33">
        <f>Mangochi!M49+'Monkey Bay'!M49+Namwera!M49+Nkhudzi!M49</f>
        <v>0</v>
      </c>
      <c r="N49" s="33">
        <f>Mangochi!N49+'Monkey Bay'!N49+Namwera!N49+Nkhudzi!N49</f>
        <v>0</v>
      </c>
      <c r="O49" s="33">
        <f>Mangochi!O49+'Monkey Bay'!O49+Namwera!O49+Nkhudzi!O49</f>
        <v>0</v>
      </c>
      <c r="P49" s="38">
        <f>SUM(D49:O49)</f>
        <v>4429</v>
      </c>
    </row>
    <row r="50" spans="1:16" x14ac:dyDescent="0.3">
      <c r="A50" s="212" t="s">
        <v>189</v>
      </c>
      <c r="B50" s="213"/>
      <c r="C50" s="5" t="s">
        <v>128</v>
      </c>
      <c r="D50" s="33">
        <f>Mangochi!D50+'Monkey Bay'!D50+Namwera!D50+Nkhudzi!D50</f>
        <v>299.8</v>
      </c>
      <c r="E50" s="33">
        <f>Mangochi!E50+'Monkey Bay'!E50+Namwera!E50+Nkhudzi!E50</f>
        <v>245</v>
      </c>
      <c r="F50" s="33">
        <f>Mangochi!F50+'Monkey Bay'!F50+Namwera!F50+Nkhudzi!F50</f>
        <v>0</v>
      </c>
      <c r="G50" s="33">
        <f>Mangochi!G50+'Monkey Bay'!G50+Namwera!G50+Nkhudzi!G50</f>
        <v>0</v>
      </c>
      <c r="H50" s="33">
        <f>Mangochi!H50+'Monkey Bay'!H50+Namwera!H50+Nkhudzi!H50</f>
        <v>0</v>
      </c>
      <c r="I50" s="33">
        <f>Mangochi!I50+'Monkey Bay'!I50+Namwera!I50+Nkhudzi!I50</f>
        <v>0</v>
      </c>
      <c r="J50" s="33">
        <f>Mangochi!J50+'Monkey Bay'!J50+Namwera!J50+Nkhudzi!J50</f>
        <v>0</v>
      </c>
      <c r="K50" s="33">
        <f>Mangochi!K50+'Monkey Bay'!K50+Namwera!K50+Nkhudzi!K50</f>
        <v>0</v>
      </c>
      <c r="L50" s="33">
        <f>Mangochi!L50+'Monkey Bay'!L50+Namwera!L50+Nkhudzi!L50</f>
        <v>0</v>
      </c>
      <c r="M50" s="33">
        <f>Mangochi!M50+'Monkey Bay'!M50+Namwera!M50+Nkhudzi!M50</f>
        <v>0</v>
      </c>
      <c r="N50" s="33">
        <f>Mangochi!N50+'Monkey Bay'!N50+Namwera!N50+Nkhudzi!N50</f>
        <v>0</v>
      </c>
      <c r="O50" s="33">
        <f>Mangochi!O50+'Monkey Bay'!O50+Namwera!O50+Nkhudzi!O50</f>
        <v>0</v>
      </c>
      <c r="P50" s="38">
        <f>SUM(D50:O50)</f>
        <v>544.79999999999995</v>
      </c>
    </row>
    <row r="51" spans="1:16" x14ac:dyDescent="0.3">
      <c r="A51" s="231" t="s">
        <v>127</v>
      </c>
      <c r="B51" s="232"/>
      <c r="C51" s="5" t="s">
        <v>31</v>
      </c>
      <c r="D51" s="33">
        <f>Mangochi!D51+'Monkey Bay'!D51+Namwera!D51+Nkhudzi!D51</f>
        <v>2004462.6</v>
      </c>
      <c r="E51" s="33">
        <f>Mangochi!E51+'Monkey Bay'!E51+Namwera!E51+Nkhudzi!E51</f>
        <v>1626365</v>
      </c>
      <c r="F51" s="33">
        <f>Mangochi!F51+'Monkey Bay'!F51+Namwera!F51+Nkhudzi!F51</f>
        <v>0</v>
      </c>
      <c r="G51" s="33">
        <f>Mangochi!G51+'Monkey Bay'!G51+Namwera!G51+Nkhudzi!G51</f>
        <v>0</v>
      </c>
      <c r="H51" s="33">
        <f>Mangochi!H51+'Monkey Bay'!H51+Namwera!H51+Nkhudzi!H51</f>
        <v>0</v>
      </c>
      <c r="I51" s="33">
        <f>Mangochi!I51+'Monkey Bay'!I51+Namwera!I51+Nkhudzi!I51</f>
        <v>0</v>
      </c>
      <c r="J51" s="33">
        <f>Mangochi!J51+'Monkey Bay'!J51+Namwera!J51+Nkhudzi!J51</f>
        <v>0</v>
      </c>
      <c r="K51" s="33">
        <f>Mangochi!K51+'Monkey Bay'!K51+Namwera!K51+Nkhudzi!K51</f>
        <v>0</v>
      </c>
      <c r="L51" s="33">
        <f>Mangochi!L51+'Monkey Bay'!L51+Namwera!L51+Nkhudzi!L51</f>
        <v>0</v>
      </c>
      <c r="M51" s="33">
        <f>Mangochi!M51+'Monkey Bay'!M51+Namwera!M51+Nkhudzi!M51</f>
        <v>0</v>
      </c>
      <c r="N51" s="33">
        <f>Mangochi!N51+'Monkey Bay'!N51+Namwera!N51+Nkhudzi!N51</f>
        <v>0</v>
      </c>
      <c r="O51" s="33">
        <f>Mangochi!O51+'Monkey Bay'!O51+Namwera!O51+Nkhudzi!O51</f>
        <v>0</v>
      </c>
      <c r="P51" s="39">
        <f>SUM(D51:O51)</f>
        <v>3630827.6</v>
      </c>
    </row>
    <row r="52" spans="1:16" x14ac:dyDescent="0.3">
      <c r="A52" s="212" t="s">
        <v>126</v>
      </c>
      <c r="B52" s="213"/>
      <c r="C52" s="5" t="s">
        <v>31</v>
      </c>
      <c r="D52" s="33">
        <f>Mangochi!D52+'Monkey Bay'!D52+Namwera!D52+Nkhudzi!D52</f>
        <v>0</v>
      </c>
      <c r="E52" s="33">
        <f>Mangochi!E52+'Monkey Bay'!E52+Namwera!E52+Nkhudzi!E52</f>
        <v>0</v>
      </c>
      <c r="F52" s="33">
        <f>Mangochi!F52+'Monkey Bay'!F52+Namwera!F52+Nkhudzi!F52</f>
        <v>0</v>
      </c>
      <c r="G52" s="33">
        <f>Mangochi!G52+'Monkey Bay'!G52+Namwera!G52+Nkhudzi!G52</f>
        <v>0</v>
      </c>
      <c r="H52" s="33">
        <f>Mangochi!H52+'Monkey Bay'!H52+Namwera!H52+Nkhudzi!H52</f>
        <v>0</v>
      </c>
      <c r="I52" s="33">
        <f>Mangochi!I52+'Monkey Bay'!I52+Namwera!I52+Nkhudzi!I52</f>
        <v>0</v>
      </c>
      <c r="J52" s="33">
        <f>Mangochi!J52+'Monkey Bay'!J52+Namwera!J52+Nkhudzi!J52</f>
        <v>0</v>
      </c>
      <c r="K52" s="33">
        <f>Mangochi!K52+'Monkey Bay'!K52+Namwera!K52+Nkhudzi!K52</f>
        <v>0</v>
      </c>
      <c r="L52" s="33">
        <f>Mangochi!L52+'Monkey Bay'!L52+Namwera!L52+Nkhudzi!L52</f>
        <v>0</v>
      </c>
      <c r="M52" s="33">
        <f>Mangochi!M52+'Monkey Bay'!M52+Namwera!M52</f>
        <v>0</v>
      </c>
      <c r="N52" s="33">
        <f>Mangochi!N52+'Monkey Bay'!N52+Namwera!N52</f>
        <v>0</v>
      </c>
      <c r="O52" s="33">
        <f>Mangochi!O52+'Monkey Bay'!O52+Namwera!O52</f>
        <v>0</v>
      </c>
      <c r="P52" s="39">
        <f>SUM(D52:O52)</f>
        <v>0</v>
      </c>
    </row>
    <row r="53" spans="1:16" ht="14.4" x14ac:dyDescent="0.3">
      <c r="A53" s="228" t="s">
        <v>125</v>
      </c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30"/>
    </row>
    <row r="54" spans="1:16" x14ac:dyDescent="0.3">
      <c r="A54" s="212" t="s">
        <v>124</v>
      </c>
      <c r="B54" s="213"/>
      <c r="C54" s="11" t="s">
        <v>18</v>
      </c>
      <c r="D54" s="33">
        <f>Mangochi!D54+'Monkey Bay'!D54+Namwera!D54+Nkhudzi!D54</f>
        <v>50089474.479999997</v>
      </c>
      <c r="E54" s="33">
        <f>Mangochi!E54+'Monkey Bay'!E54+Namwera!E54+Nkhudzi!E54</f>
        <v>50437127.840000004</v>
      </c>
      <c r="F54" s="33">
        <f>Mangochi!F54+'Monkey Bay'!F54+Namwera!F54+Nkhudzi!F54</f>
        <v>0</v>
      </c>
      <c r="G54" s="33">
        <f>Mangochi!G54+'Monkey Bay'!G54+Namwera!G54+Nkhudzi!G54</f>
        <v>0</v>
      </c>
      <c r="H54" s="33">
        <f>Mangochi!H54+'Monkey Bay'!H54+Namwera!H54+Nkhudzi!H54</f>
        <v>0</v>
      </c>
      <c r="I54" s="33">
        <f>Mangochi!I54+'Monkey Bay'!I54+Namwera!I54+Nkhudzi!I54</f>
        <v>0</v>
      </c>
      <c r="J54" s="33">
        <f>Mangochi!J54+'Monkey Bay'!J54+Namwera!J54+Nkhudzi!J54</f>
        <v>0</v>
      </c>
      <c r="K54" s="33">
        <f>Mangochi!K54+'Monkey Bay'!K54+Namwera!K54+Nkhudzi!K54</f>
        <v>0</v>
      </c>
      <c r="L54" s="33">
        <f>Mangochi!L54+'Monkey Bay'!L54+Namwera!L54+Nkhudzi!L54</f>
        <v>0</v>
      </c>
      <c r="M54" s="33">
        <f>Mangochi!M54+'Monkey Bay'!M54+Namwera!M54+Nkhudzi!M54</f>
        <v>0</v>
      </c>
      <c r="N54" s="33">
        <f>Mangochi!N54+'Monkey Bay'!N54+Namwera!N54+Nkhudzi!N54</f>
        <v>0</v>
      </c>
      <c r="O54" s="33">
        <f>Mangochi!O54+'Monkey Bay'!O54+Namwera!O54+Nkhudzi!O54</f>
        <v>0</v>
      </c>
      <c r="P54" s="38">
        <f>SUM(D54:O54)</f>
        <v>100526602.31999999</v>
      </c>
    </row>
    <row r="55" spans="1:16" x14ac:dyDescent="0.3">
      <c r="A55" s="297" t="s">
        <v>123</v>
      </c>
      <c r="B55" s="298"/>
      <c r="C55" s="11" t="s">
        <v>18</v>
      </c>
      <c r="D55" s="33">
        <f>Mangochi!D55+'Monkey Bay'!D55+Namwera!D55+Nkhudzi!D55</f>
        <v>12957420.300000001</v>
      </c>
      <c r="E55" s="33">
        <f>Mangochi!E55+'Monkey Bay'!E55+Namwera!E55+Nkhudzi!E55</f>
        <v>13113860.420000002</v>
      </c>
      <c r="F55" s="33">
        <f>Mangochi!F55+'Monkey Bay'!F55+Namwera!F55+Nkhudzi!F55</f>
        <v>0</v>
      </c>
      <c r="G55" s="33">
        <f>Mangochi!G55+'Monkey Bay'!G55+Namwera!G55+Nkhudzi!G55</f>
        <v>0</v>
      </c>
      <c r="H55" s="33">
        <f>Mangochi!H55+'Monkey Bay'!H55+Namwera!H55+Nkhudzi!H55</f>
        <v>0</v>
      </c>
      <c r="I55" s="33">
        <f>Mangochi!I55+'Monkey Bay'!I55+Namwera!I55+Nkhudzi!I55</f>
        <v>0</v>
      </c>
      <c r="J55" s="33">
        <f>Mangochi!J55+'Monkey Bay'!J55+Namwera!J55+Nkhudzi!J55</f>
        <v>0</v>
      </c>
      <c r="K55" s="33">
        <f>Mangochi!K55+'Monkey Bay'!K55+Namwera!K55+Nkhudzi!K55</f>
        <v>0</v>
      </c>
      <c r="L55" s="33">
        <f>Mangochi!L55+'Monkey Bay'!L55+Namwera!L55+Nkhudzi!L55</f>
        <v>0</v>
      </c>
      <c r="M55" s="33">
        <f>Mangochi!M55+'Monkey Bay'!M55+Namwera!M55+Nkhudzi!M55</f>
        <v>0</v>
      </c>
      <c r="N55" s="33">
        <f>Mangochi!N55+'Monkey Bay'!N55+Namwera!N55+Nkhudzi!N55</f>
        <v>0</v>
      </c>
      <c r="O55" s="33">
        <f>Mangochi!O55+'Monkey Bay'!O55+Namwera!O55+Nkhudzi!O55</f>
        <v>0</v>
      </c>
      <c r="P55" s="38">
        <f>SUM(D55:O55)</f>
        <v>26071280.720000003</v>
      </c>
    </row>
    <row r="56" spans="1:16" x14ac:dyDescent="0.3">
      <c r="A56" s="212" t="s">
        <v>122</v>
      </c>
      <c r="B56" s="213"/>
      <c r="C56" s="5" t="s">
        <v>18</v>
      </c>
      <c r="D56" s="33">
        <f>Mangochi!D56+'Monkey Bay'!D56+Namwera!D56+Nkhudzi!D56</f>
        <v>6049220</v>
      </c>
      <c r="E56" s="33">
        <f>Mangochi!E56+'Monkey Bay'!E56+Namwera!E56+Nkhudzi!E56</f>
        <v>6268450</v>
      </c>
      <c r="F56" s="33">
        <f>Mangochi!F56+'Monkey Bay'!F56+Namwera!F56+Nkhudzi!F56</f>
        <v>0</v>
      </c>
      <c r="G56" s="33">
        <f>Mangochi!G56+'Monkey Bay'!G56+Namwera!G56+Nkhudzi!G56</f>
        <v>0</v>
      </c>
      <c r="H56" s="33">
        <f>Mangochi!H56+'Monkey Bay'!H56+Namwera!H56+Nkhudzi!H56</f>
        <v>0</v>
      </c>
      <c r="I56" s="33">
        <f>Mangochi!I56+'Monkey Bay'!I56+Namwera!I56+Nkhudzi!I56</f>
        <v>0</v>
      </c>
      <c r="J56" s="33">
        <f>Mangochi!J56+'Monkey Bay'!J56+Namwera!J56+Nkhudzi!J56</f>
        <v>0</v>
      </c>
      <c r="K56" s="33">
        <f>Mangochi!K56+'Monkey Bay'!K56+Namwera!K56+Nkhudzi!K56</f>
        <v>0</v>
      </c>
      <c r="L56" s="33">
        <f>Mangochi!L56+'Monkey Bay'!L56+Namwera!L56+Nkhudzi!L56</f>
        <v>0</v>
      </c>
      <c r="M56" s="33">
        <f>Mangochi!M56+'Monkey Bay'!M56+Namwera!M56+Nkhudzi!M56</f>
        <v>0</v>
      </c>
      <c r="N56" s="33">
        <f>Mangochi!N56+'Monkey Bay'!N56+Namwera!N56+Nkhudzi!N56</f>
        <v>0</v>
      </c>
      <c r="O56" s="33">
        <f>Mangochi!O56+'Monkey Bay'!O56+Namwera!O56+Nkhudzi!O56</f>
        <v>0</v>
      </c>
      <c r="P56" s="38">
        <f>SUM(D56:O56)</f>
        <v>12317670</v>
      </c>
    </row>
    <row r="57" spans="1:16" ht="14.4" x14ac:dyDescent="0.3">
      <c r="A57" s="228" t="s">
        <v>121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30"/>
    </row>
    <row r="58" spans="1:16" x14ac:dyDescent="0.3">
      <c r="A58" s="231" t="s">
        <v>120</v>
      </c>
      <c r="B58" s="232"/>
      <c r="C58" s="5" t="s">
        <v>18</v>
      </c>
      <c r="D58" s="13">
        <f t="shared" ref="D58:L58" si="33">D41+D46+D51+D52+D54+D55+D56</f>
        <v>111333096.97652499</v>
      </c>
      <c r="E58" s="13">
        <f t="shared" si="33"/>
        <v>116285333.751875</v>
      </c>
      <c r="F58" s="13">
        <f t="shared" si="33"/>
        <v>77356</v>
      </c>
      <c r="G58" s="13">
        <f t="shared" si="33"/>
        <v>77356</v>
      </c>
      <c r="H58" s="13">
        <f t="shared" si="33"/>
        <v>77356</v>
      </c>
      <c r="I58" s="13">
        <f t="shared" si="33"/>
        <v>77356</v>
      </c>
      <c r="J58" s="13">
        <f t="shared" si="33"/>
        <v>77356</v>
      </c>
      <c r="K58" s="13">
        <f t="shared" si="33"/>
        <v>77356</v>
      </c>
      <c r="L58" s="13">
        <f t="shared" si="33"/>
        <v>77356</v>
      </c>
      <c r="M58" s="13">
        <f t="shared" ref="M58" si="34">M41+M46+M51+M52+M54+M55+M56</f>
        <v>77356</v>
      </c>
      <c r="N58" s="13">
        <f t="shared" ref="N58" si="35">N41+N46+N51+N52+N54+N55+N56</f>
        <v>77356</v>
      </c>
      <c r="O58" s="13">
        <f t="shared" ref="O58" si="36">O41+O46+O51+O52+O54+O55+O56</f>
        <v>77356</v>
      </c>
      <c r="P58" s="63">
        <f>SUM(D58:O58)</f>
        <v>228391990.72839999</v>
      </c>
    </row>
    <row r="59" spans="1:16" x14ac:dyDescent="0.3">
      <c r="A59" s="231" t="s">
        <v>119</v>
      </c>
      <c r="B59" s="232"/>
      <c r="C59" s="5" t="s">
        <v>117</v>
      </c>
      <c r="D59" s="15">
        <f t="shared" ref="D59:P59" si="37">D58/D9</f>
        <v>449.54008308376399</v>
      </c>
      <c r="E59" s="15">
        <f t="shared" ref="E59:L59" si="38">E58/E9</f>
        <v>454.35494852941179</v>
      </c>
      <c r="F59" s="15" t="e">
        <f t="shared" si="38"/>
        <v>#DIV/0!</v>
      </c>
      <c r="G59" s="15" t="e">
        <f t="shared" si="38"/>
        <v>#DIV/0!</v>
      </c>
      <c r="H59" s="15" t="e">
        <f t="shared" si="38"/>
        <v>#DIV/0!</v>
      </c>
      <c r="I59" s="15" t="e">
        <f t="shared" si="38"/>
        <v>#DIV/0!</v>
      </c>
      <c r="J59" s="15" t="e">
        <f t="shared" si="38"/>
        <v>#DIV/0!</v>
      </c>
      <c r="K59" s="15" t="e">
        <f t="shared" si="38"/>
        <v>#DIV/0!</v>
      </c>
      <c r="L59" s="15" t="e">
        <f t="shared" si="38"/>
        <v>#DIV/0!</v>
      </c>
      <c r="M59" s="15" t="e">
        <f t="shared" ref="M59" si="39">M58/M9</f>
        <v>#DIV/0!</v>
      </c>
      <c r="N59" s="15" t="e">
        <f t="shared" ref="N59" si="40">N58/N9</f>
        <v>#DIV/0!</v>
      </c>
      <c r="O59" s="15" t="e">
        <f t="shared" ref="O59" si="41">O58/O9</f>
        <v>#DIV/0!</v>
      </c>
      <c r="P59" s="97">
        <f t="shared" si="37"/>
        <v>453.52315000824075</v>
      </c>
    </row>
    <row r="60" spans="1:16" x14ac:dyDescent="0.3">
      <c r="A60" s="231" t="s">
        <v>118</v>
      </c>
      <c r="B60" s="232"/>
      <c r="C60" s="5" t="s">
        <v>117</v>
      </c>
      <c r="D60" s="15">
        <f t="shared" ref="D60:L60" si="42">D58/D22</f>
        <v>721.73539034747046</v>
      </c>
      <c r="E60" s="15">
        <f t="shared" si="42"/>
        <v>676.40549982884193</v>
      </c>
      <c r="F60" s="15" t="e">
        <f t="shared" si="42"/>
        <v>#DIV/0!</v>
      </c>
      <c r="G60" s="15" t="e">
        <f t="shared" si="42"/>
        <v>#DIV/0!</v>
      </c>
      <c r="H60" s="15" t="e">
        <f t="shared" si="42"/>
        <v>#DIV/0!</v>
      </c>
      <c r="I60" s="15" t="e">
        <f t="shared" si="42"/>
        <v>#DIV/0!</v>
      </c>
      <c r="J60" s="15" t="e">
        <f t="shared" si="42"/>
        <v>#DIV/0!</v>
      </c>
      <c r="K60" s="15" t="e">
        <f t="shared" si="42"/>
        <v>#DIV/0!</v>
      </c>
      <c r="L60" s="15" t="e">
        <f t="shared" si="42"/>
        <v>#DIV/0!</v>
      </c>
      <c r="M60" s="15" t="e">
        <f t="shared" ref="M60" si="43">M58/M22</f>
        <v>#DIV/0!</v>
      </c>
      <c r="N60" s="15" t="e">
        <f t="shared" ref="N60" si="44">N58/N22</f>
        <v>#DIV/0!</v>
      </c>
      <c r="O60" s="15" t="e">
        <f t="shared" ref="O60" si="45">O58/O22</f>
        <v>#DIV/0!</v>
      </c>
      <c r="P60" s="98">
        <f>P58/P22</f>
        <v>700.21497944931889</v>
      </c>
    </row>
    <row r="61" spans="1:16" x14ac:dyDescent="0.3">
      <c r="A61" s="212" t="s">
        <v>116</v>
      </c>
      <c r="B61" s="213"/>
      <c r="C61" s="5" t="s">
        <v>3</v>
      </c>
      <c r="D61" s="33">
        <f>Mangochi!D61+'Monkey Bay'!D61+Namwera!D61+Nkhudzi!D61</f>
        <v>41</v>
      </c>
      <c r="E61" s="33">
        <f>Mangochi!E61+'Monkey Bay'!E61+Namwera!E61+Nkhudzi!E61</f>
        <v>41</v>
      </c>
      <c r="F61" s="33">
        <f>Mangochi!F61+'Monkey Bay'!F61+Namwera!F61+Nkhudzi!F61</f>
        <v>0</v>
      </c>
      <c r="G61" s="33">
        <f>Mangochi!G61+'Monkey Bay'!G61+Namwera!G61+Nkhudzi!G61</f>
        <v>0</v>
      </c>
      <c r="H61" s="33">
        <f>Mangochi!H61+'Monkey Bay'!H61+Namwera!H61+Nkhudzi!H61</f>
        <v>0</v>
      </c>
      <c r="I61" s="33">
        <f>Mangochi!I61+'Monkey Bay'!I61+Namwera!I61+Nkhudzi!I61</f>
        <v>0</v>
      </c>
      <c r="J61" s="33">
        <f>Mangochi!J61+'Monkey Bay'!J61+Namwera!J61+Nkhudzi!J61</f>
        <v>0</v>
      </c>
      <c r="K61" s="33">
        <f>Mangochi!K61+'Monkey Bay'!K61+Namwera!K61+Nkhudzi!K61</f>
        <v>0</v>
      </c>
      <c r="L61" s="33">
        <f>Mangochi!L61+'Monkey Bay'!L61+Namwera!L61+Nkhudzi!L61</f>
        <v>0</v>
      </c>
      <c r="M61" s="33">
        <f>Mangochi!M61+'Monkey Bay'!M61+Namwera!M61+Nkhudzi!M61</f>
        <v>0</v>
      </c>
      <c r="N61" s="33">
        <f>Mangochi!N61+'Monkey Bay'!N61+Namwera!N61+Nkhudzi!N61</f>
        <v>0</v>
      </c>
      <c r="O61" s="33">
        <f>Mangochi!O61+'Monkey Bay'!O61+Namwera!O61+Nkhudzi!O61</f>
        <v>0</v>
      </c>
      <c r="P61" s="38">
        <f>O61</f>
        <v>0</v>
      </c>
    </row>
    <row r="62" spans="1:16" ht="15.6" customHeight="1" x14ac:dyDescent="0.3">
      <c r="A62" s="231" t="s">
        <v>115</v>
      </c>
      <c r="B62" s="232"/>
      <c r="C62" s="5" t="s">
        <v>114</v>
      </c>
      <c r="D62" s="15">
        <f>Mangochi!D62+'Monkey Bay'!D62+Namwera!D62</f>
        <v>34.404289925459601</v>
      </c>
      <c r="E62" s="15">
        <f>Mangochi!E62+'Monkey Bay'!E62+Namwera!E62</f>
        <v>25.937626229181173</v>
      </c>
      <c r="F62" s="15" t="e">
        <f>Mangochi!F62+'Monkey Bay'!F62+Namwera!F62</f>
        <v>#DIV/0!</v>
      </c>
      <c r="G62" s="15" t="e">
        <f>Mangochi!G62+'Monkey Bay'!G62+Namwera!G62</f>
        <v>#DIV/0!</v>
      </c>
      <c r="H62" s="15" t="e">
        <f>Mangochi!H62+'Monkey Bay'!H62+Namwera!H62</f>
        <v>#DIV/0!</v>
      </c>
      <c r="I62" s="15" t="e">
        <f>Mangochi!I62+'Monkey Bay'!I62+Namwera!I62</f>
        <v>#DIV/0!</v>
      </c>
      <c r="J62" s="15" t="e">
        <f>Mangochi!J62+'Monkey Bay'!J62+Namwera!J62</f>
        <v>#DIV/0!</v>
      </c>
      <c r="K62" s="15" t="e">
        <f>Mangochi!K62+'Monkey Bay'!K62+Namwera!K62</f>
        <v>#DIV/0!</v>
      </c>
      <c r="L62" s="15" t="e">
        <f>Mangochi!L62+'Monkey Bay'!L62+Namwera!L62</f>
        <v>#DIV/0!</v>
      </c>
      <c r="M62" s="15" t="e">
        <f>Mangochi!M62+'Monkey Bay'!M62+Namwera!M62+Nkhudzi!M62</f>
        <v>#DIV/0!</v>
      </c>
      <c r="N62" s="15" t="e">
        <f>Mangochi!N62+'Monkey Bay'!N62+Namwera!N62+Nkhudzi!N62</f>
        <v>#DIV/0!</v>
      </c>
      <c r="O62" s="15" t="e">
        <f>Mangochi!O62+'Monkey Bay'!O62+Namwera!O62+Nkhudzi!O62</f>
        <v>#DIV/0!</v>
      </c>
      <c r="P62" s="97">
        <f t="shared" ref="P62" si="46">(P61*1000*31)/P9</f>
        <v>0</v>
      </c>
    </row>
    <row r="63" spans="1:16" x14ac:dyDescent="0.3">
      <c r="A63" s="235" t="s">
        <v>113</v>
      </c>
      <c r="B63" s="236"/>
      <c r="C63" s="37" t="s">
        <v>3</v>
      </c>
      <c r="D63" s="33">
        <f>Mangochi!D63+'Monkey Bay'!D63+Namwera!D63+Nkhudzi!D63</f>
        <v>89</v>
      </c>
      <c r="E63" s="33">
        <f>Mangochi!E63+'Monkey Bay'!E63+Namwera!E63+Nkhudzi!E63</f>
        <v>89</v>
      </c>
      <c r="F63" s="33">
        <f>Mangochi!F63+'Monkey Bay'!F63+Namwera!F63+Nkhudzi!F63</f>
        <v>0</v>
      </c>
      <c r="G63" s="33">
        <f>Mangochi!G63+'Monkey Bay'!G63+Namwera!G63+Nkhudzi!G63</f>
        <v>0</v>
      </c>
      <c r="H63" s="33">
        <f>Mangochi!H63+'Monkey Bay'!H63+Namwera!H63+Nkhudzi!H63</f>
        <v>0</v>
      </c>
      <c r="I63" s="33">
        <f>Mangochi!I63+'Monkey Bay'!I63+Namwera!I63+Nkhudzi!I63</f>
        <v>0</v>
      </c>
      <c r="J63" s="33">
        <f>Mangochi!J63+'Monkey Bay'!J63+Namwera!J63+Nkhudzi!J63</f>
        <v>0</v>
      </c>
      <c r="K63" s="33">
        <f>Mangochi!K63+'Monkey Bay'!K63+Namwera!K63+Nkhudzi!K63</f>
        <v>0</v>
      </c>
      <c r="L63" s="33">
        <f>Mangochi!L63+'Monkey Bay'!L63+Namwera!L63+Nkhudzi!L63</f>
        <v>0</v>
      </c>
      <c r="M63" s="33">
        <f>Mangochi!M63+'Monkey Bay'!M63+Namwera!M63+Nkhudzi!M63</f>
        <v>0</v>
      </c>
      <c r="N63" s="33">
        <f>Mangochi!N63+'Monkey Bay'!N63+Namwera!N63+Nkhudzi!N63</f>
        <v>0</v>
      </c>
      <c r="O63" s="33">
        <f>Mangochi!O63+'Monkey Bay'!O63+Namwera!O63+Nkhudzi!O63</f>
        <v>0</v>
      </c>
      <c r="P63" s="38">
        <f>SUM(D63:O63)</f>
        <v>178</v>
      </c>
    </row>
    <row r="64" spans="1:16" ht="14.4" x14ac:dyDescent="0.3">
      <c r="A64" s="237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9"/>
    </row>
    <row r="65" spans="1:16" ht="14.4" customHeight="1" x14ac:dyDescent="0.3">
      <c r="A65" s="228" t="s">
        <v>112</v>
      </c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30"/>
    </row>
    <row r="66" spans="1:16" x14ac:dyDescent="0.3">
      <c r="A66" s="304" t="s">
        <v>111</v>
      </c>
      <c r="B66" s="36" t="s">
        <v>85</v>
      </c>
      <c r="C66" s="5" t="s">
        <v>3</v>
      </c>
      <c r="D66" s="25">
        <f>Mangochi!D66+'Monkey Bay'!D66+Namwera!D66+Nkhudzi!D66</f>
        <v>5065</v>
      </c>
      <c r="E66" s="25">
        <f>Mangochi!E66+'Monkey Bay'!E66+Namwera!E66+Nkhudzi!E66</f>
        <v>5068</v>
      </c>
      <c r="F66" s="25">
        <f>Mangochi!F66+'Monkey Bay'!F66+Namwera!F66+Nkhudzi!F66</f>
        <v>0</v>
      </c>
      <c r="G66" s="25">
        <f>Mangochi!G66+'Monkey Bay'!G66+Namwera!G66+Nkhudzi!G66</f>
        <v>0</v>
      </c>
      <c r="H66" s="25">
        <f>Mangochi!H66+'Monkey Bay'!H66+Namwera!H66+Nkhudzi!H66</f>
        <v>0</v>
      </c>
      <c r="I66" s="25">
        <f>Mangochi!I66+'Monkey Bay'!I66+Namwera!I66+Nkhudzi!I66</f>
        <v>0</v>
      </c>
      <c r="J66" s="25">
        <f>Mangochi!J66+'Monkey Bay'!J66+Namwera!J66+Nkhudzi!J66</f>
        <v>0</v>
      </c>
      <c r="K66" s="25">
        <f>Mangochi!K66+'Monkey Bay'!K66+Namwera!K66+Nkhudzi!K66</f>
        <v>0</v>
      </c>
      <c r="L66" s="25">
        <f>Mangochi!L66+'Monkey Bay'!L66+Namwera!L66+Nkhudzi!L66</f>
        <v>0</v>
      </c>
      <c r="M66" s="25">
        <f>Mangochi!M66+'Monkey Bay'!M66+Namwera!M66+Nkhudzi!M66</f>
        <v>0</v>
      </c>
      <c r="N66" s="25">
        <f>Mangochi!N66+'Monkey Bay'!N66+Namwera!N66+Nkhudzi!N66</f>
        <v>0</v>
      </c>
      <c r="O66" s="25">
        <f>Mangochi!O66+'Monkey Bay'!O66+Namwera!O66+Nkhudzi!O66</f>
        <v>0</v>
      </c>
      <c r="P66" s="34">
        <f>Mangochi!P66+'Monkey Bay'!P66+Namwera!P66</f>
        <v>2131</v>
      </c>
    </row>
    <row r="67" spans="1:16" x14ac:dyDescent="0.3">
      <c r="A67" s="305"/>
      <c r="B67" s="23" t="s">
        <v>106</v>
      </c>
      <c r="C67" s="5" t="s">
        <v>3</v>
      </c>
      <c r="D67" s="25">
        <f>Mangochi!D67+'Monkey Bay'!D67+Namwera!D67+Nkhudzi!D67</f>
        <v>185</v>
      </c>
      <c r="E67" s="25">
        <f>Mangochi!E67+'Monkey Bay'!E67+Namwera!E67+Nkhudzi!E67</f>
        <v>202</v>
      </c>
      <c r="F67" s="25">
        <f>Mangochi!F67+'Monkey Bay'!F67+Namwera!F67+Nkhudzi!F67</f>
        <v>0</v>
      </c>
      <c r="G67" s="25">
        <f>Mangochi!G67+'Monkey Bay'!G67+Namwera!G67+Nkhudzi!G67</f>
        <v>0</v>
      </c>
      <c r="H67" s="25">
        <f>Mangochi!H67+'Monkey Bay'!H67+Namwera!H67+Nkhudzi!H67</f>
        <v>0</v>
      </c>
      <c r="I67" s="25">
        <f>Mangochi!I67+'Monkey Bay'!I67+Namwera!I67+Nkhudzi!I67</f>
        <v>0</v>
      </c>
      <c r="J67" s="25">
        <f>Mangochi!J67+'Monkey Bay'!J67+Namwera!J67+Nkhudzi!J67</f>
        <v>0</v>
      </c>
      <c r="K67" s="25">
        <f>Mangochi!K67+'Monkey Bay'!K67+Namwera!K67+Nkhudzi!K67</f>
        <v>0</v>
      </c>
      <c r="L67" s="25">
        <f>Mangochi!L67+'Monkey Bay'!L67+Namwera!L67+Nkhudzi!L67</f>
        <v>0</v>
      </c>
      <c r="M67" s="25">
        <f>Mangochi!M67+'Monkey Bay'!M67+Namwera!M67+Nkhudzi!M67</f>
        <v>0</v>
      </c>
      <c r="N67" s="25">
        <f>Mangochi!N67+'Monkey Bay'!N67+Namwera!N67+Nkhudzi!N67</f>
        <v>0</v>
      </c>
      <c r="O67" s="25">
        <f>Mangochi!O67+'Monkey Bay'!O67+Namwera!O67+Nkhudzi!O67</f>
        <v>0</v>
      </c>
      <c r="P67" s="34">
        <f>Mangochi!P67+'Monkey Bay'!P67+Namwera!P67</f>
        <v>327</v>
      </c>
    </row>
    <row r="68" spans="1:16" ht="27" x14ac:dyDescent="0.3">
      <c r="A68" s="305"/>
      <c r="B68" s="23" t="s">
        <v>105</v>
      </c>
      <c r="C68" s="5" t="s">
        <v>3</v>
      </c>
      <c r="D68" s="25">
        <f>Mangochi!D68+'Monkey Bay'!D68+Namwera!D68+Nkhudzi!D68</f>
        <v>0</v>
      </c>
      <c r="E68" s="25">
        <f>Mangochi!E68+'Monkey Bay'!E68+Namwera!E68+Nkhudzi!E68</f>
        <v>0</v>
      </c>
      <c r="F68" s="25">
        <f>Mangochi!F68+'Monkey Bay'!F68+Namwera!F68+Nkhudzi!F68</f>
        <v>0</v>
      </c>
      <c r="G68" s="25">
        <f>Mangochi!G68+'Monkey Bay'!G68+Namwera!G68+Nkhudzi!G68</f>
        <v>0</v>
      </c>
      <c r="H68" s="25">
        <f>Mangochi!H68+'Monkey Bay'!H68+Namwera!H68+Nkhudzi!H68</f>
        <v>0</v>
      </c>
      <c r="I68" s="25">
        <f>Mangochi!I68+'Monkey Bay'!I68+Namwera!I68+Nkhudzi!I68</f>
        <v>0</v>
      </c>
      <c r="J68" s="25">
        <f>Mangochi!J68+'Monkey Bay'!J68+Namwera!J68+Nkhudzi!J68</f>
        <v>0</v>
      </c>
      <c r="K68" s="25">
        <f>Mangochi!K68+'Monkey Bay'!K68+Namwera!K68+Nkhudzi!K68</f>
        <v>0</v>
      </c>
      <c r="L68" s="25">
        <f>Mangochi!L68+'Monkey Bay'!L68+Namwera!L68+Nkhudzi!L68</f>
        <v>0</v>
      </c>
      <c r="M68" s="25">
        <f>Mangochi!M68+'Monkey Bay'!M68+Namwera!M68+Nkhudzi!M68</f>
        <v>0</v>
      </c>
      <c r="N68" s="25">
        <f>Mangochi!N68+'Monkey Bay'!N68+Namwera!N68+Nkhudzi!N68</f>
        <v>0</v>
      </c>
      <c r="O68" s="25">
        <f>Mangochi!O68+'Monkey Bay'!O68+Namwera!O68+Nkhudzi!O68</f>
        <v>0</v>
      </c>
      <c r="P68" s="34">
        <f>Mangochi!P68+'Monkey Bay'!P68+Namwera!P68</f>
        <v>0</v>
      </c>
    </row>
    <row r="69" spans="1:16" s="2" customFormat="1" ht="27" x14ac:dyDescent="0.3">
      <c r="A69" s="305"/>
      <c r="B69" s="23" t="s">
        <v>104</v>
      </c>
      <c r="C69" s="11" t="s">
        <v>3</v>
      </c>
      <c r="D69" s="25">
        <f>Mangochi!D69+'Monkey Bay'!D69+Namwera!D69+Nkhudzi!D69</f>
        <v>189</v>
      </c>
      <c r="E69" s="25">
        <f>Mangochi!E69+'Monkey Bay'!E69+Namwera!E69+Nkhudzi!E69</f>
        <v>197</v>
      </c>
      <c r="F69" s="25">
        <f>Mangochi!F69+'Monkey Bay'!F69+Namwera!F69+Nkhudzi!F69</f>
        <v>0</v>
      </c>
      <c r="G69" s="25">
        <f>Mangochi!G69+'Monkey Bay'!G69+Namwera!G69+Nkhudzi!G69</f>
        <v>0</v>
      </c>
      <c r="H69" s="25">
        <f>Mangochi!H69+'Monkey Bay'!H69+Namwera!H69+Nkhudzi!H69</f>
        <v>0</v>
      </c>
      <c r="I69" s="25">
        <f>Mangochi!I69+'Monkey Bay'!I69+Namwera!I69+Nkhudzi!I69</f>
        <v>0</v>
      </c>
      <c r="J69" s="25">
        <f>Mangochi!J69+'Monkey Bay'!J69+Namwera!J69+Nkhudzi!J69</f>
        <v>0</v>
      </c>
      <c r="K69" s="25">
        <f>Mangochi!K69+'Monkey Bay'!K69+Namwera!K69+Nkhudzi!K69</f>
        <v>0</v>
      </c>
      <c r="L69" s="25">
        <f>Mangochi!L69+'Monkey Bay'!L69+Namwera!L69+Nkhudzi!L69</f>
        <v>0</v>
      </c>
      <c r="M69" s="25">
        <f>Mangochi!M69+'Monkey Bay'!M69+Namwera!M69+Nkhudzi!M69</f>
        <v>0</v>
      </c>
      <c r="N69" s="25">
        <f>Mangochi!N69+'Monkey Bay'!N69+Namwera!N69+Nkhudzi!N69</f>
        <v>0</v>
      </c>
      <c r="O69" s="25">
        <f>Mangochi!O69+'Monkey Bay'!O69+Namwera!O69+Nkhudzi!O69</f>
        <v>0</v>
      </c>
      <c r="P69" s="71">
        <f>Mangochi!P69+'Monkey Bay'!P69+Namwera!P69</f>
        <v>300</v>
      </c>
    </row>
    <row r="70" spans="1:16" s="2" customFormat="1" x14ac:dyDescent="0.3">
      <c r="A70" s="305"/>
      <c r="B70" s="23" t="s">
        <v>190</v>
      </c>
      <c r="C70" s="11" t="s">
        <v>3</v>
      </c>
      <c r="D70" s="4">
        <f>Mangochi!D70+'Monkey Bay'!D70+Namwera!D70+Nkhudzi!D70</f>
        <v>189</v>
      </c>
      <c r="E70" s="4">
        <f>Mangochi!E70+'Monkey Bay'!E70+Namwera!E70+Nkhudzi!E70</f>
        <v>197</v>
      </c>
      <c r="F70" s="4">
        <f>Mangochi!F70+'Monkey Bay'!F70+Namwera!F70+Nkhudzi!F70</f>
        <v>0</v>
      </c>
      <c r="G70" s="4">
        <f>Mangochi!G70+'Monkey Bay'!G70+Namwera!G70+Nkhudzi!G70</f>
        <v>0</v>
      </c>
      <c r="H70" s="4">
        <f>Mangochi!H70+'Monkey Bay'!H70+Namwera!H70+Nkhudzi!H70</f>
        <v>0</v>
      </c>
      <c r="I70" s="4">
        <f>Mangochi!I70+'Monkey Bay'!I70+Namwera!I70+Nkhudzi!I70</f>
        <v>0</v>
      </c>
      <c r="J70" s="4">
        <f>Mangochi!J70+'Monkey Bay'!J70+Namwera!J70+Nkhudzi!J70</f>
        <v>0</v>
      </c>
      <c r="K70" s="4">
        <f>Mangochi!K70+'Monkey Bay'!K70+Namwera!K70+Nkhudzi!K70</f>
        <v>0</v>
      </c>
      <c r="L70" s="4">
        <f>Mangochi!L70+'Monkey Bay'!L70+Namwera!L70+Nkhudzi!L70</f>
        <v>0</v>
      </c>
      <c r="M70" s="4">
        <f>Mangochi!M70+'Monkey Bay'!M70+Namwera!M70+Nkhudzi!M70</f>
        <v>0</v>
      </c>
      <c r="N70" s="4">
        <f>Mangochi!N70+'Monkey Bay'!N70+Namwera!N70+Nkhudzi!N70</f>
        <v>0</v>
      </c>
      <c r="O70" s="4">
        <f>Mangochi!O70+'Monkey Bay'!O70+Namwera!O70+Nkhudzi!O70</f>
        <v>0</v>
      </c>
      <c r="P70" s="99">
        <f>Mangochi!P70+'Monkey Bay'!P70+Namwera!P70</f>
        <v>300</v>
      </c>
    </row>
    <row r="71" spans="1:16" x14ac:dyDescent="0.3">
      <c r="A71" s="306"/>
      <c r="B71" s="36" t="s">
        <v>81</v>
      </c>
      <c r="C71" s="5" t="s">
        <v>3</v>
      </c>
      <c r="D71" s="25">
        <f>Mangochi!D71+'Monkey Bay'!D71+Namwera!D71+Nkhudzi!D71</f>
        <v>5061</v>
      </c>
      <c r="E71" s="25">
        <f>Mangochi!E71+'Monkey Bay'!E71+Namwera!E71+Nkhudzi!E71</f>
        <v>5073</v>
      </c>
      <c r="F71" s="25">
        <f>Mangochi!F71+'Monkey Bay'!F71+Namwera!F71+Nkhudzi!F71</f>
        <v>0</v>
      </c>
      <c r="G71" s="25">
        <f>Mangochi!G71+'Monkey Bay'!G71+Namwera!G71+Nkhudzi!G71</f>
        <v>0</v>
      </c>
      <c r="H71" s="25">
        <f>Mangochi!H71+'Monkey Bay'!H71+Namwera!H71+Nkhudzi!H71</f>
        <v>0</v>
      </c>
      <c r="I71" s="25">
        <f>Mangochi!I71+'Monkey Bay'!I71+Namwera!I71+Nkhudzi!I71</f>
        <v>0</v>
      </c>
      <c r="J71" s="25">
        <f>Mangochi!J71+'Monkey Bay'!J71+Namwera!J71+Nkhudzi!J71</f>
        <v>0</v>
      </c>
      <c r="K71" s="25">
        <f>Mangochi!K71+'Monkey Bay'!K71+Namwera!K71+Nkhudzi!K71</f>
        <v>0</v>
      </c>
      <c r="L71" s="25">
        <f>Mangochi!L71+'Monkey Bay'!L71+Namwera!L71+Nkhudzi!L71</f>
        <v>0</v>
      </c>
      <c r="M71" s="25">
        <f>Mangochi!M71+'Monkey Bay'!M71+Namwera!M71+Nkhudzi!M71</f>
        <v>0</v>
      </c>
      <c r="N71" s="25">
        <f>Mangochi!N71+'Monkey Bay'!N71+Namwera!N71+Nkhudzi!N71</f>
        <v>0</v>
      </c>
      <c r="O71" s="25">
        <f>Mangochi!O71+'Monkey Bay'!O71+Namwera!O71+Nkhudzi!O71</f>
        <v>0</v>
      </c>
      <c r="P71" s="100">
        <f>Mangochi!P71+'Monkey Bay'!P71+Namwera!P71</f>
        <v>2158</v>
      </c>
    </row>
    <row r="72" spans="1:16" x14ac:dyDescent="0.3">
      <c r="A72" s="304" t="s">
        <v>110</v>
      </c>
      <c r="B72" s="36" t="s">
        <v>85</v>
      </c>
      <c r="C72" s="5" t="s">
        <v>3</v>
      </c>
      <c r="D72" s="25">
        <f>Mangochi!D72+'Monkey Bay'!D72+Namwera!D72+Nkhudzi!D72</f>
        <v>14</v>
      </c>
      <c r="E72" s="25">
        <f>Mangochi!E72+'Monkey Bay'!E72+Namwera!E72+Nkhudzi!E72</f>
        <v>14</v>
      </c>
      <c r="F72" s="25">
        <f>Mangochi!F72+'Monkey Bay'!F72+Namwera!F72+Nkhudzi!F72</f>
        <v>0</v>
      </c>
      <c r="G72" s="25">
        <f>Mangochi!G72+'Monkey Bay'!G72+Namwera!G72+Nkhudzi!G72</f>
        <v>0</v>
      </c>
      <c r="H72" s="25">
        <f>Mangochi!H72+'Monkey Bay'!H72+Namwera!H72+Nkhudzi!H72</f>
        <v>0</v>
      </c>
      <c r="I72" s="25">
        <f>Mangochi!I72+'Monkey Bay'!I72+Namwera!I72+Nkhudzi!I72</f>
        <v>0</v>
      </c>
      <c r="J72" s="25">
        <f>Mangochi!J72+'Monkey Bay'!J72+Namwera!J72+Nkhudzi!J72</f>
        <v>0</v>
      </c>
      <c r="K72" s="25">
        <f>Mangochi!K72+'Monkey Bay'!K72+Namwera!K72+Nkhudzi!K72</f>
        <v>0</v>
      </c>
      <c r="L72" s="25">
        <f>Mangochi!L72+'Monkey Bay'!L72+Namwera!L72+Nkhudzi!L72</f>
        <v>0</v>
      </c>
      <c r="M72" s="25">
        <f>Mangochi!M72+'Monkey Bay'!M72+Namwera!M72+Nkhudzi!M72</f>
        <v>0</v>
      </c>
      <c r="N72" s="25">
        <f>Mangochi!N72+'Monkey Bay'!N72+Namwera!N72+Nkhudzi!N72</f>
        <v>0</v>
      </c>
      <c r="O72" s="25">
        <f>Mangochi!O72+'Monkey Bay'!O72+Namwera!O72+Nkhudzi!O72</f>
        <v>0</v>
      </c>
      <c r="P72" s="34">
        <f>Mangochi!P72+'Monkey Bay'!P72+Namwera!P72</f>
        <v>4</v>
      </c>
    </row>
    <row r="73" spans="1:16" x14ac:dyDescent="0.3">
      <c r="A73" s="305"/>
      <c r="B73" s="23" t="s">
        <v>106</v>
      </c>
      <c r="C73" s="5" t="s">
        <v>3</v>
      </c>
      <c r="D73" s="25">
        <f>Mangochi!D73+'Monkey Bay'!D73+Namwera!D73+Nkhudzi!D73</f>
        <v>0</v>
      </c>
      <c r="E73" s="25">
        <f>Mangochi!E73+'Monkey Bay'!E73+Namwera!E73+Nkhudzi!E73</f>
        <v>0</v>
      </c>
      <c r="F73" s="25">
        <f>Mangochi!F73+'Monkey Bay'!F73+Namwera!F73+Nkhudzi!F73</f>
        <v>0</v>
      </c>
      <c r="G73" s="25">
        <f>Mangochi!G73+'Monkey Bay'!G73+Namwera!G73+Nkhudzi!G73</f>
        <v>0</v>
      </c>
      <c r="H73" s="25">
        <f>Mangochi!H73+'Monkey Bay'!H73+Namwera!H73+Nkhudzi!H73</f>
        <v>0</v>
      </c>
      <c r="I73" s="25">
        <f>Mangochi!I73+'Monkey Bay'!I73+Namwera!I73+Nkhudzi!I73</f>
        <v>0</v>
      </c>
      <c r="J73" s="25">
        <f>Mangochi!J73+'Monkey Bay'!J73+Namwera!J73+Nkhudzi!J73</f>
        <v>0</v>
      </c>
      <c r="K73" s="25">
        <f>Mangochi!K73+'Monkey Bay'!K73+Namwera!K73+Nkhudzi!K73</f>
        <v>0</v>
      </c>
      <c r="L73" s="25">
        <f>Mangochi!L73+'Monkey Bay'!L73+Namwera!L73+Nkhudzi!L73</f>
        <v>0</v>
      </c>
      <c r="M73" s="25">
        <f>Mangochi!M73+'Monkey Bay'!M73+Namwera!M73+Nkhudzi!M73</f>
        <v>0</v>
      </c>
      <c r="N73" s="25">
        <f>Mangochi!N73+'Monkey Bay'!N73+Namwera!N73+Nkhudzi!N73</f>
        <v>0</v>
      </c>
      <c r="O73" s="25">
        <f>Mangochi!O73+'Monkey Bay'!O73+Namwera!O73+Nkhudzi!O73</f>
        <v>0</v>
      </c>
      <c r="P73" s="34">
        <f>Mangochi!P73+'Monkey Bay'!P73+Namwera!P73</f>
        <v>0</v>
      </c>
    </row>
    <row r="74" spans="1:16" ht="27" x14ac:dyDescent="0.3">
      <c r="A74" s="305"/>
      <c r="B74" s="23" t="s">
        <v>105</v>
      </c>
      <c r="C74" s="5" t="s">
        <v>3</v>
      </c>
      <c r="D74" s="25">
        <f>Mangochi!D74+'Monkey Bay'!D74+Namwera!D74+Nkhudzi!D74</f>
        <v>0</v>
      </c>
      <c r="E74" s="25">
        <f>Mangochi!E74+'Monkey Bay'!E74+Namwera!E74+Nkhudzi!E74</f>
        <v>0</v>
      </c>
      <c r="F74" s="25">
        <f>Mangochi!F74+'Monkey Bay'!F74+Namwera!F74+Nkhudzi!F74</f>
        <v>0</v>
      </c>
      <c r="G74" s="25">
        <f>Mangochi!G74+'Monkey Bay'!G74+Namwera!G74+Nkhudzi!G74</f>
        <v>0</v>
      </c>
      <c r="H74" s="25">
        <f>Mangochi!H74+'Monkey Bay'!H74+Namwera!H74+Nkhudzi!H74</f>
        <v>0</v>
      </c>
      <c r="I74" s="25">
        <f>Mangochi!I74+'Monkey Bay'!I74+Namwera!I74+Nkhudzi!I74</f>
        <v>0</v>
      </c>
      <c r="J74" s="25">
        <f>Mangochi!J74+'Monkey Bay'!J74+Namwera!J74+Nkhudzi!J74</f>
        <v>0</v>
      </c>
      <c r="K74" s="25">
        <f>Mangochi!K74+'Monkey Bay'!K74+Namwera!K74+Nkhudzi!K74</f>
        <v>0</v>
      </c>
      <c r="L74" s="25">
        <f>Mangochi!L74+'Monkey Bay'!L74+Namwera!L74+Nkhudzi!L74</f>
        <v>0</v>
      </c>
      <c r="M74" s="25">
        <f>Mangochi!M74+'Monkey Bay'!M74+Namwera!M74+Nkhudzi!M74</f>
        <v>0</v>
      </c>
      <c r="N74" s="25">
        <f>Mangochi!N74+'Monkey Bay'!N74+Namwera!N74+Nkhudzi!N74</f>
        <v>0</v>
      </c>
      <c r="O74" s="25">
        <f>Mangochi!O74+'Monkey Bay'!O74+Namwera!O74+Nkhudzi!O74</f>
        <v>0</v>
      </c>
      <c r="P74" s="34">
        <f>Mangochi!P74+'Monkey Bay'!P74+Namwera!P74</f>
        <v>0</v>
      </c>
    </row>
    <row r="75" spans="1:16" s="2" customFormat="1" ht="27" x14ac:dyDescent="0.3">
      <c r="A75" s="305"/>
      <c r="B75" s="23" t="s">
        <v>104</v>
      </c>
      <c r="C75" s="11" t="s">
        <v>3</v>
      </c>
      <c r="D75" s="25">
        <f>Mangochi!D75+'Monkey Bay'!D75+Namwera!D75+Nkhudzi!D75</f>
        <v>0</v>
      </c>
      <c r="E75" s="25">
        <f>Mangochi!E75+'Monkey Bay'!E75+Namwera!E75+Nkhudzi!E75</f>
        <v>0</v>
      </c>
      <c r="F75" s="25">
        <f>Mangochi!F75+'Monkey Bay'!F75+Namwera!F75+Nkhudzi!F75</f>
        <v>0</v>
      </c>
      <c r="G75" s="25">
        <f>Mangochi!G75+'Monkey Bay'!G75+Namwera!G75+Nkhudzi!G75</f>
        <v>0</v>
      </c>
      <c r="H75" s="25">
        <f>Mangochi!H75+'Monkey Bay'!H75+Namwera!H75+Nkhudzi!H75</f>
        <v>0</v>
      </c>
      <c r="I75" s="25">
        <f>Mangochi!I75+'Monkey Bay'!I75+Namwera!I75+Nkhudzi!I75</f>
        <v>0</v>
      </c>
      <c r="J75" s="25">
        <f>Mangochi!J75+'Monkey Bay'!J75+Namwera!J75+Nkhudzi!J75</f>
        <v>0</v>
      </c>
      <c r="K75" s="25">
        <f>Mangochi!K75+'Monkey Bay'!K75+Namwera!K75+Nkhudzi!K75</f>
        <v>0</v>
      </c>
      <c r="L75" s="25">
        <f>Mangochi!L75+'Monkey Bay'!L75+Namwera!L75+Nkhudzi!L75</f>
        <v>0</v>
      </c>
      <c r="M75" s="25">
        <f>Mangochi!M75+'Monkey Bay'!M75+Namwera!M75+Nkhudzi!M75</f>
        <v>0</v>
      </c>
      <c r="N75" s="25">
        <f>Mangochi!N75+'Monkey Bay'!N75+Namwera!N75+Nkhudzi!N75</f>
        <v>0</v>
      </c>
      <c r="O75" s="25">
        <f>Mangochi!O75+'Monkey Bay'!O75+Namwera!O75+Nkhudzi!O75</f>
        <v>0</v>
      </c>
      <c r="P75" s="71">
        <f>Mangochi!P75+'Monkey Bay'!P75+Namwera!P75</f>
        <v>0</v>
      </c>
    </row>
    <row r="76" spans="1:16" s="2" customFormat="1" x14ac:dyDescent="0.3">
      <c r="A76" s="305"/>
      <c r="B76" s="23" t="s">
        <v>190</v>
      </c>
      <c r="C76" s="11" t="s">
        <v>3</v>
      </c>
      <c r="D76" s="4">
        <f>Mangochi!D76+'Monkey Bay'!D76+Namwera!D76+Nkhudzi!D76</f>
        <v>0</v>
      </c>
      <c r="E76" s="4">
        <f>Mangochi!E76+'Monkey Bay'!E76+Namwera!E76+Nkhudzi!E76</f>
        <v>0</v>
      </c>
      <c r="F76" s="4">
        <f>Mangochi!F76+'Monkey Bay'!F76+Namwera!F76+Nkhudzi!F76</f>
        <v>0</v>
      </c>
      <c r="G76" s="4">
        <f>Mangochi!G76+'Monkey Bay'!G76+Namwera!G76+Nkhudzi!G76</f>
        <v>0</v>
      </c>
      <c r="H76" s="4">
        <f>Mangochi!H76+'Monkey Bay'!H76+Namwera!H76+Nkhudzi!H76</f>
        <v>0</v>
      </c>
      <c r="I76" s="4">
        <f>Mangochi!I76+'Monkey Bay'!I76+Namwera!I76+Nkhudzi!I76</f>
        <v>0</v>
      </c>
      <c r="J76" s="4">
        <f>Mangochi!J76+'Monkey Bay'!J76+Namwera!J76+Nkhudzi!J76</f>
        <v>0</v>
      </c>
      <c r="K76" s="4">
        <f>Mangochi!K76+'Monkey Bay'!K76+Namwera!K76+Nkhudzi!K76</f>
        <v>0</v>
      </c>
      <c r="L76" s="4">
        <f>Mangochi!L76+'Monkey Bay'!L76+Namwera!L76+Nkhudzi!L76</f>
        <v>0</v>
      </c>
      <c r="M76" s="4">
        <f>Mangochi!M76+'Monkey Bay'!M76+Namwera!M76+Nkhudzi!M76</f>
        <v>0</v>
      </c>
      <c r="N76" s="4">
        <f>Mangochi!N76+'Monkey Bay'!N76+Namwera!N76+Nkhudzi!N76</f>
        <v>0</v>
      </c>
      <c r="O76" s="4">
        <f>Mangochi!O76+'Monkey Bay'!O76+Namwera!O76+Nkhudzi!O76</f>
        <v>0</v>
      </c>
      <c r="P76" s="99">
        <f>Mangochi!P76+'Monkey Bay'!P76+Namwera!P76</f>
        <v>0</v>
      </c>
    </row>
    <row r="77" spans="1:16" x14ac:dyDescent="0.3">
      <c r="A77" s="306"/>
      <c r="B77" s="36" t="s">
        <v>81</v>
      </c>
      <c r="C77" s="5" t="s">
        <v>3</v>
      </c>
      <c r="D77" s="25">
        <f>Mangochi!D77+'Monkey Bay'!D77+Namwera!D77+Nkhudzi!D77</f>
        <v>14</v>
      </c>
      <c r="E77" s="25">
        <f>Mangochi!E77+'Monkey Bay'!E77+Namwera!E77+Nkhudzi!E77</f>
        <v>14</v>
      </c>
      <c r="F77" s="25">
        <f>Mangochi!F77+'Monkey Bay'!F77+Namwera!F77+Nkhudzi!F77</f>
        <v>0</v>
      </c>
      <c r="G77" s="25">
        <f>Mangochi!G77+'Monkey Bay'!G77+Namwera!G77+Nkhudzi!G77</f>
        <v>0</v>
      </c>
      <c r="H77" s="25">
        <f>Mangochi!H77+'Monkey Bay'!H77+Namwera!H77+Nkhudzi!H77</f>
        <v>0</v>
      </c>
      <c r="I77" s="25">
        <f>Mangochi!I77+'Monkey Bay'!I77+Namwera!I77+Nkhudzi!I77</f>
        <v>0</v>
      </c>
      <c r="J77" s="25">
        <f>Mangochi!J77+'Monkey Bay'!J77+Namwera!J77+Nkhudzi!J77</f>
        <v>0</v>
      </c>
      <c r="K77" s="25">
        <f>Mangochi!K77+'Monkey Bay'!K77+Namwera!K77+Nkhudzi!K77</f>
        <v>0</v>
      </c>
      <c r="L77" s="25">
        <f>Mangochi!L77+'Monkey Bay'!L77+Namwera!L77+Nkhudzi!L77</f>
        <v>0</v>
      </c>
      <c r="M77" s="25">
        <f>Mangochi!M77+'Monkey Bay'!M77+Namwera!M77+Nkhudzi!M77</f>
        <v>0</v>
      </c>
      <c r="N77" s="25">
        <f>Mangochi!N77+'Monkey Bay'!N77+Namwera!N77+Nkhudzi!N77</f>
        <v>0</v>
      </c>
      <c r="O77" s="25">
        <f>Mangochi!O77+'Monkey Bay'!O77+Namwera!O77+Nkhudzi!O77</f>
        <v>0</v>
      </c>
      <c r="P77" s="100">
        <f>Mangochi!P77+'Monkey Bay'!P77+Namwera!P77</f>
        <v>4</v>
      </c>
    </row>
    <row r="78" spans="1:16" ht="15.6" customHeight="1" x14ac:dyDescent="0.3">
      <c r="A78" s="304" t="s">
        <v>109</v>
      </c>
      <c r="B78" s="36" t="s">
        <v>85</v>
      </c>
      <c r="C78" s="5" t="s">
        <v>3</v>
      </c>
      <c r="D78" s="25">
        <f>Mangochi!D78+'Monkey Bay'!D78+Namwera!D78+Nkhudzi!D78</f>
        <v>22</v>
      </c>
      <c r="E78" s="25">
        <f>Mangochi!E78+'Monkey Bay'!E78+Namwera!E78+Nkhudzi!E78</f>
        <v>22</v>
      </c>
      <c r="F78" s="25">
        <f>Mangochi!F78+'Monkey Bay'!F78+Namwera!F78+Nkhudzi!F78</f>
        <v>0</v>
      </c>
      <c r="G78" s="25">
        <f>Mangochi!G78+'Monkey Bay'!G78+Namwera!G78+Nkhudzi!G78</f>
        <v>0</v>
      </c>
      <c r="H78" s="25">
        <f>Mangochi!H78+'Monkey Bay'!H78+Namwera!H78+Nkhudzi!H78</f>
        <v>0</v>
      </c>
      <c r="I78" s="25">
        <f>Mangochi!I78+'Monkey Bay'!I78+Namwera!I78+Nkhudzi!I78</f>
        <v>0</v>
      </c>
      <c r="J78" s="25">
        <f>Mangochi!J78+'Monkey Bay'!J78+Namwera!J78+Nkhudzi!J78</f>
        <v>0</v>
      </c>
      <c r="K78" s="25">
        <f>Mangochi!K78+'Monkey Bay'!K78+Namwera!K78+Nkhudzi!K78</f>
        <v>0</v>
      </c>
      <c r="L78" s="25">
        <f>Mangochi!L78+'Monkey Bay'!L78+Namwera!L78+Nkhudzi!L78</f>
        <v>0</v>
      </c>
      <c r="M78" s="25">
        <f>Mangochi!M78+'Monkey Bay'!M78+Namwera!M78+Nkhudzi!M78</f>
        <v>0</v>
      </c>
      <c r="N78" s="25">
        <f>Mangochi!N78+'Monkey Bay'!N78+Namwera!N78+Nkhudzi!N78</f>
        <v>0</v>
      </c>
      <c r="O78" s="25">
        <f>Mangochi!O78+'Monkey Bay'!O78+Namwera!O78+Nkhudzi!O78</f>
        <v>0</v>
      </c>
      <c r="P78" s="34">
        <f>Mangochi!P78+'Monkey Bay'!P78+Namwera!P78</f>
        <v>7</v>
      </c>
    </row>
    <row r="79" spans="1:16" x14ac:dyDescent="0.3">
      <c r="A79" s="305"/>
      <c r="B79" s="23" t="s">
        <v>106</v>
      </c>
      <c r="C79" s="5" t="s">
        <v>3</v>
      </c>
      <c r="D79" s="25">
        <f>Mangochi!D79+'Monkey Bay'!D79+Namwera!D79+Nkhudzi!D79</f>
        <v>0</v>
      </c>
      <c r="E79" s="25">
        <f>Mangochi!E79+'Monkey Bay'!E79+Namwera!E79+Nkhudzi!E79</f>
        <v>0</v>
      </c>
      <c r="F79" s="25">
        <f>Mangochi!F79+'Monkey Bay'!F79+Namwera!F79+Nkhudzi!F79</f>
        <v>0</v>
      </c>
      <c r="G79" s="25">
        <f>Mangochi!G79+'Monkey Bay'!G79+Namwera!G79+Nkhudzi!G79</f>
        <v>0</v>
      </c>
      <c r="H79" s="25">
        <f>Mangochi!H79+'Monkey Bay'!H79+Namwera!H79+Nkhudzi!H79</f>
        <v>0</v>
      </c>
      <c r="I79" s="25">
        <f>Mangochi!I79+'Monkey Bay'!I79+Namwera!I79+Nkhudzi!I79</f>
        <v>0</v>
      </c>
      <c r="J79" s="25">
        <f>Mangochi!J79+'Monkey Bay'!J79+Namwera!J79+Nkhudzi!J79</f>
        <v>0</v>
      </c>
      <c r="K79" s="25">
        <f>Mangochi!K79+'Monkey Bay'!K79+Namwera!K79+Nkhudzi!K79</f>
        <v>0</v>
      </c>
      <c r="L79" s="25">
        <f>Mangochi!L79+'Monkey Bay'!L79+Namwera!L79+Nkhudzi!L79</f>
        <v>0</v>
      </c>
      <c r="M79" s="25">
        <f>Mangochi!M79+'Monkey Bay'!M79+Namwera!M79+Nkhudzi!M79</f>
        <v>0</v>
      </c>
      <c r="N79" s="25">
        <f>Mangochi!N79+'Monkey Bay'!N79+Namwera!N79+Nkhudzi!N79</f>
        <v>0</v>
      </c>
      <c r="O79" s="25">
        <f>Mangochi!O79+'Monkey Bay'!O79+Namwera!O79+Nkhudzi!O79</f>
        <v>0</v>
      </c>
      <c r="P79" s="34">
        <f>Mangochi!P79+'Monkey Bay'!P79+Namwera!P79</f>
        <v>0</v>
      </c>
    </row>
    <row r="80" spans="1:16" ht="27" x14ac:dyDescent="0.3">
      <c r="A80" s="305"/>
      <c r="B80" s="23" t="s">
        <v>105</v>
      </c>
      <c r="C80" s="5" t="s">
        <v>3</v>
      </c>
      <c r="D80" s="25">
        <f>Mangochi!D80+'Monkey Bay'!D80+Namwera!D80+Nkhudzi!D80</f>
        <v>0</v>
      </c>
      <c r="E80" s="25">
        <f>Mangochi!E80+'Monkey Bay'!E80+Namwera!E80+Nkhudzi!E80</f>
        <v>0</v>
      </c>
      <c r="F80" s="25">
        <f>Mangochi!F80+'Monkey Bay'!F80+Namwera!F80+Nkhudzi!F80</f>
        <v>0</v>
      </c>
      <c r="G80" s="25">
        <f>Mangochi!G80+'Monkey Bay'!G80+Namwera!G80+Nkhudzi!G80</f>
        <v>0</v>
      </c>
      <c r="H80" s="25">
        <f>Mangochi!H80+'Monkey Bay'!H80+Namwera!H80+Nkhudzi!H80</f>
        <v>0</v>
      </c>
      <c r="I80" s="25">
        <f>Mangochi!I80+'Monkey Bay'!I80+Namwera!I80+Nkhudzi!I80</f>
        <v>0</v>
      </c>
      <c r="J80" s="25">
        <f>Mangochi!J80+'Monkey Bay'!J80+Namwera!J80+Nkhudzi!J80</f>
        <v>0</v>
      </c>
      <c r="K80" s="25">
        <f>Mangochi!K80+'Monkey Bay'!K80+Namwera!K80+Nkhudzi!K80</f>
        <v>0</v>
      </c>
      <c r="L80" s="25">
        <f>Mangochi!L80+'Monkey Bay'!L80+Namwera!L80+Nkhudzi!L80</f>
        <v>0</v>
      </c>
      <c r="M80" s="25">
        <f>Mangochi!M80+'Monkey Bay'!M80+Namwera!M80+Nkhudzi!M80</f>
        <v>0</v>
      </c>
      <c r="N80" s="25">
        <f>Mangochi!N80+'Monkey Bay'!N80+Namwera!N80+Nkhudzi!N80</f>
        <v>0</v>
      </c>
      <c r="O80" s="25">
        <f>Mangochi!O80+'Monkey Bay'!O80+Namwera!O80+Nkhudzi!O80</f>
        <v>0</v>
      </c>
      <c r="P80" s="34">
        <f>Mangochi!P80+'Monkey Bay'!P80+Namwera!P80</f>
        <v>0</v>
      </c>
    </row>
    <row r="81" spans="1:16" s="2" customFormat="1" ht="27" x14ac:dyDescent="0.3">
      <c r="A81" s="305"/>
      <c r="B81" s="23" t="s">
        <v>104</v>
      </c>
      <c r="C81" s="11" t="s">
        <v>3</v>
      </c>
      <c r="D81" s="25">
        <f>Mangochi!D81+'Monkey Bay'!D81+Namwera!D81+Nkhudzi!D81</f>
        <v>1</v>
      </c>
      <c r="E81" s="25">
        <f>Mangochi!E81+'Monkey Bay'!E81+Namwera!E81+Nkhudzi!E81</f>
        <v>1</v>
      </c>
      <c r="F81" s="25">
        <f>Mangochi!F81+'Monkey Bay'!F81+Namwera!F81+Nkhudzi!F81</f>
        <v>0</v>
      </c>
      <c r="G81" s="25">
        <f>Mangochi!G81+'Monkey Bay'!G81+Namwera!G81+Nkhudzi!G81</f>
        <v>0</v>
      </c>
      <c r="H81" s="25">
        <f>Mangochi!H81+'Monkey Bay'!H81+Namwera!H81+Nkhudzi!H81</f>
        <v>0</v>
      </c>
      <c r="I81" s="25">
        <f>Mangochi!I81+'Monkey Bay'!I81+Namwera!I81+Nkhudzi!I81</f>
        <v>0</v>
      </c>
      <c r="J81" s="25">
        <f>Mangochi!J81+'Monkey Bay'!J81+Namwera!J81+Nkhudzi!J81</f>
        <v>0</v>
      </c>
      <c r="K81" s="25">
        <f>Mangochi!K81+'Monkey Bay'!K81+Namwera!K81+Nkhudzi!K81</f>
        <v>0</v>
      </c>
      <c r="L81" s="25">
        <f>Mangochi!L81+'Monkey Bay'!L81+Namwera!L81+Nkhudzi!L81</f>
        <v>0</v>
      </c>
      <c r="M81" s="25">
        <f>Mangochi!M81+'Monkey Bay'!M81+Namwera!M81+Nkhudzi!M81</f>
        <v>0</v>
      </c>
      <c r="N81" s="25">
        <f>Mangochi!N81+'Monkey Bay'!N81+Namwera!N81+Nkhudzi!N81</f>
        <v>0</v>
      </c>
      <c r="O81" s="25">
        <f>Mangochi!O81+'Monkey Bay'!O81+Namwera!O81+Nkhudzi!O81</f>
        <v>0</v>
      </c>
      <c r="P81" s="71">
        <f>Mangochi!P81+'Monkey Bay'!P81+Namwera!P81</f>
        <v>2</v>
      </c>
    </row>
    <row r="82" spans="1:16" s="2" customFormat="1" x14ac:dyDescent="0.3">
      <c r="A82" s="305"/>
      <c r="B82" s="23" t="s">
        <v>190</v>
      </c>
      <c r="C82" s="11" t="s">
        <v>3</v>
      </c>
      <c r="D82" s="4">
        <f>Mangochi!D82+'Monkey Bay'!D82+Namwera!D82+Nkhudzi!D82</f>
        <v>1</v>
      </c>
      <c r="E82" s="4">
        <f>Mangochi!E82+'Monkey Bay'!E82+Namwera!E82+Nkhudzi!E82</f>
        <v>1</v>
      </c>
      <c r="F82" s="4">
        <f>Mangochi!F82+'Monkey Bay'!F82+Namwera!F82+Nkhudzi!F82</f>
        <v>0</v>
      </c>
      <c r="G82" s="4">
        <f>Mangochi!G82+'Monkey Bay'!G82+Namwera!G82+Nkhudzi!G82</f>
        <v>0</v>
      </c>
      <c r="H82" s="4">
        <f>Mangochi!H82+'Monkey Bay'!H82+Namwera!H82+Nkhudzi!H82</f>
        <v>0</v>
      </c>
      <c r="I82" s="4">
        <f>Mangochi!I82+'Monkey Bay'!I82+Namwera!I82+Nkhudzi!I82</f>
        <v>0</v>
      </c>
      <c r="J82" s="4">
        <f>Mangochi!J82+'Monkey Bay'!J82+Namwera!J82+Nkhudzi!J82</f>
        <v>0</v>
      </c>
      <c r="K82" s="4">
        <f>Mangochi!K82+'Monkey Bay'!K82+Namwera!K82+Nkhudzi!K82</f>
        <v>0</v>
      </c>
      <c r="L82" s="4">
        <f>Mangochi!L82+'Monkey Bay'!L82+Namwera!L82+Nkhudzi!L82</f>
        <v>0</v>
      </c>
      <c r="M82" s="4">
        <f>Mangochi!M82+'Monkey Bay'!M82+Namwera!M82+Nkhudzi!M82</f>
        <v>0</v>
      </c>
      <c r="N82" s="4">
        <f>Mangochi!N82+'Monkey Bay'!N82+Namwera!N82+Nkhudzi!N82</f>
        <v>0</v>
      </c>
      <c r="O82" s="4">
        <f>Mangochi!O82+'Monkey Bay'!O82+Namwera!O82+Nkhudzi!O82</f>
        <v>0</v>
      </c>
      <c r="P82" s="99">
        <f>Mangochi!P82+'Monkey Bay'!P82+Namwera!P82</f>
        <v>2</v>
      </c>
    </row>
    <row r="83" spans="1:16" x14ac:dyDescent="0.3">
      <c r="A83" s="306"/>
      <c r="B83" s="36" t="s">
        <v>81</v>
      </c>
      <c r="C83" s="5" t="s">
        <v>3</v>
      </c>
      <c r="D83" s="25">
        <f>Mangochi!D83+'Monkey Bay'!D83+Namwera!D83+Nkhudzi!D83</f>
        <v>21</v>
      </c>
      <c r="E83" s="25">
        <f>Mangochi!E83+'Monkey Bay'!E83+Namwera!E83+Nkhudzi!E83</f>
        <v>21</v>
      </c>
      <c r="F83" s="25">
        <f>Mangochi!F83+'Monkey Bay'!F83+Namwera!F83+Nkhudzi!F83</f>
        <v>0</v>
      </c>
      <c r="G83" s="25">
        <f>Mangochi!G83+'Monkey Bay'!G83+Namwera!G83+Nkhudzi!G83</f>
        <v>0</v>
      </c>
      <c r="H83" s="25">
        <f>Mangochi!H83+'Monkey Bay'!H83+Namwera!H83+Nkhudzi!H83</f>
        <v>0</v>
      </c>
      <c r="I83" s="25">
        <f>Mangochi!I83+'Monkey Bay'!I83+Namwera!I83+Nkhudzi!I83</f>
        <v>0</v>
      </c>
      <c r="J83" s="25">
        <f>Mangochi!J83+'Monkey Bay'!J83+Namwera!J83+Nkhudzi!J83</f>
        <v>0</v>
      </c>
      <c r="K83" s="25">
        <f>Mangochi!K83+'Monkey Bay'!K83+Namwera!K83+Nkhudzi!K83</f>
        <v>0</v>
      </c>
      <c r="L83" s="25">
        <f>Mangochi!L83+'Monkey Bay'!L83+Namwera!L83+Nkhudzi!L83</f>
        <v>0</v>
      </c>
      <c r="M83" s="25">
        <f>Mangochi!M83+'Monkey Bay'!M83+Namwera!M83+Nkhudzi!M83</f>
        <v>0</v>
      </c>
      <c r="N83" s="25">
        <f>Mangochi!N83+'Monkey Bay'!N83+Namwera!N83+Nkhudzi!N83</f>
        <v>0</v>
      </c>
      <c r="O83" s="25">
        <f>Mangochi!O83+'Monkey Bay'!O83+Namwera!O83+Nkhudzi!O83</f>
        <v>0</v>
      </c>
      <c r="P83" s="100">
        <f>Mangochi!P83+'Monkey Bay'!P83+Namwera!P83</f>
        <v>5</v>
      </c>
    </row>
    <row r="84" spans="1:16" x14ac:dyDescent="0.3">
      <c r="A84" s="242" t="s">
        <v>108</v>
      </c>
      <c r="B84" s="36" t="s">
        <v>85</v>
      </c>
      <c r="C84" s="5" t="s">
        <v>3</v>
      </c>
      <c r="D84" s="25">
        <f>Mangochi!D84+'Monkey Bay'!D84+Namwera!D84+Nkhudzi!D84</f>
        <v>10</v>
      </c>
      <c r="E84" s="25">
        <f>Mangochi!E84+'Monkey Bay'!E84+Namwera!E84+Nkhudzi!E84</f>
        <v>10</v>
      </c>
      <c r="F84" s="25">
        <f>Mangochi!F84+'Monkey Bay'!F84+Namwera!F84+Nkhudzi!F84</f>
        <v>0</v>
      </c>
      <c r="G84" s="25">
        <f>Mangochi!G84+'Monkey Bay'!G84+Namwera!G84+Nkhudzi!G84</f>
        <v>0</v>
      </c>
      <c r="H84" s="25">
        <f>Mangochi!H84+'Monkey Bay'!H84+Namwera!H84+Nkhudzi!H84</f>
        <v>0</v>
      </c>
      <c r="I84" s="25">
        <f>Mangochi!I84+'Monkey Bay'!I84+Namwera!I84+Nkhudzi!I84</f>
        <v>0</v>
      </c>
      <c r="J84" s="25">
        <f>Mangochi!J84+'Monkey Bay'!J84+Namwera!J84+Nkhudzi!J84</f>
        <v>0</v>
      </c>
      <c r="K84" s="25">
        <f>Mangochi!K84+'Monkey Bay'!K84+Namwera!K84+Nkhudzi!K84</f>
        <v>0</v>
      </c>
      <c r="L84" s="25">
        <f>Mangochi!L84+'Monkey Bay'!L84+Namwera!L84+Nkhudzi!L84</f>
        <v>0</v>
      </c>
      <c r="M84" s="25">
        <f>Mangochi!M84+'Monkey Bay'!M84+Namwera!M84+Nkhudzi!M84</f>
        <v>0</v>
      </c>
      <c r="N84" s="25">
        <f>Mangochi!N84+'Monkey Bay'!N84+Namwera!N84+Nkhudzi!N84</f>
        <v>0</v>
      </c>
      <c r="O84" s="25">
        <f>Mangochi!O84+'Monkey Bay'!O84+Namwera!O84+Nkhudzi!O84</f>
        <v>0</v>
      </c>
      <c r="P84" s="34">
        <f>Mangochi!P84+'Monkey Bay'!P84+Namwera!P84</f>
        <v>10</v>
      </c>
    </row>
    <row r="85" spans="1:16" x14ac:dyDescent="0.3">
      <c r="A85" s="243"/>
      <c r="B85" s="36" t="s">
        <v>106</v>
      </c>
      <c r="C85" s="5" t="s">
        <v>3</v>
      </c>
      <c r="D85" s="25">
        <f>Mangochi!D85+'Monkey Bay'!D85+Namwera!D85+Nkhudzi!D85</f>
        <v>0</v>
      </c>
      <c r="E85" s="25">
        <f>Mangochi!E85+'Monkey Bay'!E85+Namwera!E85+Nkhudzi!E85</f>
        <v>0</v>
      </c>
      <c r="F85" s="25">
        <f>Mangochi!F85+'Monkey Bay'!F85+Namwera!F85+Nkhudzi!F85</f>
        <v>0</v>
      </c>
      <c r="G85" s="25">
        <f>Mangochi!G85+'Monkey Bay'!G85+Namwera!G85+Nkhudzi!G85</f>
        <v>0</v>
      </c>
      <c r="H85" s="25">
        <f>Mangochi!H85+'Monkey Bay'!H85+Namwera!H85+Nkhudzi!H85</f>
        <v>0</v>
      </c>
      <c r="I85" s="25">
        <f>Mangochi!I85+'Monkey Bay'!I85+Namwera!I85+Nkhudzi!I85</f>
        <v>0</v>
      </c>
      <c r="J85" s="25">
        <f>Mangochi!J85+'Monkey Bay'!J85+Namwera!J85+Nkhudzi!J85</f>
        <v>0</v>
      </c>
      <c r="K85" s="25">
        <f>Mangochi!K85+'Monkey Bay'!K85+Namwera!K85+Nkhudzi!K85</f>
        <v>0</v>
      </c>
      <c r="L85" s="25">
        <f>Mangochi!L85+'Monkey Bay'!L85+Namwera!L85+Nkhudzi!L85</f>
        <v>0</v>
      </c>
      <c r="M85" s="25">
        <f>Mangochi!M85+'Monkey Bay'!M85+Namwera!M85+Nkhudzi!M85</f>
        <v>0</v>
      </c>
      <c r="N85" s="25">
        <f>Mangochi!N85+'Monkey Bay'!N85+Namwera!N85+Nkhudzi!N85</f>
        <v>0</v>
      </c>
      <c r="O85" s="25">
        <f>Mangochi!O85+'Monkey Bay'!O85+Namwera!O85+Nkhudzi!O85</f>
        <v>0</v>
      </c>
      <c r="P85" s="34">
        <f>Mangochi!P85+'Monkey Bay'!P85+Namwera!P85</f>
        <v>0</v>
      </c>
    </row>
    <row r="86" spans="1:16" ht="27" x14ac:dyDescent="0.3">
      <c r="A86" s="243"/>
      <c r="B86" s="36" t="s">
        <v>105</v>
      </c>
      <c r="C86" s="5" t="s">
        <v>3</v>
      </c>
      <c r="D86" s="25">
        <f>Mangochi!D86+'Monkey Bay'!D86+Namwera!D86+Nkhudzi!D86</f>
        <v>0</v>
      </c>
      <c r="E86" s="25">
        <f>Mangochi!E86+'Monkey Bay'!E86+Namwera!E86+Nkhudzi!E86</f>
        <v>0</v>
      </c>
      <c r="F86" s="25">
        <f>Mangochi!F86+'Monkey Bay'!F86+Namwera!F86+Nkhudzi!F86</f>
        <v>0</v>
      </c>
      <c r="G86" s="25">
        <f>Mangochi!G86+'Monkey Bay'!G86+Namwera!G86+Nkhudzi!G86</f>
        <v>0</v>
      </c>
      <c r="H86" s="25">
        <f>Mangochi!H86+'Monkey Bay'!H86+Namwera!H86+Nkhudzi!H86</f>
        <v>0</v>
      </c>
      <c r="I86" s="25">
        <f>Mangochi!I86+'Monkey Bay'!I86+Namwera!I86+Nkhudzi!I86</f>
        <v>0</v>
      </c>
      <c r="J86" s="25">
        <f>Mangochi!J86+'Monkey Bay'!J86+Namwera!J86+Nkhudzi!J86</f>
        <v>0</v>
      </c>
      <c r="K86" s="25">
        <f>Mangochi!K86+'Monkey Bay'!K86+Namwera!K86+Nkhudzi!K86</f>
        <v>0</v>
      </c>
      <c r="L86" s="25">
        <f>Mangochi!L86+'Monkey Bay'!L86+Namwera!L86+Nkhudzi!L86</f>
        <v>0</v>
      </c>
      <c r="M86" s="25">
        <f>Mangochi!M86+'Monkey Bay'!M86+Namwera!M86+Nkhudzi!M86</f>
        <v>0</v>
      </c>
      <c r="N86" s="25">
        <f>Mangochi!N86+'Monkey Bay'!N86+Namwera!N86+Nkhudzi!N86</f>
        <v>0</v>
      </c>
      <c r="O86" s="25">
        <f>Mangochi!O86+'Monkey Bay'!O86+Namwera!O86+Nkhudzi!O86</f>
        <v>0</v>
      </c>
      <c r="P86" s="34">
        <f>Mangochi!P86+'Monkey Bay'!P86+Namwera!P86</f>
        <v>0</v>
      </c>
    </row>
    <row r="87" spans="1:16" s="2" customFormat="1" ht="27" x14ac:dyDescent="0.3">
      <c r="A87" s="243"/>
      <c r="B87" s="23" t="s">
        <v>104</v>
      </c>
      <c r="C87" s="11" t="s">
        <v>3</v>
      </c>
      <c r="D87" s="25">
        <f>Mangochi!D87+'Monkey Bay'!D87+Namwera!D87+Nkhudzi!D87</f>
        <v>0</v>
      </c>
      <c r="E87" s="25">
        <f>Mangochi!E87+'Monkey Bay'!E87+Namwera!E87+Nkhudzi!E87</f>
        <v>1</v>
      </c>
      <c r="F87" s="25">
        <f>Mangochi!F87+'Monkey Bay'!F87+Namwera!F87+Nkhudzi!F87</f>
        <v>0</v>
      </c>
      <c r="G87" s="25">
        <f>Mangochi!G87+'Monkey Bay'!G87+Namwera!G87+Nkhudzi!G87</f>
        <v>0</v>
      </c>
      <c r="H87" s="25">
        <f>Mangochi!H87+'Monkey Bay'!H87+Namwera!H87+Nkhudzi!H87</f>
        <v>0</v>
      </c>
      <c r="I87" s="25">
        <f>Mangochi!I87+'Monkey Bay'!I87+Namwera!I87+Nkhudzi!I87</f>
        <v>0</v>
      </c>
      <c r="J87" s="25">
        <f>Mangochi!J87+'Monkey Bay'!J87+Namwera!J87+Nkhudzi!J87</f>
        <v>0</v>
      </c>
      <c r="K87" s="25">
        <f>Mangochi!K87+'Monkey Bay'!K87+Namwera!K87+Nkhudzi!K87</f>
        <v>0</v>
      </c>
      <c r="L87" s="25">
        <f>Mangochi!L87+'Monkey Bay'!L87+Namwera!L87+Nkhudzi!L87</f>
        <v>0</v>
      </c>
      <c r="M87" s="25">
        <f>Mangochi!M87+'Monkey Bay'!M87+Namwera!M87+Nkhudzi!M87</f>
        <v>0</v>
      </c>
      <c r="N87" s="25">
        <f>Mangochi!N87+'Monkey Bay'!N87+Namwera!N87+Nkhudzi!N87</f>
        <v>0</v>
      </c>
      <c r="O87" s="25">
        <f>Mangochi!O87+'Monkey Bay'!O87+Namwera!O87+Nkhudzi!O87</f>
        <v>0</v>
      </c>
      <c r="P87" s="71">
        <f>Mangochi!P87+'Monkey Bay'!P87+Namwera!P87</f>
        <v>1</v>
      </c>
    </row>
    <row r="88" spans="1:16" s="2" customFormat="1" x14ac:dyDescent="0.3">
      <c r="A88" s="243"/>
      <c r="B88" s="23" t="s">
        <v>190</v>
      </c>
      <c r="C88" s="11" t="s">
        <v>3</v>
      </c>
      <c r="D88" s="4">
        <f>Mangochi!D88+'Monkey Bay'!D88+Namwera!D88+Nkhudzi!D88</f>
        <v>0</v>
      </c>
      <c r="E88" s="4">
        <f>Mangochi!E88+'Monkey Bay'!E88+Namwera!E88+Nkhudzi!E88</f>
        <v>1</v>
      </c>
      <c r="F88" s="4">
        <f>Mangochi!F88+'Monkey Bay'!F88+Namwera!F88+Nkhudzi!F88</f>
        <v>0</v>
      </c>
      <c r="G88" s="4">
        <f>Mangochi!G88+'Monkey Bay'!G88+Namwera!G88+Nkhudzi!G88</f>
        <v>0</v>
      </c>
      <c r="H88" s="4">
        <f>Mangochi!H88+'Monkey Bay'!H88+Namwera!H88+Nkhudzi!H88</f>
        <v>0</v>
      </c>
      <c r="I88" s="4">
        <f>Mangochi!I88+'Monkey Bay'!I88+Namwera!I88+Nkhudzi!I88</f>
        <v>0</v>
      </c>
      <c r="J88" s="4">
        <f>Mangochi!J88+'Monkey Bay'!J88+Namwera!J88+Nkhudzi!J88</f>
        <v>0</v>
      </c>
      <c r="K88" s="4">
        <f>Mangochi!K88+'Monkey Bay'!K88+Namwera!K88+Nkhudzi!K88</f>
        <v>0</v>
      </c>
      <c r="L88" s="4">
        <f>Mangochi!L88+'Monkey Bay'!L88+Namwera!L88+Nkhudzi!L88</f>
        <v>0</v>
      </c>
      <c r="M88" s="4">
        <f>Mangochi!M88+'Monkey Bay'!M88+Namwera!M88+Nkhudzi!M88</f>
        <v>0</v>
      </c>
      <c r="N88" s="4">
        <f>Mangochi!N88+'Monkey Bay'!N88+Namwera!N88+Nkhudzi!N88</f>
        <v>0</v>
      </c>
      <c r="O88" s="4">
        <f>Mangochi!O88+'Monkey Bay'!O88+Namwera!O88+Nkhudzi!O88</f>
        <v>0</v>
      </c>
      <c r="P88" s="71">
        <f>Mangochi!P88+'Monkey Bay'!P88+Namwera!P88</f>
        <v>1</v>
      </c>
    </row>
    <row r="89" spans="1:16" x14ac:dyDescent="0.3">
      <c r="A89" s="244"/>
      <c r="B89" s="35" t="s">
        <v>81</v>
      </c>
      <c r="C89" s="5" t="s">
        <v>3</v>
      </c>
      <c r="D89" s="25">
        <f>Mangochi!D89+'Monkey Bay'!D89+Namwera!D89+Nkhudzi!D89</f>
        <v>10</v>
      </c>
      <c r="E89" s="25">
        <f>Mangochi!E89+'Monkey Bay'!E89+Namwera!E89+Nkhudzi!E89</f>
        <v>9</v>
      </c>
      <c r="F89" s="25">
        <f>Mangochi!F89+'Monkey Bay'!F89+Namwera!F89+Nkhudzi!F89</f>
        <v>0</v>
      </c>
      <c r="G89" s="25">
        <f>Mangochi!G89+'Monkey Bay'!G89+Namwera!G89+Nkhudzi!G89</f>
        <v>0</v>
      </c>
      <c r="H89" s="25">
        <f>Mangochi!H89+'Monkey Bay'!H89+Namwera!H89+Nkhudzi!H89</f>
        <v>0</v>
      </c>
      <c r="I89" s="25">
        <f>Mangochi!I89+'Monkey Bay'!I89+Namwera!I89+Nkhudzi!I89</f>
        <v>0</v>
      </c>
      <c r="J89" s="25">
        <f>Mangochi!J89+'Monkey Bay'!J89+Namwera!J89+Nkhudzi!J89</f>
        <v>0</v>
      </c>
      <c r="K89" s="25">
        <f>Mangochi!K89+'Monkey Bay'!K89+Namwera!K89+Nkhudzi!K89</f>
        <v>0</v>
      </c>
      <c r="L89" s="25">
        <f>Mangochi!L89+'Monkey Bay'!L89+Namwera!L89+Nkhudzi!L89</f>
        <v>0</v>
      </c>
      <c r="M89" s="25">
        <f>Mangochi!M89+'Monkey Bay'!M89+Namwera!M89+Nkhudzi!M89</f>
        <v>0</v>
      </c>
      <c r="N89" s="25">
        <f>Mangochi!N89+'Monkey Bay'!N89+Namwera!N89+Nkhudzi!N89</f>
        <v>0</v>
      </c>
      <c r="O89" s="25">
        <f>Mangochi!O89+'Monkey Bay'!O89+Namwera!O89+Nkhudzi!O89</f>
        <v>0</v>
      </c>
      <c r="P89" s="100">
        <f>Mangochi!P89+'Monkey Bay'!P89+Namwera!P89</f>
        <v>9</v>
      </c>
    </row>
    <row r="90" spans="1:16" x14ac:dyDescent="0.3">
      <c r="A90" s="245" t="s">
        <v>107</v>
      </c>
      <c r="B90" s="23" t="s">
        <v>85</v>
      </c>
      <c r="C90" s="11" t="s">
        <v>3</v>
      </c>
      <c r="D90" s="125">
        <f>Mangochi!D90+'Monkey Bay'!D90+Namwera!D90+Nkhudzi!D90</f>
        <v>5111</v>
      </c>
      <c r="E90" s="125">
        <f>Mangochi!E90+'Monkey Bay'!E90+Namwera!E90+Nkhudzi!E90</f>
        <v>5114</v>
      </c>
      <c r="F90" s="125">
        <f>Mangochi!F90+'Monkey Bay'!F90+Namwera!F90+Nkhudzi!F90</f>
        <v>0</v>
      </c>
      <c r="G90" s="125">
        <f>Mangochi!G90+'Monkey Bay'!G90+Namwera!G90+Nkhudzi!G90</f>
        <v>0</v>
      </c>
      <c r="H90" s="125">
        <f>Mangochi!H90+'Monkey Bay'!H90+Namwera!H90+Nkhudzi!H90</f>
        <v>0</v>
      </c>
      <c r="I90" s="125">
        <f>Mangochi!I90+'Monkey Bay'!I90+Namwera!I90+Nkhudzi!I90</f>
        <v>0</v>
      </c>
      <c r="J90" s="125">
        <f>Mangochi!J90+'Monkey Bay'!J90+Namwera!J90+Nkhudzi!J90</f>
        <v>0</v>
      </c>
      <c r="K90" s="125">
        <f>Mangochi!K90+'Monkey Bay'!K90+Namwera!K90+Nkhudzi!K90</f>
        <v>0</v>
      </c>
      <c r="L90" s="125">
        <f>Mangochi!L90+'Monkey Bay'!L90+Namwera!L90+Nkhudzi!L90</f>
        <v>0</v>
      </c>
      <c r="M90" s="125">
        <f>Mangochi!M90+'Monkey Bay'!M90+Namwera!M90+Nkhudzi!M90</f>
        <v>0</v>
      </c>
      <c r="N90" s="125">
        <f>Mangochi!N90+'Monkey Bay'!N90+Namwera!N90+Nkhudzi!N90</f>
        <v>0</v>
      </c>
      <c r="O90" s="125">
        <f>Mangochi!O90+'Monkey Bay'!O90+Namwera!O90+Nkhudzi!O90</f>
        <v>0</v>
      </c>
      <c r="P90" s="34">
        <f>Mangochi!P90+'Monkey Bay'!P90+Namwera!P90</f>
        <v>2152</v>
      </c>
    </row>
    <row r="91" spans="1:16" x14ac:dyDescent="0.3">
      <c r="A91" s="246"/>
      <c r="B91" s="23" t="s">
        <v>106</v>
      </c>
      <c r="C91" s="11" t="s">
        <v>3</v>
      </c>
      <c r="D91" s="125">
        <f>Mangochi!D91+'Monkey Bay'!D91+Namwera!D91+Nkhudzi!D91</f>
        <v>185</v>
      </c>
      <c r="E91" s="125">
        <f>Mangochi!E91+'Monkey Bay'!E91+Namwera!E91+Nkhudzi!E91</f>
        <v>202</v>
      </c>
      <c r="F91" s="125">
        <f>Mangochi!F91+'Monkey Bay'!F91+Namwera!F91+Nkhudzi!F91</f>
        <v>0</v>
      </c>
      <c r="G91" s="125">
        <f>Mangochi!G91+'Monkey Bay'!G91+Namwera!G91+Nkhudzi!G91</f>
        <v>0</v>
      </c>
      <c r="H91" s="125">
        <f>Mangochi!H91+'Monkey Bay'!H91+Namwera!H91+Nkhudzi!H91</f>
        <v>0</v>
      </c>
      <c r="I91" s="125">
        <f>Mangochi!I91+'Monkey Bay'!I91+Namwera!I91+Nkhudzi!I91</f>
        <v>0</v>
      </c>
      <c r="J91" s="125">
        <f>Mangochi!J91+'Monkey Bay'!J91+Namwera!J91+Nkhudzi!J91</f>
        <v>0</v>
      </c>
      <c r="K91" s="125">
        <f>Mangochi!K91+'Monkey Bay'!K91+Namwera!K91+Nkhudzi!K91</f>
        <v>0</v>
      </c>
      <c r="L91" s="125">
        <f>Mangochi!L91+'Monkey Bay'!L91+Namwera!L91+Nkhudzi!L91</f>
        <v>0</v>
      </c>
      <c r="M91" s="125">
        <f>Mangochi!M91+'Monkey Bay'!M91+Namwera!M91+Nkhudzi!M91</f>
        <v>0</v>
      </c>
      <c r="N91" s="125">
        <f>Mangochi!N91+'Monkey Bay'!N91+Namwera!N91+Nkhudzi!N91</f>
        <v>0</v>
      </c>
      <c r="O91" s="125">
        <f>Mangochi!O91+'Monkey Bay'!O91+Namwera!O91+Nkhudzi!O91</f>
        <v>0</v>
      </c>
      <c r="P91" s="34">
        <f>Mangochi!P91+'Monkey Bay'!P91+Namwera!P91</f>
        <v>327</v>
      </c>
    </row>
    <row r="92" spans="1:16" ht="27" x14ac:dyDescent="0.3">
      <c r="A92" s="246"/>
      <c r="B92" s="23" t="s">
        <v>105</v>
      </c>
      <c r="C92" s="11" t="s">
        <v>3</v>
      </c>
      <c r="D92" s="125">
        <f>Mangochi!D92+'Monkey Bay'!D92+Namwera!D92+Nkhudzi!D92</f>
        <v>0</v>
      </c>
      <c r="E92" s="125">
        <f>Mangochi!E92+'Monkey Bay'!E92+Namwera!E92+Nkhudzi!E92</f>
        <v>0</v>
      </c>
      <c r="F92" s="125">
        <f>Mangochi!F92+'Monkey Bay'!F92+Namwera!F92+Nkhudzi!F92</f>
        <v>0</v>
      </c>
      <c r="G92" s="125">
        <f>Mangochi!G92+'Monkey Bay'!G92+Namwera!G92+Nkhudzi!G92</f>
        <v>0</v>
      </c>
      <c r="H92" s="125">
        <f>Mangochi!H92+'Monkey Bay'!H92+Namwera!H92+Nkhudzi!H92</f>
        <v>0</v>
      </c>
      <c r="I92" s="125">
        <f>Mangochi!I92+'Monkey Bay'!I92+Namwera!I92+Nkhudzi!I92</f>
        <v>0</v>
      </c>
      <c r="J92" s="125">
        <f>Mangochi!J92+'Monkey Bay'!J92+Namwera!J92+Nkhudzi!J92</f>
        <v>0</v>
      </c>
      <c r="K92" s="125">
        <f>Mangochi!K92+'Monkey Bay'!K92+Namwera!K92+Nkhudzi!K92</f>
        <v>0</v>
      </c>
      <c r="L92" s="125">
        <f>Mangochi!L92+'Monkey Bay'!L92+Namwera!L92+Nkhudzi!L92</f>
        <v>0</v>
      </c>
      <c r="M92" s="125">
        <f>Mangochi!M92+'Monkey Bay'!M92+Namwera!M92+Nkhudzi!M92</f>
        <v>0</v>
      </c>
      <c r="N92" s="125">
        <f>Mangochi!N92+'Monkey Bay'!N92+Namwera!N92+Nkhudzi!N92</f>
        <v>0</v>
      </c>
      <c r="O92" s="125">
        <f>Mangochi!O92+'Monkey Bay'!O92+Namwera!O92+Nkhudzi!O92</f>
        <v>0</v>
      </c>
      <c r="P92" s="34">
        <f>Mangochi!P92+'Monkey Bay'!P92+Namwera!P92</f>
        <v>0</v>
      </c>
    </row>
    <row r="93" spans="1:16" s="2" customFormat="1" ht="27" x14ac:dyDescent="0.3">
      <c r="A93" s="246"/>
      <c r="B93" s="23" t="s">
        <v>104</v>
      </c>
      <c r="C93" s="11"/>
      <c r="D93" s="125">
        <f>Mangochi!D93+'Monkey Bay'!D93+Namwera!D93+Nkhudzi!D93</f>
        <v>190</v>
      </c>
      <c r="E93" s="125">
        <f>Mangochi!E93+'Monkey Bay'!E93+Namwera!E93+Nkhudzi!E93</f>
        <v>199</v>
      </c>
      <c r="F93" s="125">
        <f>Mangochi!F93+'Monkey Bay'!F93+Namwera!F93+Nkhudzi!F93</f>
        <v>0</v>
      </c>
      <c r="G93" s="125">
        <f>Mangochi!G93+'Monkey Bay'!G93+Namwera!G93+Nkhudzi!G93</f>
        <v>0</v>
      </c>
      <c r="H93" s="125">
        <f>Mangochi!H93+'Monkey Bay'!H93+Namwera!H93+Nkhudzi!H93</f>
        <v>0</v>
      </c>
      <c r="I93" s="125">
        <f>Mangochi!I93+'Monkey Bay'!I93+Namwera!I93+Nkhudzi!I93</f>
        <v>0</v>
      </c>
      <c r="J93" s="125">
        <f>Mangochi!J93+'Monkey Bay'!J93+Namwera!J93+Nkhudzi!J93</f>
        <v>0</v>
      </c>
      <c r="K93" s="125">
        <f>Mangochi!K93+'Monkey Bay'!K93+Namwera!K93+Nkhudzi!K93</f>
        <v>0</v>
      </c>
      <c r="L93" s="125">
        <f>Mangochi!L93+'Monkey Bay'!L93+Namwera!L93+Nkhudzi!L93</f>
        <v>0</v>
      </c>
      <c r="M93" s="125">
        <f>Mangochi!M93+'Monkey Bay'!M93+Namwera!M93+Nkhudzi!M93</f>
        <v>0</v>
      </c>
      <c r="N93" s="125">
        <f>Mangochi!N93+'Monkey Bay'!N93+Namwera!N93+Nkhudzi!N93</f>
        <v>0</v>
      </c>
      <c r="O93" s="125">
        <f>Mangochi!O93+'Monkey Bay'!O93+Namwera!O93+Nkhudzi!O93</f>
        <v>0</v>
      </c>
      <c r="P93" s="34">
        <f>Mangochi!P93+'Monkey Bay'!P93+Namwera!P93</f>
        <v>303</v>
      </c>
    </row>
    <row r="94" spans="1:16" s="2" customFormat="1" x14ac:dyDescent="0.3">
      <c r="A94" s="246"/>
      <c r="B94" s="23" t="s">
        <v>190</v>
      </c>
      <c r="C94" s="11" t="s">
        <v>3</v>
      </c>
      <c r="D94" s="126">
        <f>Mangochi!D94+'Monkey Bay'!D94+Namwera!D94+Nkhudzi!D94</f>
        <v>190</v>
      </c>
      <c r="E94" s="126">
        <f>Mangochi!E94+'Monkey Bay'!E94+Namwera!E94+Nkhudzi!E94</f>
        <v>199</v>
      </c>
      <c r="F94" s="126">
        <f>Mangochi!F94+'Monkey Bay'!F94+Namwera!F94+Nkhudzi!F94</f>
        <v>0</v>
      </c>
      <c r="G94" s="126">
        <f>Mangochi!G94+'Monkey Bay'!G94+Namwera!G94+Nkhudzi!G94</f>
        <v>0</v>
      </c>
      <c r="H94" s="126">
        <f>Mangochi!H94+'Monkey Bay'!H94+Namwera!H94+Nkhudzi!H94</f>
        <v>0</v>
      </c>
      <c r="I94" s="126">
        <f>Mangochi!I94+'Monkey Bay'!I94+Namwera!I94+Nkhudzi!I94</f>
        <v>0</v>
      </c>
      <c r="J94" s="126">
        <f>Mangochi!J94+'Monkey Bay'!J94+Namwera!J94+Nkhudzi!J94</f>
        <v>0</v>
      </c>
      <c r="K94" s="126">
        <f>Mangochi!K94+'Monkey Bay'!K94+Namwera!K94+Nkhudzi!K94</f>
        <v>0</v>
      </c>
      <c r="L94" s="126">
        <f>Mangochi!L94+'Monkey Bay'!L94+Namwera!L94+Nkhudzi!L94</f>
        <v>0</v>
      </c>
      <c r="M94" s="126">
        <f>Mangochi!M94+'Monkey Bay'!M94+Namwera!M94+Nkhudzi!M94</f>
        <v>0</v>
      </c>
      <c r="N94" s="126">
        <f>Mangochi!N94+'Monkey Bay'!N94+Namwera!N94+Nkhudzi!N94</f>
        <v>0</v>
      </c>
      <c r="O94" s="126">
        <f>Mangochi!O94+'Monkey Bay'!O94+Namwera!O94+Nkhudzi!O94</f>
        <v>0</v>
      </c>
      <c r="P94" s="133">
        <f>Mangochi!P94+'Monkey Bay'!P94+Namwera!P94</f>
        <v>303</v>
      </c>
    </row>
    <row r="95" spans="1:16" ht="16.2" thickBot="1" x14ac:dyDescent="0.35">
      <c r="A95" s="247"/>
      <c r="B95" s="23" t="s">
        <v>81</v>
      </c>
      <c r="C95" s="11" t="s">
        <v>3</v>
      </c>
      <c r="D95" s="127">
        <f>Mangochi!D95+'Monkey Bay'!D95+Namwera!D95+Nkhudzi!D95</f>
        <v>5106</v>
      </c>
      <c r="E95" s="127">
        <f>Mangochi!E95+'Monkey Bay'!E95+Namwera!E95+Nkhudzi!E95</f>
        <v>5117</v>
      </c>
      <c r="F95" s="127">
        <f>Mangochi!F95+'Monkey Bay'!F95+Namwera!F95+Nkhudzi!F95</f>
        <v>0</v>
      </c>
      <c r="G95" s="127">
        <f>Mangochi!G95+'Monkey Bay'!G95+Namwera!G95+Nkhudzi!G95</f>
        <v>0</v>
      </c>
      <c r="H95" s="127">
        <f>Mangochi!H95+'Monkey Bay'!H95+Namwera!H95+Nkhudzi!H95</f>
        <v>0</v>
      </c>
      <c r="I95" s="127">
        <f>Mangochi!I95+'Monkey Bay'!I95+Namwera!I95+Nkhudzi!I95</f>
        <v>0</v>
      </c>
      <c r="J95" s="127">
        <f>Mangochi!J95+'Monkey Bay'!J95+Namwera!J95+Nkhudzi!J95</f>
        <v>0</v>
      </c>
      <c r="K95" s="127">
        <f>Mangochi!K95+'Monkey Bay'!K95+Namwera!K95+Nkhudzi!K95</f>
        <v>0</v>
      </c>
      <c r="L95" s="127">
        <f>Mangochi!L95+'Monkey Bay'!L95+Namwera!L95+Nkhudzi!L95</f>
        <v>0</v>
      </c>
      <c r="M95" s="127">
        <f>Mangochi!M95+'Monkey Bay'!M95+Namwera!M95+Nkhudzi!M95</f>
        <v>0</v>
      </c>
      <c r="N95" s="127">
        <f>Mangochi!N95+'Monkey Bay'!N95+Namwera!N95+Nkhudzi!N95</f>
        <v>0</v>
      </c>
      <c r="O95" s="127">
        <f>Mangochi!O95+'Monkey Bay'!O95+Namwera!O95+Nkhudzi!O95</f>
        <v>0</v>
      </c>
      <c r="P95" s="134">
        <f>Mangochi!P95+'Monkey Bay'!P95+Namwera!P95</f>
        <v>2176</v>
      </c>
    </row>
    <row r="96" spans="1:16" ht="16.2" thickBot="1" x14ac:dyDescent="0.35">
      <c r="A96" s="84"/>
      <c r="B96" s="66"/>
      <c r="C96" s="67"/>
      <c r="D96" s="64"/>
      <c r="E96" s="64"/>
      <c r="F96" s="64"/>
      <c r="G96" s="64"/>
      <c r="H96" s="64"/>
      <c r="I96" s="64"/>
      <c r="J96" s="65"/>
      <c r="K96" s="65"/>
      <c r="L96" s="65"/>
      <c r="M96" s="65">
        <f>Mangochi!M96+'Monkey Bay'!M96+Namwera!M96+Nkhudzi!M96</f>
        <v>0</v>
      </c>
      <c r="N96" s="65">
        <f>Mangochi!N96+'Monkey Bay'!N96+Namwera!N96+Nkhudzi!N96</f>
        <v>0</v>
      </c>
      <c r="O96" s="65">
        <f>Mangochi!O96+'Monkey Bay'!O96+Namwera!O96+Nkhudzi!O96</f>
        <v>0</v>
      </c>
      <c r="P96" s="101"/>
    </row>
    <row r="97" spans="1:16" s="2" customFormat="1" ht="15.75" customHeight="1" thickBot="1" x14ac:dyDescent="0.35">
      <c r="A97" s="248" t="s">
        <v>191</v>
      </c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50"/>
    </row>
    <row r="98" spans="1:16" x14ac:dyDescent="0.3">
      <c r="A98" s="85" t="s">
        <v>192</v>
      </c>
      <c r="B98" s="68"/>
      <c r="C98" s="11" t="s">
        <v>3</v>
      </c>
      <c r="D98" s="25">
        <f>Mangochi!D98+'Monkey Bay'!D98+Namwera!D98+Nkhudzi!D98</f>
        <v>190</v>
      </c>
      <c r="E98" s="25">
        <f>Mangochi!E98+'Monkey Bay'!E98+Namwera!E98+Nkhudzi!E98</f>
        <v>199</v>
      </c>
      <c r="F98" s="25">
        <f>Mangochi!F98+'Monkey Bay'!F98+Namwera!F98+Nkhudzi!F98</f>
        <v>0</v>
      </c>
      <c r="G98" s="25">
        <f>Mangochi!G98+'Monkey Bay'!G98+Namwera!G98+Nkhudzi!G98</f>
        <v>0</v>
      </c>
      <c r="H98" s="25">
        <f>Mangochi!H98+'Monkey Bay'!H98+Namwera!H98+Nkhudzi!H98</f>
        <v>0</v>
      </c>
      <c r="I98" s="25">
        <f>Mangochi!I98+'Monkey Bay'!I98+Namwera!I98+Nkhudzi!I98</f>
        <v>0</v>
      </c>
      <c r="J98" s="25">
        <f>Mangochi!J98+'Monkey Bay'!J98+Namwera!J98+Nkhudzi!J98</f>
        <v>0</v>
      </c>
      <c r="K98" s="25">
        <f>Mangochi!K98+'Monkey Bay'!K98+Namwera!K98+Nkhudzi!K98</f>
        <v>0</v>
      </c>
      <c r="L98" s="25">
        <f>Mangochi!L98+'Monkey Bay'!L98+Namwera!L98+Nkhudzi!L98</f>
        <v>0</v>
      </c>
      <c r="M98" s="25">
        <f>Mangochi!M98+'Monkey Bay'!M98+Namwera!M98+Nkhudzi!M98</f>
        <v>0</v>
      </c>
      <c r="N98" s="25">
        <f>Mangochi!N98+'Monkey Bay'!N98+Namwera!N98+Nkhudzi!N98</f>
        <v>0</v>
      </c>
      <c r="O98" s="25">
        <f>Mangochi!O98+'Monkey Bay'!O98+Namwera!O98+Nkhudzi!O98</f>
        <v>0</v>
      </c>
      <c r="P98" s="102">
        <f>SUM(D98:O98)</f>
        <v>389</v>
      </c>
    </row>
    <row r="99" spans="1:16" x14ac:dyDescent="0.3">
      <c r="A99" s="85"/>
      <c r="B99" s="23"/>
      <c r="C99" s="11"/>
      <c r="D99" s="64"/>
      <c r="E99" s="64"/>
      <c r="F99" s="64"/>
      <c r="G99" s="64"/>
      <c r="H99" s="64"/>
      <c r="I99" s="64"/>
      <c r="J99" s="65"/>
      <c r="K99" s="65"/>
      <c r="L99" s="65"/>
      <c r="M99" s="65"/>
      <c r="N99" s="65"/>
      <c r="O99" s="65"/>
      <c r="P99" s="101"/>
    </row>
    <row r="100" spans="1:16" s="2" customFormat="1" ht="14.4" x14ac:dyDescent="0.3">
      <c r="A100" s="253" t="s">
        <v>103</v>
      </c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5"/>
    </row>
    <row r="101" spans="1:16" x14ac:dyDescent="0.3">
      <c r="A101" s="212" t="s">
        <v>102</v>
      </c>
      <c r="B101" s="213"/>
      <c r="C101" s="11" t="s">
        <v>3</v>
      </c>
      <c r="D101" s="25">
        <f>Mangochi!D101+'Monkey Bay'!D101+Namwera!D101+Nkhudzi!D101</f>
        <v>2724</v>
      </c>
      <c r="E101" s="25">
        <f>Mangochi!E101+'Monkey Bay'!E101+Namwera!E101+Nkhudzi!E101</f>
        <v>2662</v>
      </c>
      <c r="F101" s="25">
        <f>Mangochi!F101+'Monkey Bay'!F101+Namwera!F101+Nkhudzi!F101</f>
        <v>0</v>
      </c>
      <c r="G101" s="25">
        <f>Mangochi!G101+'Monkey Bay'!G101+Namwera!G101+Nkhudzi!G101</f>
        <v>0</v>
      </c>
      <c r="H101" s="25">
        <f>Mangochi!H101+'Monkey Bay'!H101+Namwera!H101+Nkhudzi!H101</f>
        <v>0</v>
      </c>
      <c r="I101" s="25">
        <f>Mangochi!I101+'Monkey Bay'!I101+Namwera!I101+Nkhudzi!I101</f>
        <v>0</v>
      </c>
      <c r="J101" s="25">
        <f>Mangochi!J101+'Monkey Bay'!J101+Namwera!J101+Nkhudzi!J101</f>
        <v>0</v>
      </c>
      <c r="K101" s="25">
        <f>Mangochi!K101+'Monkey Bay'!K101+Namwera!K101+Nkhudzi!K101</f>
        <v>0</v>
      </c>
      <c r="L101" s="25">
        <f>Mangochi!L101+'Monkey Bay'!L101+Namwera!L101+Nkhudzi!L101</f>
        <v>0</v>
      </c>
      <c r="M101" s="25">
        <f>Mangochi!M101+'Monkey Bay'!M101+Namwera!M101+Nkhudzi!M101</f>
        <v>0</v>
      </c>
      <c r="N101" s="25">
        <f>Mangochi!N101+'Monkey Bay'!N101+Namwera!N101+Nkhudzi!N101</f>
        <v>0</v>
      </c>
      <c r="O101" s="25">
        <f>Mangochi!O101+'Monkey Bay'!O101+Namwera!O101+Nkhudzi!O101</f>
        <v>0</v>
      </c>
      <c r="P101" s="31">
        <f t="shared" ref="P101:P111" si="47">O101</f>
        <v>0</v>
      </c>
    </row>
    <row r="102" spans="1:16" x14ac:dyDescent="0.3">
      <c r="A102" s="212" t="s">
        <v>101</v>
      </c>
      <c r="B102" s="213"/>
      <c r="C102" s="11" t="s">
        <v>3</v>
      </c>
      <c r="D102" s="25">
        <f>Mangochi!D102+'Monkey Bay'!D102+Namwera!D102+Nkhudzi!D102</f>
        <v>76</v>
      </c>
      <c r="E102" s="25">
        <f>Mangochi!E102+'Monkey Bay'!E102+Namwera!E102+Nkhudzi!E102</f>
        <v>76</v>
      </c>
      <c r="F102" s="25">
        <f>Mangochi!F102+'Monkey Bay'!F102+Namwera!F102+Nkhudzi!F102</f>
        <v>0</v>
      </c>
      <c r="G102" s="25">
        <f>Mangochi!G102+'Monkey Bay'!G102+Namwera!G102+Nkhudzi!G102</f>
        <v>0</v>
      </c>
      <c r="H102" s="25">
        <f>Mangochi!H102+'Monkey Bay'!H102+Namwera!H102+Nkhudzi!H102</f>
        <v>0</v>
      </c>
      <c r="I102" s="25">
        <f>Mangochi!I102+'Monkey Bay'!I102+Namwera!I102+Nkhudzi!I102</f>
        <v>0</v>
      </c>
      <c r="J102" s="25">
        <f>Mangochi!J102+'Monkey Bay'!J102+Namwera!J102+Nkhudzi!J102</f>
        <v>0</v>
      </c>
      <c r="K102" s="25">
        <f>Mangochi!K102+'Monkey Bay'!K102+Namwera!K102+Nkhudzi!K102</f>
        <v>0</v>
      </c>
      <c r="L102" s="25">
        <f>Mangochi!L102+'Monkey Bay'!L102+Namwera!L102+Nkhudzi!L102</f>
        <v>0</v>
      </c>
      <c r="M102" s="25">
        <f>Mangochi!M102+'Monkey Bay'!M102+Namwera!M102+Nkhudzi!M102</f>
        <v>0</v>
      </c>
      <c r="N102" s="25">
        <f>Mangochi!N102+'Monkey Bay'!N102+Namwera!N102+Nkhudzi!N102</f>
        <v>0</v>
      </c>
      <c r="O102" s="25">
        <f>Mangochi!O102+'Monkey Bay'!O102+Namwera!O102+Nkhudzi!O102</f>
        <v>0</v>
      </c>
      <c r="P102" s="31">
        <f t="shared" si="47"/>
        <v>0</v>
      </c>
    </row>
    <row r="103" spans="1:16" ht="15.6" customHeight="1" x14ac:dyDescent="0.3">
      <c r="A103" s="218" t="s">
        <v>100</v>
      </c>
      <c r="B103" s="219"/>
      <c r="C103" s="11" t="s">
        <v>3</v>
      </c>
      <c r="D103" s="25">
        <f>Mangochi!D103+'Monkey Bay'!D103+Namwera!D103+Nkhudzi!D103</f>
        <v>144</v>
      </c>
      <c r="E103" s="25">
        <f>Mangochi!E103+'Monkey Bay'!E103+Namwera!E103+Nkhudzi!E103</f>
        <v>143</v>
      </c>
      <c r="F103" s="25">
        <f>Mangochi!F103+'Monkey Bay'!F103+Namwera!F103+Nkhudzi!F103</f>
        <v>0</v>
      </c>
      <c r="G103" s="25">
        <f>Mangochi!G103+'Monkey Bay'!G103+Namwera!G103+Nkhudzi!G103</f>
        <v>0</v>
      </c>
      <c r="H103" s="25">
        <f>Mangochi!H103+'Monkey Bay'!H103+Namwera!H103+Nkhudzi!H103</f>
        <v>0</v>
      </c>
      <c r="I103" s="25">
        <f>Mangochi!I103+'Monkey Bay'!I103+Namwera!I103+Nkhudzi!I103</f>
        <v>0</v>
      </c>
      <c r="J103" s="25">
        <f>Mangochi!J103+'Monkey Bay'!J103+Namwera!J103+Nkhudzi!J103</f>
        <v>0</v>
      </c>
      <c r="K103" s="25">
        <f>Mangochi!K103+'Monkey Bay'!K103+Namwera!K103+Nkhudzi!K103</f>
        <v>0</v>
      </c>
      <c r="L103" s="25">
        <f>Mangochi!L103+'Monkey Bay'!L103+Namwera!L103+Nkhudzi!L103</f>
        <v>0</v>
      </c>
      <c r="M103" s="25">
        <f>Mangochi!M103+'Monkey Bay'!M103+Namwera!M103+Nkhudzi!M103</f>
        <v>0</v>
      </c>
      <c r="N103" s="25">
        <f>Mangochi!N103+'Monkey Bay'!N103+Namwera!N103+Nkhudzi!N103</f>
        <v>0</v>
      </c>
      <c r="O103" s="25">
        <f>Mangochi!O103+'Monkey Bay'!O103+Namwera!O103+Nkhudzi!O103</f>
        <v>0</v>
      </c>
      <c r="P103" s="31">
        <f t="shared" si="47"/>
        <v>0</v>
      </c>
    </row>
    <row r="104" spans="1:16" x14ac:dyDescent="0.3">
      <c r="A104" s="218" t="s">
        <v>99</v>
      </c>
      <c r="B104" s="219"/>
      <c r="C104" s="11" t="s">
        <v>3</v>
      </c>
      <c r="D104" s="25">
        <f>Mangochi!D104+'Monkey Bay'!D104+Namwera!D104+Nkhudzi!D104</f>
        <v>13</v>
      </c>
      <c r="E104" s="25">
        <f>Mangochi!E104+'Monkey Bay'!E104+Namwera!E104+Nkhudzi!E104</f>
        <v>13</v>
      </c>
      <c r="F104" s="25">
        <f>Mangochi!F104+'Monkey Bay'!F104+Namwera!F104+Nkhudzi!F104</f>
        <v>0</v>
      </c>
      <c r="G104" s="25">
        <f>Mangochi!G104+'Monkey Bay'!G104+Namwera!G104+Nkhudzi!G104</f>
        <v>0</v>
      </c>
      <c r="H104" s="25">
        <f>Mangochi!H104+'Monkey Bay'!H104+Namwera!H104+Nkhudzi!H104</f>
        <v>0</v>
      </c>
      <c r="I104" s="25">
        <f>Mangochi!I104+'Monkey Bay'!I104+Namwera!I104+Nkhudzi!I104</f>
        <v>0</v>
      </c>
      <c r="J104" s="25">
        <f>Mangochi!J104+'Monkey Bay'!J104+Namwera!J104+Nkhudzi!J104</f>
        <v>0</v>
      </c>
      <c r="K104" s="25">
        <f>Mangochi!K104+'Monkey Bay'!K104+Namwera!K104+Nkhudzi!K104</f>
        <v>0</v>
      </c>
      <c r="L104" s="25">
        <f>Mangochi!L104+'Monkey Bay'!L104+Namwera!L104+Nkhudzi!L104</f>
        <v>0</v>
      </c>
      <c r="M104" s="25">
        <f>Mangochi!M104+'Monkey Bay'!M104+Namwera!M104+Nkhudzi!M104</f>
        <v>0</v>
      </c>
      <c r="N104" s="25">
        <f>Mangochi!N104+'Monkey Bay'!N104+Namwera!N104+Nkhudzi!N104</f>
        <v>0</v>
      </c>
      <c r="O104" s="25">
        <f>Mangochi!O104+'Monkey Bay'!O104+Namwera!O104+Nkhudzi!O104</f>
        <v>0</v>
      </c>
      <c r="P104" s="31">
        <f t="shared" si="47"/>
        <v>0</v>
      </c>
    </row>
    <row r="105" spans="1:16" x14ac:dyDescent="0.3">
      <c r="A105" s="240" t="s">
        <v>98</v>
      </c>
      <c r="B105" s="241"/>
      <c r="C105" s="11" t="s">
        <v>3</v>
      </c>
      <c r="D105" s="32">
        <f t="shared" ref="D105:L105" si="48">SUM(D101:D104)</f>
        <v>2957</v>
      </c>
      <c r="E105" s="32">
        <f t="shared" si="48"/>
        <v>2894</v>
      </c>
      <c r="F105" s="32">
        <f t="shared" si="48"/>
        <v>0</v>
      </c>
      <c r="G105" s="32">
        <f t="shared" si="48"/>
        <v>0</v>
      </c>
      <c r="H105" s="32">
        <f t="shared" si="48"/>
        <v>0</v>
      </c>
      <c r="I105" s="32">
        <f t="shared" si="48"/>
        <v>0</v>
      </c>
      <c r="J105" s="32">
        <f t="shared" si="48"/>
        <v>0</v>
      </c>
      <c r="K105" s="32">
        <f t="shared" si="48"/>
        <v>0</v>
      </c>
      <c r="L105" s="32">
        <f t="shared" si="48"/>
        <v>0</v>
      </c>
      <c r="M105" s="32">
        <f t="shared" ref="M105" si="49">SUM(M101:M104)</f>
        <v>0</v>
      </c>
      <c r="N105" s="32">
        <f t="shared" ref="N105" si="50">SUM(N101:N104)</f>
        <v>0</v>
      </c>
      <c r="O105" s="32">
        <f t="shared" ref="O105" si="51">SUM(O101:O104)</f>
        <v>0</v>
      </c>
      <c r="P105" s="31">
        <f t="shared" si="47"/>
        <v>0</v>
      </c>
    </row>
    <row r="106" spans="1:16" s="2" customFormat="1" ht="15.6" customHeight="1" x14ac:dyDescent="0.3">
      <c r="A106" s="272" t="s">
        <v>212</v>
      </c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4"/>
    </row>
    <row r="107" spans="1:16" x14ac:dyDescent="0.3">
      <c r="A107" s="212" t="s">
        <v>195</v>
      </c>
      <c r="B107" s="213"/>
      <c r="C107" s="11" t="s">
        <v>3</v>
      </c>
      <c r="D107" s="25">
        <f>Mangochi!D107+'Monkey Bay'!D107+Namwera!D107+Nkhudzi!D107</f>
        <v>5955</v>
      </c>
      <c r="E107" s="25">
        <f>Mangochi!E107+'Monkey Bay'!E107+Namwera!E107+Nkhudzi!E107</f>
        <v>6017</v>
      </c>
      <c r="F107" s="25">
        <f>Mangochi!F107+'Monkey Bay'!F107+Namwera!F107+Nkhudzi!F107</f>
        <v>0</v>
      </c>
      <c r="G107" s="25">
        <f>Mangochi!G107+'Monkey Bay'!G107+Namwera!G107+Nkhudzi!G107</f>
        <v>0</v>
      </c>
      <c r="H107" s="25">
        <f>Mangochi!H107+'Monkey Bay'!H107+Namwera!H107+Nkhudzi!H107</f>
        <v>0</v>
      </c>
      <c r="I107" s="25">
        <f>Mangochi!I107+'Monkey Bay'!I107+Namwera!I107+Nkhudzi!I107</f>
        <v>0</v>
      </c>
      <c r="J107" s="25">
        <f>Mangochi!J107+'Monkey Bay'!J107+Namwera!J107+Nkhudzi!J107</f>
        <v>0</v>
      </c>
      <c r="K107" s="25">
        <f>Mangochi!K107+'Monkey Bay'!K107+Namwera!K107+Nkhudzi!K107</f>
        <v>0</v>
      </c>
      <c r="L107" s="25">
        <f>Mangochi!L107+'Monkey Bay'!L107+Namwera!L107+Nkhudzi!L107</f>
        <v>0</v>
      </c>
      <c r="M107" s="25">
        <f>Mangochi!M107+'Monkey Bay'!M107+Namwera!M107+Nkhudzi!M107</f>
        <v>0</v>
      </c>
      <c r="N107" s="25">
        <f>Mangochi!N107+'Monkey Bay'!N107+Namwera!N107+Nkhudzi!N107</f>
        <v>0</v>
      </c>
      <c r="O107" s="25">
        <f>Mangochi!O107+'Monkey Bay'!O107+Namwera!O107+Nkhudzi!O107</f>
        <v>0</v>
      </c>
      <c r="P107" s="31">
        <f t="shared" si="47"/>
        <v>0</v>
      </c>
    </row>
    <row r="108" spans="1:16" x14ac:dyDescent="0.3">
      <c r="A108" s="212" t="s">
        <v>196</v>
      </c>
      <c r="B108" s="213"/>
      <c r="C108" s="11" t="s">
        <v>3</v>
      </c>
      <c r="D108" s="25">
        <f>Mangochi!D108+'Monkey Bay'!D108+Namwera!D108+Nkhudzi!D108</f>
        <v>15</v>
      </c>
      <c r="E108" s="25">
        <f>Mangochi!E108+'Monkey Bay'!E108+Namwera!E108+Nkhudzi!E108</f>
        <v>15</v>
      </c>
      <c r="F108" s="25">
        <f>Mangochi!F108+'Monkey Bay'!F108+Namwera!F108+Nkhudzi!F108</f>
        <v>0</v>
      </c>
      <c r="G108" s="25">
        <f>Mangochi!G108+'Monkey Bay'!G108+Namwera!G108+Nkhudzi!G108</f>
        <v>0</v>
      </c>
      <c r="H108" s="25">
        <f>Mangochi!H108+'Monkey Bay'!H108+Namwera!H108+Nkhudzi!H108</f>
        <v>0</v>
      </c>
      <c r="I108" s="25">
        <f>Mangochi!I108+'Monkey Bay'!I108+Namwera!I108+Nkhudzi!I108</f>
        <v>0</v>
      </c>
      <c r="J108" s="25">
        <f>Mangochi!J108+'Monkey Bay'!J108+Namwera!J108+Nkhudzi!J108</f>
        <v>0</v>
      </c>
      <c r="K108" s="25">
        <f>Mangochi!K108+'Monkey Bay'!K108+Namwera!K108+Nkhudzi!K108</f>
        <v>0</v>
      </c>
      <c r="L108" s="25">
        <f>Mangochi!L108+'Monkey Bay'!L108+Namwera!L108+Nkhudzi!L108</f>
        <v>0</v>
      </c>
      <c r="M108" s="25">
        <f>Mangochi!M108+'Monkey Bay'!M108+Namwera!M108+Nkhudzi!M108</f>
        <v>0</v>
      </c>
      <c r="N108" s="25">
        <f>Mangochi!N108+'Monkey Bay'!N108+Namwera!N108+Nkhudzi!N108</f>
        <v>0</v>
      </c>
      <c r="O108" s="25">
        <f>Mangochi!O108+'Monkey Bay'!O108+Namwera!O108+Nkhudzi!O108</f>
        <v>0</v>
      </c>
      <c r="P108" s="31">
        <f t="shared" si="47"/>
        <v>0</v>
      </c>
    </row>
    <row r="109" spans="1:16" x14ac:dyDescent="0.3">
      <c r="A109" s="212" t="s">
        <v>197</v>
      </c>
      <c r="B109" s="213"/>
      <c r="C109" s="11" t="s">
        <v>3</v>
      </c>
      <c r="D109" s="25">
        <f>Mangochi!D109+'Monkey Bay'!D109+Namwera!D109+Nkhudzi!D109</f>
        <v>2</v>
      </c>
      <c r="E109" s="25">
        <f>Mangochi!E109+'Monkey Bay'!E109+Namwera!E109+Nkhudzi!E109</f>
        <v>3</v>
      </c>
      <c r="F109" s="25">
        <f>Mangochi!F109+'Monkey Bay'!F109+Namwera!F109+Nkhudzi!F109</f>
        <v>0</v>
      </c>
      <c r="G109" s="25">
        <f>Mangochi!G109+'Monkey Bay'!G109+Namwera!G109+Nkhudzi!G109</f>
        <v>0</v>
      </c>
      <c r="H109" s="25">
        <f>Mangochi!H109+'Monkey Bay'!H109+Namwera!H109+Nkhudzi!H109</f>
        <v>0</v>
      </c>
      <c r="I109" s="25">
        <f>Mangochi!I109+'Monkey Bay'!I109+Namwera!I109+Nkhudzi!I109</f>
        <v>0</v>
      </c>
      <c r="J109" s="25">
        <f>Mangochi!J109+'Monkey Bay'!J109+Namwera!J109+Nkhudzi!J109</f>
        <v>0</v>
      </c>
      <c r="K109" s="25">
        <f>Mangochi!K109+'Monkey Bay'!K109+Namwera!K109+Nkhudzi!K109</f>
        <v>0</v>
      </c>
      <c r="L109" s="25">
        <f>Mangochi!L109+'Monkey Bay'!L109+Namwera!L109+Nkhudzi!L109</f>
        <v>0</v>
      </c>
      <c r="M109" s="25">
        <f>Mangochi!M109+'Monkey Bay'!M109+Namwera!M109+Nkhudzi!M109</f>
        <v>0</v>
      </c>
      <c r="N109" s="25">
        <f>Mangochi!N109+'Monkey Bay'!N109+Namwera!N109+Nkhudzi!N109</f>
        <v>0</v>
      </c>
      <c r="O109" s="25">
        <f>Mangochi!O109+'Monkey Bay'!O109+Namwera!O109+Nkhudzi!O109</f>
        <v>0</v>
      </c>
      <c r="P109" s="31">
        <f t="shared" si="47"/>
        <v>0</v>
      </c>
    </row>
    <row r="110" spans="1:16" x14ac:dyDescent="0.3">
      <c r="A110" s="212" t="s">
        <v>198</v>
      </c>
      <c r="B110" s="213"/>
      <c r="C110" s="11" t="s">
        <v>3</v>
      </c>
      <c r="D110" s="25">
        <f>Mangochi!D110+'Monkey Bay'!D110+Namwera!D110+Nkhudzi!D110</f>
        <v>0</v>
      </c>
      <c r="E110" s="25">
        <f>Mangochi!E110+'Monkey Bay'!E110+Namwera!E110+Nkhudzi!E110</f>
        <v>0</v>
      </c>
      <c r="F110" s="25">
        <f>Mangochi!F110+'Monkey Bay'!F110+Namwera!F110+Nkhudzi!F110</f>
        <v>0</v>
      </c>
      <c r="G110" s="25">
        <f>Mangochi!G110+'Monkey Bay'!G110+Namwera!G110+Nkhudzi!G110</f>
        <v>0</v>
      </c>
      <c r="H110" s="25">
        <f>Mangochi!H110+'Monkey Bay'!H110+Namwera!H110+Nkhudzi!H110</f>
        <v>0</v>
      </c>
      <c r="I110" s="25">
        <f>Mangochi!I110+'Monkey Bay'!I110+Namwera!I110+Nkhudzi!I110</f>
        <v>0</v>
      </c>
      <c r="J110" s="25">
        <f>Mangochi!J110+'Monkey Bay'!J110+Namwera!J110+Nkhudzi!J110</f>
        <v>0</v>
      </c>
      <c r="K110" s="25">
        <f>Mangochi!K110+'Monkey Bay'!K110+Namwera!K110+Nkhudzi!K110</f>
        <v>0</v>
      </c>
      <c r="L110" s="25">
        <f>Mangochi!L110+'Monkey Bay'!L110+Namwera!L110+Nkhudzi!L110</f>
        <v>0</v>
      </c>
      <c r="M110" s="25">
        <f>Mangochi!M110+'Monkey Bay'!M110+Namwera!M110+Nkhudzi!M110</f>
        <v>0</v>
      </c>
      <c r="N110" s="25">
        <f>Mangochi!N110+'Monkey Bay'!N110+Namwera!N110+Nkhudzi!N110</f>
        <v>0</v>
      </c>
      <c r="O110" s="25">
        <f>Mangochi!O110+'Monkey Bay'!O110+Namwera!O110+Nkhudzi!O110</f>
        <v>0</v>
      </c>
      <c r="P110" s="31">
        <f t="shared" si="47"/>
        <v>0</v>
      </c>
    </row>
    <row r="111" spans="1:16" x14ac:dyDescent="0.3">
      <c r="A111" s="214" t="s">
        <v>97</v>
      </c>
      <c r="B111" s="215"/>
      <c r="C111" s="11" t="s">
        <v>3</v>
      </c>
      <c r="D111" s="32">
        <f t="shared" ref="D111:L111" si="52">SUM(D107:D110)</f>
        <v>5972</v>
      </c>
      <c r="E111" s="32">
        <f t="shared" si="52"/>
        <v>6035</v>
      </c>
      <c r="F111" s="32">
        <f t="shared" si="52"/>
        <v>0</v>
      </c>
      <c r="G111" s="32">
        <f t="shared" si="52"/>
        <v>0</v>
      </c>
      <c r="H111" s="32">
        <f t="shared" si="52"/>
        <v>0</v>
      </c>
      <c r="I111" s="32">
        <f t="shared" si="52"/>
        <v>0</v>
      </c>
      <c r="J111" s="32">
        <f t="shared" si="52"/>
        <v>0</v>
      </c>
      <c r="K111" s="32">
        <f t="shared" si="52"/>
        <v>0</v>
      </c>
      <c r="L111" s="32">
        <f t="shared" si="52"/>
        <v>0</v>
      </c>
      <c r="M111" s="32">
        <f t="shared" ref="M111" si="53">SUM(M107:M110)</f>
        <v>0</v>
      </c>
      <c r="N111" s="32">
        <f t="shared" ref="N111" si="54">SUM(N107:N110)</f>
        <v>0</v>
      </c>
      <c r="O111" s="32">
        <f t="shared" ref="O111" si="55">SUM(O107:O110)</f>
        <v>0</v>
      </c>
      <c r="P111" s="31">
        <f t="shared" si="47"/>
        <v>0</v>
      </c>
    </row>
    <row r="112" spans="1:16" s="2" customFormat="1" ht="15.6" customHeight="1" x14ac:dyDescent="0.3">
      <c r="A112" s="253" t="s">
        <v>212</v>
      </c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5"/>
    </row>
    <row r="113" spans="1:16" x14ac:dyDescent="0.3">
      <c r="A113" s="212" t="s">
        <v>199</v>
      </c>
      <c r="B113" s="213"/>
      <c r="C113" s="11" t="s">
        <v>3</v>
      </c>
      <c r="D113" s="25">
        <f>Mangochi!D113+'Monkey Bay'!D113+Namwera!D113+Nkhudzi!D113</f>
        <v>10249</v>
      </c>
      <c r="E113" s="25">
        <f>Mangochi!E113+'Monkey Bay'!E113+Namwera!E113+Nkhudzi!E113</f>
        <v>10446</v>
      </c>
      <c r="F113" s="25">
        <f>Mangochi!F113+'Monkey Bay'!F113+Namwera!F113+Nkhudzi!F113</f>
        <v>0</v>
      </c>
      <c r="G113" s="25">
        <f>Mangochi!G113+'Monkey Bay'!G113+Namwera!G113+Nkhudzi!G113</f>
        <v>0</v>
      </c>
      <c r="H113" s="25">
        <f>Mangochi!H113+'Monkey Bay'!H113+Namwera!H113+Nkhudzi!H113</f>
        <v>0</v>
      </c>
      <c r="I113" s="25">
        <f>Mangochi!I113+'Monkey Bay'!I113+Namwera!I113+Nkhudzi!I113</f>
        <v>0</v>
      </c>
      <c r="J113" s="25">
        <f>Mangochi!J113+'Monkey Bay'!J113+Namwera!J113+Nkhudzi!J113</f>
        <v>0</v>
      </c>
      <c r="K113" s="25">
        <f>Mangochi!K113+'Monkey Bay'!K113+Namwera!K113+Nkhudzi!K113</f>
        <v>0</v>
      </c>
      <c r="L113" s="25">
        <f>Mangochi!L113+'Monkey Bay'!L113+Namwera!L113+Nkhudzi!L113</f>
        <v>0</v>
      </c>
      <c r="M113" s="25">
        <f>Mangochi!M113+'Monkey Bay'!M113+Namwera!M113+Nkhudzi!M113</f>
        <v>0</v>
      </c>
      <c r="N113" s="25">
        <f>Mangochi!N113+'Monkey Bay'!N113+Namwera!N113+Nkhudzi!N113</f>
        <v>0</v>
      </c>
      <c r="O113" s="25">
        <f>Mangochi!O113+'Monkey Bay'!O113+Namwera!O113+Nkhudzi!O113</f>
        <v>0</v>
      </c>
      <c r="P113" s="31">
        <f>O113</f>
        <v>0</v>
      </c>
    </row>
    <row r="114" spans="1:16" x14ac:dyDescent="0.3">
      <c r="A114" s="212" t="s">
        <v>200</v>
      </c>
      <c r="B114" s="213"/>
      <c r="C114" s="11" t="s">
        <v>3</v>
      </c>
      <c r="D114" s="25">
        <f>Mangochi!D114+'Monkey Bay'!D114+Namwera!D114+Nkhudzi!D114</f>
        <v>292</v>
      </c>
      <c r="E114" s="25">
        <f>Mangochi!E114+'Monkey Bay'!E114+Namwera!E114+Nkhudzi!E114</f>
        <v>292</v>
      </c>
      <c r="F114" s="25">
        <f>Mangochi!F114+'Monkey Bay'!F114+Namwera!F114+Nkhudzi!F114</f>
        <v>0</v>
      </c>
      <c r="G114" s="25">
        <f>Mangochi!G114+'Monkey Bay'!G114+Namwera!G114+Nkhudzi!G114</f>
        <v>0</v>
      </c>
      <c r="H114" s="25">
        <f>Mangochi!H114+'Monkey Bay'!H114+Namwera!H114+Nkhudzi!H114</f>
        <v>0</v>
      </c>
      <c r="I114" s="25">
        <f>Mangochi!I114+'Monkey Bay'!I114+Namwera!I114+Nkhudzi!I114</f>
        <v>0</v>
      </c>
      <c r="J114" s="25">
        <f>Mangochi!J114+'Monkey Bay'!J114+Namwera!J114+Nkhudzi!J114</f>
        <v>0</v>
      </c>
      <c r="K114" s="25">
        <f>Mangochi!K114+'Monkey Bay'!K114+Namwera!K114+Nkhudzi!K114</f>
        <v>0</v>
      </c>
      <c r="L114" s="25">
        <f>Mangochi!L114+'Monkey Bay'!L114+Namwera!L114+Nkhudzi!L114</f>
        <v>0</v>
      </c>
      <c r="M114" s="25">
        <f>Mangochi!M114+'Monkey Bay'!M114+Namwera!M114+Nkhudzi!M114</f>
        <v>0</v>
      </c>
      <c r="N114" s="25">
        <f>Mangochi!N114+'Monkey Bay'!N114+Namwera!N114+Nkhudzi!N114</f>
        <v>0</v>
      </c>
      <c r="O114" s="25">
        <f>Mangochi!O114+'Monkey Bay'!O114+Namwera!O114+Nkhudzi!O114</f>
        <v>0</v>
      </c>
      <c r="P114" s="31">
        <f>O114</f>
        <v>0</v>
      </c>
    </row>
    <row r="115" spans="1:16" x14ac:dyDescent="0.3">
      <c r="A115" s="212" t="s">
        <v>201</v>
      </c>
      <c r="B115" s="213"/>
      <c r="C115" s="11" t="s">
        <v>3</v>
      </c>
      <c r="D115" s="25">
        <f>Mangochi!D115+'Monkey Bay'!D115+Namwera!D115+Nkhudzi!D115</f>
        <v>608</v>
      </c>
      <c r="E115" s="25">
        <f>Mangochi!E115+'Monkey Bay'!E115+Namwera!E115+Nkhudzi!E115</f>
        <v>610</v>
      </c>
      <c r="F115" s="25">
        <f>Mangochi!F115+'Monkey Bay'!F115+Namwera!F115+Nkhudzi!F115</f>
        <v>0</v>
      </c>
      <c r="G115" s="25">
        <f>Mangochi!G115+'Monkey Bay'!G115+Namwera!G115+Nkhudzi!G115</f>
        <v>0</v>
      </c>
      <c r="H115" s="25">
        <f>Mangochi!H115+'Monkey Bay'!H115+Namwera!H115+Nkhudzi!H115</f>
        <v>0</v>
      </c>
      <c r="I115" s="25">
        <f>Mangochi!I115+'Monkey Bay'!I115+Namwera!I115+Nkhudzi!I115</f>
        <v>0</v>
      </c>
      <c r="J115" s="25">
        <f>Mangochi!J115+'Monkey Bay'!J115+Namwera!J115+Nkhudzi!J115</f>
        <v>0</v>
      </c>
      <c r="K115" s="25">
        <f>Mangochi!K115+'Monkey Bay'!K115+Namwera!K115+Nkhudzi!K115</f>
        <v>0</v>
      </c>
      <c r="L115" s="25">
        <f>Mangochi!L115+'Monkey Bay'!L115+Namwera!L115+Nkhudzi!L115</f>
        <v>0</v>
      </c>
      <c r="M115" s="25">
        <f>Mangochi!M115+'Monkey Bay'!M115+Namwera!M115+Nkhudzi!M115</f>
        <v>0</v>
      </c>
      <c r="N115" s="25">
        <f>Mangochi!N115+'Monkey Bay'!N115+Namwera!N115+Nkhudzi!N115</f>
        <v>0</v>
      </c>
      <c r="O115" s="25">
        <f>Mangochi!O115+'Monkey Bay'!O115+Namwera!O115+Nkhudzi!O115</f>
        <v>0</v>
      </c>
      <c r="P115" s="31">
        <f t="shared" ref="P115:P116" si="56">O115</f>
        <v>0</v>
      </c>
    </row>
    <row r="116" spans="1:16" x14ac:dyDescent="0.3">
      <c r="A116" s="212" t="s">
        <v>202</v>
      </c>
      <c r="B116" s="213"/>
      <c r="C116" s="11" t="s">
        <v>3</v>
      </c>
      <c r="D116" s="25">
        <f>Mangochi!D116+'Monkey Bay'!D116+Namwera!D116+Nkhudzi!D116</f>
        <v>110</v>
      </c>
      <c r="E116" s="25">
        <f>Mangochi!E116+'Monkey Bay'!E116+Namwera!E116+Nkhudzi!E116</f>
        <v>110</v>
      </c>
      <c r="F116" s="25">
        <f>Mangochi!F116+'Monkey Bay'!F116+Namwera!F116+Nkhudzi!F116</f>
        <v>0</v>
      </c>
      <c r="G116" s="25">
        <f>Mangochi!G116+'Monkey Bay'!G116+Namwera!G116+Nkhudzi!G116</f>
        <v>0</v>
      </c>
      <c r="H116" s="25">
        <f>Mangochi!H116+'Monkey Bay'!H116+Namwera!H116+Nkhudzi!H116</f>
        <v>0</v>
      </c>
      <c r="I116" s="25">
        <f>Mangochi!I116+'Monkey Bay'!I116+Namwera!I116+Nkhudzi!I116</f>
        <v>0</v>
      </c>
      <c r="J116" s="25">
        <f>Mangochi!J116+'Monkey Bay'!J116+Namwera!J116+Nkhudzi!J116</f>
        <v>0</v>
      </c>
      <c r="K116" s="25">
        <f>Mangochi!K116+'Monkey Bay'!K116+Namwera!K116+Nkhudzi!K116</f>
        <v>0</v>
      </c>
      <c r="L116" s="25">
        <f>Mangochi!L116+'Monkey Bay'!L116+Namwera!L116+Nkhudzi!L116</f>
        <v>0</v>
      </c>
      <c r="M116" s="25">
        <f>Mangochi!M116+'Monkey Bay'!M116+Namwera!M116+Nkhudzi!M116</f>
        <v>0</v>
      </c>
      <c r="N116" s="25">
        <f>Mangochi!N116+'Monkey Bay'!N116+Namwera!N116+Nkhudzi!N116</f>
        <v>0</v>
      </c>
      <c r="O116" s="25">
        <f>Mangochi!O116+'Monkey Bay'!O116+Namwera!O116+Nkhudzi!O116</f>
        <v>0</v>
      </c>
      <c r="P116" s="31">
        <f t="shared" si="56"/>
        <v>0</v>
      </c>
    </row>
    <row r="117" spans="1:16" x14ac:dyDescent="0.3">
      <c r="A117" s="214" t="s">
        <v>96</v>
      </c>
      <c r="B117" s="215"/>
      <c r="C117" s="11" t="s">
        <v>3</v>
      </c>
      <c r="D117" s="32">
        <f t="shared" ref="D117:L117" si="57">SUM(D113:D116)</f>
        <v>11259</v>
      </c>
      <c r="E117" s="32">
        <f t="shared" si="57"/>
        <v>11458</v>
      </c>
      <c r="F117" s="32">
        <f t="shared" si="57"/>
        <v>0</v>
      </c>
      <c r="G117" s="32">
        <f t="shared" si="57"/>
        <v>0</v>
      </c>
      <c r="H117" s="32">
        <f t="shared" si="57"/>
        <v>0</v>
      </c>
      <c r="I117" s="32">
        <f t="shared" si="57"/>
        <v>0</v>
      </c>
      <c r="J117" s="32">
        <f t="shared" si="57"/>
        <v>0</v>
      </c>
      <c r="K117" s="32">
        <f t="shared" si="57"/>
        <v>0</v>
      </c>
      <c r="L117" s="32">
        <f t="shared" si="57"/>
        <v>0</v>
      </c>
      <c r="M117" s="32">
        <f t="shared" ref="M117" si="58">SUM(M113:M116)</f>
        <v>0</v>
      </c>
      <c r="N117" s="32">
        <f t="shared" ref="N117" si="59">SUM(N113:N116)</f>
        <v>0</v>
      </c>
      <c r="O117" s="32">
        <f t="shared" ref="O117" si="60">SUM(O113:O116)</f>
        <v>0</v>
      </c>
      <c r="P117" s="54">
        <f t="shared" ref="P117" si="61">SUM(P113:P116)</f>
        <v>0</v>
      </c>
    </row>
    <row r="118" spans="1:16" s="2" customFormat="1" x14ac:dyDescent="0.3">
      <c r="A118" s="299" t="s">
        <v>193</v>
      </c>
      <c r="B118" s="300"/>
      <c r="C118" s="11" t="s">
        <v>3</v>
      </c>
      <c r="D118" s="32">
        <f t="shared" ref="D118:L118" si="62">D111+D117</f>
        <v>17231</v>
      </c>
      <c r="E118" s="32">
        <f t="shared" si="62"/>
        <v>17493</v>
      </c>
      <c r="F118" s="32">
        <f t="shared" si="62"/>
        <v>0</v>
      </c>
      <c r="G118" s="32">
        <f t="shared" si="62"/>
        <v>0</v>
      </c>
      <c r="H118" s="32">
        <f t="shared" si="62"/>
        <v>0</v>
      </c>
      <c r="I118" s="32">
        <f t="shared" si="62"/>
        <v>0</v>
      </c>
      <c r="J118" s="32">
        <f t="shared" si="62"/>
        <v>0</v>
      </c>
      <c r="K118" s="32">
        <f t="shared" si="62"/>
        <v>0</v>
      </c>
      <c r="L118" s="32">
        <f t="shared" si="62"/>
        <v>0</v>
      </c>
      <c r="M118" s="32">
        <f t="shared" ref="M118" si="63">M111+M117</f>
        <v>0</v>
      </c>
      <c r="N118" s="32">
        <f t="shared" ref="N118" si="64">N111+N117</f>
        <v>0</v>
      </c>
      <c r="O118" s="32">
        <f t="shared" ref="O118" si="65">O111+O117</f>
        <v>0</v>
      </c>
      <c r="P118" s="54">
        <f t="shared" ref="P118" si="66">P111+P117</f>
        <v>0</v>
      </c>
    </row>
    <row r="119" spans="1:16" x14ac:dyDescent="0.3">
      <c r="A119" s="214" t="s">
        <v>194</v>
      </c>
      <c r="B119" s="215"/>
      <c r="C119" s="11" t="s">
        <v>3</v>
      </c>
      <c r="D119" s="32">
        <f t="shared" ref="D119:L119" si="67">D118+D105</f>
        <v>20188</v>
      </c>
      <c r="E119" s="32">
        <f t="shared" si="67"/>
        <v>20387</v>
      </c>
      <c r="F119" s="32">
        <f t="shared" si="67"/>
        <v>0</v>
      </c>
      <c r="G119" s="32">
        <f t="shared" si="67"/>
        <v>0</v>
      </c>
      <c r="H119" s="32">
        <f t="shared" si="67"/>
        <v>0</v>
      </c>
      <c r="I119" s="32">
        <f t="shared" si="67"/>
        <v>0</v>
      </c>
      <c r="J119" s="32">
        <f t="shared" si="67"/>
        <v>0</v>
      </c>
      <c r="K119" s="32">
        <f t="shared" si="67"/>
        <v>0</v>
      </c>
      <c r="L119" s="32">
        <f t="shared" si="67"/>
        <v>0</v>
      </c>
      <c r="M119" s="32">
        <f t="shared" ref="M119" si="68">M118+M105</f>
        <v>0</v>
      </c>
      <c r="N119" s="32">
        <f t="shared" ref="N119" si="69">N118+N105</f>
        <v>0</v>
      </c>
      <c r="O119" s="32">
        <f t="shared" ref="O119" si="70">O118+O105</f>
        <v>0</v>
      </c>
      <c r="P119" s="54">
        <f t="shared" ref="P119" si="71">P118+P105</f>
        <v>0</v>
      </c>
    </row>
    <row r="120" spans="1:16" ht="14.4" x14ac:dyDescent="0.3">
      <c r="A120" s="257" t="s">
        <v>203</v>
      </c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9"/>
    </row>
    <row r="121" spans="1:16" x14ac:dyDescent="0.3">
      <c r="A121" s="212" t="s">
        <v>95</v>
      </c>
      <c r="B121" s="213"/>
      <c r="C121" s="5" t="s">
        <v>3</v>
      </c>
      <c r="D121" s="25">
        <f>Mangochi!D121+'Monkey Bay'!D121+Namwera!D121+Nkhudzi!D121</f>
        <v>176412</v>
      </c>
      <c r="E121" s="25">
        <f>Mangochi!E121+'Monkey Bay'!E121+Namwera!E121+Nkhudzi!E121</f>
        <v>83437</v>
      </c>
      <c r="F121" s="25">
        <f>Mangochi!F121+'Monkey Bay'!F121+Namwera!F121+Nkhudzi!F121</f>
        <v>0</v>
      </c>
      <c r="G121" s="25">
        <f>Mangochi!G121+'Monkey Bay'!G121+Namwera!G121+Nkhudzi!G121</f>
        <v>0</v>
      </c>
      <c r="H121" s="25">
        <f>Mangochi!H121+'Monkey Bay'!H121+Namwera!H121+Nkhudzi!H121</f>
        <v>0</v>
      </c>
      <c r="I121" s="25">
        <f>Mangochi!I121+'Monkey Bay'!I121+Namwera!I121+Nkhudzi!I121</f>
        <v>0</v>
      </c>
      <c r="J121" s="25">
        <f>Mangochi!J121+'Monkey Bay'!J121+Namwera!J121+Nkhudzi!J121</f>
        <v>0</v>
      </c>
      <c r="K121" s="25">
        <f>Mangochi!K121+'Monkey Bay'!K121+Namwera!K121+Nkhudzi!K121</f>
        <v>0</v>
      </c>
      <c r="L121" s="25">
        <f>Mangochi!L121+'Monkey Bay'!L121+Namwera!L121+Nkhudzi!L121</f>
        <v>0</v>
      </c>
      <c r="M121" s="25">
        <f>Mangochi!M121+'Monkey Bay'!M121+Namwera!M121+Nkhudzi!M121</f>
        <v>0</v>
      </c>
      <c r="N121" s="25">
        <f>Mangochi!N121+'Monkey Bay'!N121+Namwera!N121+Nkhudzi!N121</f>
        <v>0</v>
      </c>
      <c r="O121" s="25">
        <f>Mangochi!O121+'Monkey Bay'!O121+Namwera!O121+Nkhudzi!O121</f>
        <v>0</v>
      </c>
      <c r="P121" s="30">
        <f>O121</f>
        <v>0</v>
      </c>
    </row>
    <row r="122" spans="1:16" x14ac:dyDescent="0.3">
      <c r="A122" s="212" t="s">
        <v>94</v>
      </c>
      <c r="B122" s="213"/>
      <c r="C122" s="5" t="s">
        <v>3</v>
      </c>
      <c r="D122" s="25">
        <f>Mangochi!D122+'Monkey Bay'!D122+Namwera!D122+Nkhudzi!D122</f>
        <v>108677</v>
      </c>
      <c r="E122" s="25">
        <f>Mangochi!E122+'Monkey Bay'!E122+Namwera!E122+Nkhudzi!E122</f>
        <v>74257</v>
      </c>
      <c r="F122" s="25">
        <f>Mangochi!F122+'Monkey Bay'!F122+Namwera!F122+Nkhudzi!F122</f>
        <v>0</v>
      </c>
      <c r="G122" s="25">
        <f>Mangochi!G122+'Monkey Bay'!G122+Namwera!G122+Nkhudzi!G122</f>
        <v>0</v>
      </c>
      <c r="H122" s="25">
        <f>Mangochi!H122+'Monkey Bay'!H122+Namwera!H122+Nkhudzi!H122</f>
        <v>0</v>
      </c>
      <c r="I122" s="25">
        <f>Mangochi!I122+'Monkey Bay'!I122+Namwera!I122+Nkhudzi!I122</f>
        <v>0</v>
      </c>
      <c r="J122" s="25">
        <f>Mangochi!J122+'Monkey Bay'!J122+Namwera!J122+Nkhudzi!J122</f>
        <v>0</v>
      </c>
      <c r="K122" s="25">
        <f>Mangochi!K122+'Monkey Bay'!K122+Namwera!K122+Nkhudzi!K122</f>
        <v>0</v>
      </c>
      <c r="L122" s="25">
        <f>Mangochi!L122+'Monkey Bay'!L122+Namwera!L122+Nkhudzi!L122</f>
        <v>0</v>
      </c>
      <c r="M122" s="25">
        <f>Mangochi!M122+'Monkey Bay'!M122+Namwera!M122+Nkhudzi!M122</f>
        <v>0</v>
      </c>
      <c r="N122" s="25">
        <f>Mangochi!N122+'Monkey Bay'!N122+Namwera!N122+Nkhudzi!N122</f>
        <v>0</v>
      </c>
      <c r="O122" s="25">
        <f>Mangochi!O122+'Monkey Bay'!O122+Namwera!O122+Nkhudzi!O122</f>
        <v>0</v>
      </c>
      <c r="P122" s="30">
        <f>O122</f>
        <v>0</v>
      </c>
    </row>
    <row r="123" spans="1:16" x14ac:dyDescent="0.3">
      <c r="A123" s="260" t="s">
        <v>93</v>
      </c>
      <c r="B123" s="261"/>
      <c r="C123" s="29" t="s">
        <v>6</v>
      </c>
      <c r="D123" s="28">
        <f t="shared" ref="D123:P123" si="72">D122/D121</f>
        <v>0.61604085889848759</v>
      </c>
      <c r="E123" s="28">
        <f t="shared" ref="E123:L123" si="73">E122/E121</f>
        <v>0.88997686877524362</v>
      </c>
      <c r="F123" s="28" t="e">
        <f t="shared" si="73"/>
        <v>#DIV/0!</v>
      </c>
      <c r="G123" s="28" t="e">
        <f t="shared" si="73"/>
        <v>#DIV/0!</v>
      </c>
      <c r="H123" s="28" t="e">
        <f t="shared" si="73"/>
        <v>#DIV/0!</v>
      </c>
      <c r="I123" s="28" t="e">
        <f t="shared" si="73"/>
        <v>#DIV/0!</v>
      </c>
      <c r="J123" s="28" t="e">
        <f t="shared" si="73"/>
        <v>#DIV/0!</v>
      </c>
      <c r="K123" s="28" t="e">
        <f t="shared" si="73"/>
        <v>#DIV/0!</v>
      </c>
      <c r="L123" s="28" t="e">
        <f t="shared" si="73"/>
        <v>#DIV/0!</v>
      </c>
      <c r="M123" s="28" t="e">
        <f t="shared" ref="M123" si="74">M122/M121</f>
        <v>#DIV/0!</v>
      </c>
      <c r="N123" s="28" t="e">
        <f t="shared" ref="N123" si="75">N122/N121</f>
        <v>#DIV/0!</v>
      </c>
      <c r="O123" s="28" t="e">
        <f t="shared" ref="O123" si="76">O122/O121</f>
        <v>#DIV/0!</v>
      </c>
      <c r="P123" s="103" t="e">
        <f t="shared" si="72"/>
        <v>#DIV/0!</v>
      </c>
    </row>
    <row r="124" spans="1:16" ht="14.4" x14ac:dyDescent="0.3">
      <c r="A124" s="283" t="s">
        <v>92</v>
      </c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5"/>
    </row>
    <row r="125" spans="1:16" x14ac:dyDescent="0.3">
      <c r="A125" s="222" t="s">
        <v>91</v>
      </c>
      <c r="B125" s="23" t="s">
        <v>85</v>
      </c>
      <c r="C125" s="11" t="s">
        <v>3</v>
      </c>
      <c r="D125" s="131">
        <f>Mangochi!D125+'Monkey Bay'!D125+Namwera!D125+Nkhudzi!D125</f>
        <v>1</v>
      </c>
      <c r="E125" s="131">
        <f>Mangochi!E125+'Monkey Bay'!E125+Namwera!E125+Nkhudzi!E125</f>
        <v>1</v>
      </c>
      <c r="F125" s="131">
        <f>Mangochi!F125+'Monkey Bay'!F125+Namwera!F125+Nkhudzi!F125</f>
        <v>0</v>
      </c>
      <c r="G125" s="131">
        <f>Mangochi!G125+'Monkey Bay'!G125+Namwera!G125+Nkhudzi!G125</f>
        <v>0</v>
      </c>
      <c r="H125" s="131">
        <f>Mangochi!H125+'Monkey Bay'!H125+Namwera!H125+Nkhudzi!H125</f>
        <v>0</v>
      </c>
      <c r="I125" s="131">
        <f>Mangochi!I125+'Monkey Bay'!I125+Namwera!I125+Nkhudzi!I125</f>
        <v>0</v>
      </c>
      <c r="J125" s="131">
        <f>Mangochi!J125+'Monkey Bay'!J125+Namwera!J125+Nkhudzi!J125</f>
        <v>0</v>
      </c>
      <c r="K125" s="131">
        <f>Mangochi!K125+'Monkey Bay'!K125+Namwera!K125+Nkhudzi!K125</f>
        <v>0</v>
      </c>
      <c r="L125" s="131">
        <f>Mangochi!L125+'Monkey Bay'!L125+Namwera!L125+Nkhudzi!L125</f>
        <v>0</v>
      </c>
      <c r="M125" s="131">
        <f>Mangochi!M125+'Monkey Bay'!M125+Namwera!M125+Nkhudzi!M125</f>
        <v>0</v>
      </c>
      <c r="N125" s="131">
        <f>Mangochi!N125+'Monkey Bay'!N125+Namwera!N125+Nkhudzi!N125</f>
        <v>0</v>
      </c>
      <c r="O125" s="131">
        <f>Mangochi!O125+'Monkey Bay'!O125+Namwera!O125+Nkhudzi!O125</f>
        <v>0</v>
      </c>
      <c r="P125" s="34">
        <f>D125</f>
        <v>1</v>
      </c>
    </row>
    <row r="126" spans="1:16" x14ac:dyDescent="0.3">
      <c r="A126" s="256"/>
      <c r="B126" s="23" t="s">
        <v>84</v>
      </c>
      <c r="C126" s="11" t="s">
        <v>3</v>
      </c>
      <c r="D126" s="131">
        <f>Mangochi!D126+'Monkey Bay'!D126+Namwera!D126+Nkhudzi!D126</f>
        <v>0</v>
      </c>
      <c r="E126" s="131">
        <f>Mangochi!E126+'Monkey Bay'!E126+Namwera!E126+Nkhudzi!E126</f>
        <v>0</v>
      </c>
      <c r="F126" s="131">
        <f>Mangochi!F126+'Monkey Bay'!F126+Namwera!F126+Nkhudzi!F126</f>
        <v>0</v>
      </c>
      <c r="G126" s="131">
        <f>Mangochi!G126+'Monkey Bay'!G126+Namwera!G126+Nkhudzi!G126</f>
        <v>0</v>
      </c>
      <c r="H126" s="131">
        <f>Mangochi!H126+'Monkey Bay'!H126+Namwera!H126+Nkhudzi!H126</f>
        <v>0</v>
      </c>
      <c r="I126" s="131">
        <f>Mangochi!I126+'Monkey Bay'!I126+Namwera!I126+Nkhudzi!I126</f>
        <v>0</v>
      </c>
      <c r="J126" s="131">
        <f>Mangochi!J126+'Monkey Bay'!J126+Namwera!J126+Nkhudzi!J126</f>
        <v>0</v>
      </c>
      <c r="K126" s="131">
        <f>Mangochi!K126+'Monkey Bay'!K126+Namwera!K126+Nkhudzi!K126</f>
        <v>0</v>
      </c>
      <c r="L126" s="131">
        <f>Mangochi!L126+'Monkey Bay'!L126+Namwera!L126+Nkhudzi!L126</f>
        <v>0</v>
      </c>
      <c r="M126" s="131">
        <f>Mangochi!M126+'Monkey Bay'!M126+Namwera!M126+Nkhudzi!M126</f>
        <v>0</v>
      </c>
      <c r="N126" s="131">
        <f>Mangochi!N126+'Monkey Bay'!N126+Namwera!N126+Nkhudzi!N126</f>
        <v>0</v>
      </c>
      <c r="O126" s="131">
        <f>Mangochi!O126+'Monkey Bay'!O126+Namwera!O126+Nkhudzi!O126</f>
        <v>0</v>
      </c>
      <c r="P126" s="71">
        <f>SUM(D126:O126)</f>
        <v>0</v>
      </c>
    </row>
    <row r="127" spans="1:16" x14ac:dyDescent="0.3">
      <c r="A127" s="256"/>
      <c r="B127" s="79" t="s">
        <v>88</v>
      </c>
      <c r="C127" s="11" t="s">
        <v>3</v>
      </c>
      <c r="D127" s="131">
        <f>Mangochi!D127+'Monkey Bay'!D127+Namwera!D127+Nkhudzi!D127</f>
        <v>0</v>
      </c>
      <c r="E127" s="131">
        <f>Mangochi!E127+'Monkey Bay'!E127+Namwera!E127+Nkhudzi!E127</f>
        <v>0</v>
      </c>
      <c r="F127" s="131">
        <f>Mangochi!F127+'Monkey Bay'!F127+Namwera!F127+Nkhudzi!F127</f>
        <v>0</v>
      </c>
      <c r="G127" s="131">
        <f>Mangochi!G127+'Monkey Bay'!G127+Namwera!G127+Nkhudzi!G127</f>
        <v>0</v>
      </c>
      <c r="H127" s="131">
        <f>Mangochi!H127+'Monkey Bay'!H127+Namwera!H127+Nkhudzi!H127</f>
        <v>0</v>
      </c>
      <c r="I127" s="131">
        <f>Mangochi!I127+'Monkey Bay'!I127+Namwera!I127+Nkhudzi!I127</f>
        <v>0</v>
      </c>
      <c r="J127" s="131">
        <f>Mangochi!J127+'Monkey Bay'!J127+Namwera!J127+Nkhudzi!J127</f>
        <v>0</v>
      </c>
      <c r="K127" s="131">
        <f>Mangochi!K127+'Monkey Bay'!K127+Namwera!K127+Nkhudzi!K127</f>
        <v>0</v>
      </c>
      <c r="L127" s="131">
        <f>Mangochi!L127+'Monkey Bay'!L127+Namwera!L127+Nkhudzi!L127</f>
        <v>0</v>
      </c>
      <c r="M127" s="131">
        <f>Mangochi!M127+'Monkey Bay'!M127+Namwera!M127+Nkhudzi!M127</f>
        <v>0</v>
      </c>
      <c r="N127" s="131">
        <f>Mangochi!N127+'Monkey Bay'!N127+Namwera!N127+Nkhudzi!N127</f>
        <v>0</v>
      </c>
      <c r="O127" s="131">
        <f>Mangochi!O127+'Monkey Bay'!O127+Namwera!O127+Nkhudzi!O127</f>
        <v>0</v>
      </c>
      <c r="P127" s="71">
        <f>SUM(D127:O127)</f>
        <v>0</v>
      </c>
    </row>
    <row r="128" spans="1:16" x14ac:dyDescent="0.3">
      <c r="A128" s="256"/>
      <c r="B128" s="23" t="s">
        <v>82</v>
      </c>
      <c r="C128" s="11" t="s">
        <v>3</v>
      </c>
      <c r="D128" s="131">
        <f>Mangochi!D128+'Monkey Bay'!D128+Namwera!D128+Nkhudzi!D128</f>
        <v>0</v>
      </c>
      <c r="E128" s="131">
        <f>Mangochi!E128+'Monkey Bay'!E128+Namwera!E128+Nkhudzi!E128</f>
        <v>0</v>
      </c>
      <c r="F128" s="131">
        <f>Mangochi!F128+'Monkey Bay'!F128+Namwera!F128+Nkhudzi!F128</f>
        <v>0</v>
      </c>
      <c r="G128" s="131">
        <f>Mangochi!G128+'Monkey Bay'!G128+Namwera!G128+Nkhudzi!G128</f>
        <v>0</v>
      </c>
      <c r="H128" s="131">
        <f>Mangochi!H128+'Monkey Bay'!H128+Namwera!H128+Nkhudzi!H128</f>
        <v>0</v>
      </c>
      <c r="I128" s="131">
        <f>Mangochi!I128+'Monkey Bay'!I128+Namwera!I128+Nkhudzi!I128</f>
        <v>0</v>
      </c>
      <c r="J128" s="131">
        <f>Mangochi!J128+'Monkey Bay'!J128+Namwera!J128+Nkhudzi!J128</f>
        <v>0</v>
      </c>
      <c r="K128" s="131">
        <f>Mangochi!K128+'Monkey Bay'!K128+Namwera!K128+Nkhudzi!K128</f>
        <v>0</v>
      </c>
      <c r="L128" s="131">
        <f>Mangochi!L128+'Monkey Bay'!L128+Namwera!L128+Nkhudzi!L128</f>
        <v>0</v>
      </c>
      <c r="M128" s="131">
        <f>Mangochi!M128+'Monkey Bay'!M128+Namwera!M128+Nkhudzi!M128</f>
        <v>0</v>
      </c>
      <c r="N128" s="131">
        <f>Mangochi!N128+'Monkey Bay'!N128+Namwera!N128+Nkhudzi!N128</f>
        <v>0</v>
      </c>
      <c r="O128" s="131">
        <f>Mangochi!O128+'Monkey Bay'!O128+Namwera!O128+Nkhudzi!O128</f>
        <v>0</v>
      </c>
      <c r="P128" s="71">
        <f>SUM(D128:O128)</f>
        <v>0</v>
      </c>
    </row>
    <row r="129" spans="1:16" x14ac:dyDescent="0.3">
      <c r="A129" s="223"/>
      <c r="B129" s="23" t="s">
        <v>81</v>
      </c>
      <c r="C129" s="11" t="s">
        <v>3</v>
      </c>
      <c r="D129" s="129">
        <f t="shared" ref="D129:L129" si="77">D125+D126-D127-D128</f>
        <v>1</v>
      </c>
      <c r="E129" s="129">
        <f t="shared" si="77"/>
        <v>1</v>
      </c>
      <c r="F129" s="129">
        <f t="shared" si="77"/>
        <v>0</v>
      </c>
      <c r="G129" s="129">
        <f t="shared" si="77"/>
        <v>0</v>
      </c>
      <c r="H129" s="129">
        <f t="shared" si="77"/>
        <v>0</v>
      </c>
      <c r="I129" s="129">
        <f t="shared" si="77"/>
        <v>0</v>
      </c>
      <c r="J129" s="129">
        <f t="shared" si="77"/>
        <v>0</v>
      </c>
      <c r="K129" s="129">
        <f t="shared" si="77"/>
        <v>0</v>
      </c>
      <c r="L129" s="129">
        <f t="shared" si="77"/>
        <v>0</v>
      </c>
      <c r="M129" s="129">
        <f t="shared" ref="M129" si="78">M125+M126-M127-M128</f>
        <v>0</v>
      </c>
      <c r="N129" s="129">
        <f t="shared" ref="N129" si="79">N125+N126-N127-N128</f>
        <v>0</v>
      </c>
      <c r="O129" s="129">
        <f t="shared" ref="O129" si="80">O125+O126-O127-O128</f>
        <v>0</v>
      </c>
      <c r="P129" s="34">
        <f>P125+P126-P127-P128</f>
        <v>1</v>
      </c>
    </row>
    <row r="130" spans="1:16" x14ac:dyDescent="0.3">
      <c r="A130" s="222" t="s">
        <v>90</v>
      </c>
      <c r="B130" s="27" t="s">
        <v>85</v>
      </c>
      <c r="C130" s="26" t="s">
        <v>3</v>
      </c>
      <c r="D130" s="131">
        <f>Mangochi!D130+'Monkey Bay'!D130+Namwera!D130+Nkhudzi!D130</f>
        <v>0</v>
      </c>
      <c r="E130" s="131">
        <f>Mangochi!E130+'Monkey Bay'!E130+Namwera!E130+Nkhudzi!E130</f>
        <v>0</v>
      </c>
      <c r="F130" s="131">
        <f>Mangochi!F130+'Monkey Bay'!F130+Namwera!F130+Nkhudzi!F130</f>
        <v>0</v>
      </c>
      <c r="G130" s="131">
        <f>Mangochi!G130+'Monkey Bay'!G130+Namwera!G130+Nkhudzi!G130</f>
        <v>0</v>
      </c>
      <c r="H130" s="131">
        <f>Mangochi!H130+'Monkey Bay'!H130+Namwera!H130+Nkhudzi!H130</f>
        <v>0</v>
      </c>
      <c r="I130" s="131">
        <f>Mangochi!I130+'Monkey Bay'!I130+Namwera!I130+Nkhudzi!I130</f>
        <v>0</v>
      </c>
      <c r="J130" s="131">
        <f>Mangochi!J130+'Monkey Bay'!J130+Namwera!J130+Nkhudzi!J130</f>
        <v>0</v>
      </c>
      <c r="K130" s="131">
        <f>Mangochi!K130+'Monkey Bay'!K130+Namwera!K130+Nkhudzi!K130</f>
        <v>0</v>
      </c>
      <c r="L130" s="131">
        <f>Mangochi!L130+'Monkey Bay'!L130+Namwera!L130+Nkhudzi!L130</f>
        <v>0</v>
      </c>
      <c r="M130" s="131">
        <f>Mangochi!M130+'Monkey Bay'!M130+Namwera!M130+Nkhudzi!M130</f>
        <v>0</v>
      </c>
      <c r="N130" s="131">
        <f>Mangochi!N130+'Monkey Bay'!N130+Namwera!N130+Nkhudzi!N130</f>
        <v>0</v>
      </c>
      <c r="O130" s="131">
        <f>Mangochi!O130+'Monkey Bay'!O130+Namwera!O130+Nkhudzi!O130</f>
        <v>0</v>
      </c>
      <c r="P130" s="34">
        <f>D130</f>
        <v>0</v>
      </c>
    </row>
    <row r="131" spans="1:16" x14ac:dyDescent="0.3">
      <c r="A131" s="256"/>
      <c r="B131" s="23" t="s">
        <v>84</v>
      </c>
      <c r="C131" s="11" t="s">
        <v>3</v>
      </c>
      <c r="D131" s="131">
        <f>Mangochi!D131+'Monkey Bay'!D131+Namwera!D131+Nkhudzi!D131</f>
        <v>0</v>
      </c>
      <c r="E131" s="131">
        <f>Mangochi!E131+'Monkey Bay'!E131+Namwera!E131+Nkhudzi!E131</f>
        <v>0</v>
      </c>
      <c r="F131" s="131">
        <f>Mangochi!F131+'Monkey Bay'!F131+Namwera!F131+Nkhudzi!F131</f>
        <v>0</v>
      </c>
      <c r="G131" s="131">
        <f>Mangochi!G131+'Monkey Bay'!G131+Namwera!G131+Nkhudzi!G131</f>
        <v>0</v>
      </c>
      <c r="H131" s="131">
        <f>Mangochi!H131+'Monkey Bay'!H131+Namwera!H131+Nkhudzi!H131</f>
        <v>0</v>
      </c>
      <c r="I131" s="131">
        <f>Mangochi!I131+'Monkey Bay'!I131+Namwera!I131+Nkhudzi!I131</f>
        <v>0</v>
      </c>
      <c r="J131" s="131">
        <f>Mangochi!J131+'Monkey Bay'!J131+Namwera!J131+Nkhudzi!J131</f>
        <v>0</v>
      </c>
      <c r="K131" s="131">
        <f>Mangochi!K131+'Monkey Bay'!K131+Namwera!K131+Nkhudzi!K131</f>
        <v>0</v>
      </c>
      <c r="L131" s="131">
        <f>Mangochi!L131+'Monkey Bay'!L131+Namwera!L131+Nkhudzi!L131</f>
        <v>0</v>
      </c>
      <c r="M131" s="131">
        <f>Mangochi!M131+'Monkey Bay'!M131+Namwera!M131+Nkhudzi!M131</f>
        <v>0</v>
      </c>
      <c r="N131" s="131">
        <f>Mangochi!N131+'Monkey Bay'!N131+Namwera!N131+Nkhudzi!N131</f>
        <v>0</v>
      </c>
      <c r="O131" s="131">
        <f>Mangochi!O131+'Monkey Bay'!O131+Namwera!O131+Nkhudzi!O131</f>
        <v>0</v>
      </c>
      <c r="P131" s="71">
        <f>SUM(D131:O131)</f>
        <v>0</v>
      </c>
    </row>
    <row r="132" spans="1:16" x14ac:dyDescent="0.3">
      <c r="A132" s="256"/>
      <c r="B132" s="79" t="s">
        <v>88</v>
      </c>
      <c r="C132" s="11" t="s">
        <v>3</v>
      </c>
      <c r="D132" s="131">
        <f>Mangochi!D132+'Monkey Bay'!D132+Namwera!D132+Nkhudzi!D132</f>
        <v>0</v>
      </c>
      <c r="E132" s="131">
        <f>Mangochi!E132+'Monkey Bay'!E132+Namwera!E132+Nkhudzi!E132</f>
        <v>0</v>
      </c>
      <c r="F132" s="131">
        <f>Mangochi!F132+'Monkey Bay'!F132+Namwera!F132+Nkhudzi!F132</f>
        <v>0</v>
      </c>
      <c r="G132" s="131">
        <f>Mangochi!G132+'Monkey Bay'!G132+Namwera!G132+Nkhudzi!G132</f>
        <v>0</v>
      </c>
      <c r="H132" s="131">
        <f>Mangochi!H132+'Monkey Bay'!H132+Namwera!H132+Nkhudzi!H132</f>
        <v>0</v>
      </c>
      <c r="I132" s="131">
        <f>Mangochi!I132+'Monkey Bay'!I132+Namwera!I132+Nkhudzi!I132</f>
        <v>0</v>
      </c>
      <c r="J132" s="131">
        <f>Mangochi!J132+'Monkey Bay'!J132+Namwera!J132+Nkhudzi!J132</f>
        <v>0</v>
      </c>
      <c r="K132" s="131">
        <f>Mangochi!K132+'Monkey Bay'!K132+Namwera!K132+Nkhudzi!K132</f>
        <v>0</v>
      </c>
      <c r="L132" s="131">
        <f>Mangochi!L132+'Monkey Bay'!L132+Namwera!L132+Nkhudzi!L132</f>
        <v>0</v>
      </c>
      <c r="M132" s="131">
        <f>Mangochi!M132+'Monkey Bay'!M132+Namwera!M132+Nkhudzi!M132</f>
        <v>0</v>
      </c>
      <c r="N132" s="131">
        <f>Mangochi!N132+'Monkey Bay'!N132+Namwera!N132+Nkhudzi!N132</f>
        <v>0</v>
      </c>
      <c r="O132" s="131">
        <f>Mangochi!O132+'Monkey Bay'!O132+Namwera!O132+Nkhudzi!O132</f>
        <v>0</v>
      </c>
      <c r="P132" s="71">
        <f>SUM(D132:O132)</f>
        <v>0</v>
      </c>
    </row>
    <row r="133" spans="1:16" x14ac:dyDescent="0.3">
      <c r="A133" s="256"/>
      <c r="B133" s="23" t="s">
        <v>82</v>
      </c>
      <c r="C133" s="11" t="s">
        <v>3</v>
      </c>
      <c r="D133" s="131">
        <f>Mangochi!D133+'Monkey Bay'!D133+Namwera!D133+Nkhudzi!D133</f>
        <v>0</v>
      </c>
      <c r="E133" s="131">
        <f>Mangochi!E133+'Monkey Bay'!E133+Namwera!E133+Nkhudzi!E133</f>
        <v>0</v>
      </c>
      <c r="F133" s="131">
        <f>Mangochi!F133+'Monkey Bay'!F133+Namwera!F133+Nkhudzi!F133</f>
        <v>0</v>
      </c>
      <c r="G133" s="131">
        <f>Mangochi!G133+'Monkey Bay'!G133+Namwera!G133+Nkhudzi!G133</f>
        <v>0</v>
      </c>
      <c r="H133" s="131">
        <f>Mangochi!H133+'Monkey Bay'!H133+Namwera!H133+Nkhudzi!H133</f>
        <v>0</v>
      </c>
      <c r="I133" s="131">
        <f>Mangochi!I133+'Monkey Bay'!I133+Namwera!I133+Nkhudzi!I133</f>
        <v>0</v>
      </c>
      <c r="J133" s="131">
        <f>Mangochi!J133+'Monkey Bay'!J133+Namwera!J133+Nkhudzi!J133</f>
        <v>0</v>
      </c>
      <c r="K133" s="131">
        <f>Mangochi!K133+'Monkey Bay'!K133+Namwera!K133+Nkhudzi!K133</f>
        <v>0</v>
      </c>
      <c r="L133" s="131">
        <f>Mangochi!L133+'Monkey Bay'!L133+Namwera!L133+Nkhudzi!L133</f>
        <v>0</v>
      </c>
      <c r="M133" s="131">
        <f>Mangochi!M133+'Monkey Bay'!M133+Namwera!M133+Nkhudzi!M133</f>
        <v>0</v>
      </c>
      <c r="N133" s="131">
        <f>Mangochi!N133+'Monkey Bay'!N133+Namwera!N133+Nkhudzi!N133</f>
        <v>0</v>
      </c>
      <c r="O133" s="131">
        <f>Mangochi!O133+'Monkey Bay'!O133+Namwera!O133+Nkhudzi!O133</f>
        <v>0</v>
      </c>
      <c r="P133" s="71">
        <f>SUM(D133:O133)</f>
        <v>0</v>
      </c>
    </row>
    <row r="134" spans="1:16" x14ac:dyDescent="0.3">
      <c r="A134" s="223"/>
      <c r="B134" s="23" t="s">
        <v>81</v>
      </c>
      <c r="C134" s="11" t="s">
        <v>3</v>
      </c>
      <c r="D134" s="129">
        <f t="shared" ref="D134:L134" si="81">D130+D131-D132-D133</f>
        <v>0</v>
      </c>
      <c r="E134" s="129">
        <f t="shared" si="81"/>
        <v>0</v>
      </c>
      <c r="F134" s="129">
        <f t="shared" si="81"/>
        <v>0</v>
      </c>
      <c r="G134" s="129">
        <f t="shared" si="81"/>
        <v>0</v>
      </c>
      <c r="H134" s="129">
        <f t="shared" si="81"/>
        <v>0</v>
      </c>
      <c r="I134" s="129">
        <f t="shared" si="81"/>
        <v>0</v>
      </c>
      <c r="J134" s="129">
        <f t="shared" si="81"/>
        <v>0</v>
      </c>
      <c r="K134" s="129">
        <f t="shared" si="81"/>
        <v>0</v>
      </c>
      <c r="L134" s="129">
        <f t="shared" si="81"/>
        <v>0</v>
      </c>
      <c r="M134" s="129">
        <f t="shared" ref="M134" si="82">M130+M131-M132-M133</f>
        <v>0</v>
      </c>
      <c r="N134" s="129">
        <f t="shared" ref="N134" si="83">N130+N131-N132-N133</f>
        <v>0</v>
      </c>
      <c r="O134" s="129">
        <f t="shared" ref="O134" si="84">O130+O131-O132-O133</f>
        <v>0</v>
      </c>
      <c r="P134" s="34">
        <f>P130+P131-P132-P133</f>
        <v>0</v>
      </c>
    </row>
    <row r="135" spans="1:16" x14ac:dyDescent="0.3">
      <c r="A135" s="222" t="s">
        <v>89</v>
      </c>
      <c r="B135" s="23" t="s">
        <v>85</v>
      </c>
      <c r="C135" s="11" t="s">
        <v>3</v>
      </c>
      <c r="D135" s="131">
        <f>Mangochi!D135+'Monkey Bay'!D135+Namwera!D135+Nkhudzi!D135</f>
        <v>0</v>
      </c>
      <c r="E135" s="131">
        <f>Mangochi!E135+'Monkey Bay'!E135+Namwera!E135+Nkhudzi!E135</f>
        <v>0</v>
      </c>
      <c r="F135" s="131">
        <f>Mangochi!F135+'Monkey Bay'!F135+Namwera!F135+Nkhudzi!F135</f>
        <v>0</v>
      </c>
      <c r="G135" s="131">
        <f>Mangochi!G135+'Monkey Bay'!G135+Namwera!G135+Nkhudzi!G135</f>
        <v>0</v>
      </c>
      <c r="H135" s="131">
        <f>Mangochi!H135+'Monkey Bay'!H135+Namwera!H135+Nkhudzi!H135</f>
        <v>0</v>
      </c>
      <c r="I135" s="131">
        <f>Mangochi!I135+'Monkey Bay'!I135+Namwera!I135+Nkhudzi!I135</f>
        <v>0</v>
      </c>
      <c r="J135" s="131">
        <f>Mangochi!J135+'Monkey Bay'!J135+Namwera!J135+Nkhudzi!J135</f>
        <v>0</v>
      </c>
      <c r="K135" s="131">
        <f>Mangochi!K135+'Monkey Bay'!K135+Namwera!K135+Nkhudzi!K135</f>
        <v>0</v>
      </c>
      <c r="L135" s="131">
        <f>Mangochi!L135+'Monkey Bay'!L135+Namwera!L135+Nkhudzi!L135</f>
        <v>0</v>
      </c>
      <c r="M135" s="131">
        <f>Mangochi!M135+'Monkey Bay'!M135+Namwera!M135+Nkhudzi!M135</f>
        <v>0</v>
      </c>
      <c r="N135" s="131">
        <f>Mangochi!N135+'Monkey Bay'!N135+Namwera!N135+Nkhudzi!N135</f>
        <v>0</v>
      </c>
      <c r="O135" s="131">
        <f>Mangochi!O135+'Monkey Bay'!O135+Namwera!O135+Nkhudzi!O135</f>
        <v>0</v>
      </c>
      <c r="P135" s="34">
        <f>D135</f>
        <v>0</v>
      </c>
    </row>
    <row r="136" spans="1:16" x14ac:dyDescent="0.3">
      <c r="A136" s="256"/>
      <c r="B136" s="23" t="s">
        <v>84</v>
      </c>
      <c r="C136" s="11" t="s">
        <v>3</v>
      </c>
      <c r="D136" s="131">
        <f>Mangochi!D136+'Monkey Bay'!D136+Namwera!D136+Nkhudzi!D136</f>
        <v>0</v>
      </c>
      <c r="E136" s="131">
        <f>Mangochi!E136+'Monkey Bay'!E136+Namwera!E136+Nkhudzi!E136</f>
        <v>0</v>
      </c>
      <c r="F136" s="131">
        <f>Mangochi!F136+'Monkey Bay'!F136+Namwera!F136+Nkhudzi!F136</f>
        <v>0</v>
      </c>
      <c r="G136" s="131">
        <f>Mangochi!G136+'Monkey Bay'!G136+Namwera!G136+Nkhudzi!G136</f>
        <v>0</v>
      </c>
      <c r="H136" s="131">
        <f>Mangochi!H136+'Monkey Bay'!H136+Namwera!H136+Nkhudzi!H136</f>
        <v>0</v>
      </c>
      <c r="I136" s="131">
        <f>Mangochi!I136+'Monkey Bay'!I136+Namwera!I136+Nkhudzi!I136</f>
        <v>0</v>
      </c>
      <c r="J136" s="131">
        <f>Mangochi!J136+'Monkey Bay'!J136+Namwera!J136+Nkhudzi!J136</f>
        <v>0</v>
      </c>
      <c r="K136" s="131">
        <f>Mangochi!K136+'Monkey Bay'!K136+Namwera!K136+Nkhudzi!K136</f>
        <v>0</v>
      </c>
      <c r="L136" s="131">
        <f>Mangochi!L136+'Monkey Bay'!L136+Namwera!L136+Nkhudzi!L136</f>
        <v>0</v>
      </c>
      <c r="M136" s="131">
        <f>Mangochi!M136+'Monkey Bay'!M136+Namwera!M136+Nkhudzi!M136</f>
        <v>0</v>
      </c>
      <c r="N136" s="131">
        <f>Mangochi!N136+'Monkey Bay'!N136+Namwera!N136+Nkhudzi!N136</f>
        <v>0</v>
      </c>
      <c r="O136" s="131">
        <f>Mangochi!O136+'Monkey Bay'!O136+Namwera!O136+Nkhudzi!O136</f>
        <v>0</v>
      </c>
      <c r="P136" s="71">
        <f>SUM(D136:O136)</f>
        <v>0</v>
      </c>
    </row>
    <row r="137" spans="1:16" x14ac:dyDescent="0.3">
      <c r="A137" s="256"/>
      <c r="B137" s="79" t="s">
        <v>88</v>
      </c>
      <c r="C137" s="11" t="s">
        <v>3</v>
      </c>
      <c r="D137" s="131">
        <f>Mangochi!D137+'Monkey Bay'!D137+Namwera!D137+Nkhudzi!D137</f>
        <v>0</v>
      </c>
      <c r="E137" s="131">
        <f>Mangochi!E137+'Monkey Bay'!E137+Namwera!E137+Nkhudzi!E137</f>
        <v>0</v>
      </c>
      <c r="F137" s="131">
        <f>Mangochi!F137+'Monkey Bay'!F137+Namwera!F137+Nkhudzi!F137</f>
        <v>0</v>
      </c>
      <c r="G137" s="131">
        <f>Mangochi!G137+'Monkey Bay'!G137+Namwera!G137+Nkhudzi!G137</f>
        <v>0</v>
      </c>
      <c r="H137" s="131">
        <f>Mangochi!H137+'Monkey Bay'!H137+Namwera!H137+Nkhudzi!H137</f>
        <v>0</v>
      </c>
      <c r="I137" s="131">
        <f>Mangochi!I137+'Monkey Bay'!I137+Namwera!I137+Nkhudzi!I137</f>
        <v>0</v>
      </c>
      <c r="J137" s="131">
        <f>Mangochi!J137+'Monkey Bay'!J137+Namwera!J137+Nkhudzi!J137</f>
        <v>0</v>
      </c>
      <c r="K137" s="131">
        <f>Mangochi!K137+'Monkey Bay'!K137+Namwera!K137+Nkhudzi!K137</f>
        <v>0</v>
      </c>
      <c r="L137" s="131">
        <f>Mangochi!L137+'Monkey Bay'!L137+Namwera!L137+Nkhudzi!L137</f>
        <v>0</v>
      </c>
      <c r="M137" s="131">
        <f>Mangochi!M137+'Monkey Bay'!M137+Namwera!M137+Nkhudzi!M137</f>
        <v>0</v>
      </c>
      <c r="N137" s="131">
        <f>Mangochi!N137+'Monkey Bay'!N137+Namwera!N137+Nkhudzi!N137</f>
        <v>0</v>
      </c>
      <c r="O137" s="131">
        <f>Mangochi!O137+'Monkey Bay'!O137+Namwera!O137+Nkhudzi!O137</f>
        <v>0</v>
      </c>
      <c r="P137" s="71">
        <f>SUM(D137:O137)</f>
        <v>0</v>
      </c>
    </row>
    <row r="138" spans="1:16" x14ac:dyDescent="0.3">
      <c r="A138" s="256"/>
      <c r="B138" s="23" t="s">
        <v>82</v>
      </c>
      <c r="C138" s="11" t="s">
        <v>3</v>
      </c>
      <c r="D138" s="131">
        <f>Mangochi!D138+'Monkey Bay'!D138+Namwera!D138+Nkhudzi!D138</f>
        <v>0</v>
      </c>
      <c r="E138" s="131">
        <f>Mangochi!E138+'Monkey Bay'!E138+Namwera!E138+Nkhudzi!E138</f>
        <v>0</v>
      </c>
      <c r="F138" s="131">
        <f>Mangochi!F138+'Monkey Bay'!F138+Namwera!F138+Nkhudzi!F138</f>
        <v>0</v>
      </c>
      <c r="G138" s="131">
        <f>Mangochi!G138+'Monkey Bay'!G138+Namwera!G138+Nkhudzi!G138</f>
        <v>0</v>
      </c>
      <c r="H138" s="131">
        <f>Mangochi!H138+'Monkey Bay'!H138+Namwera!H138+Nkhudzi!H138</f>
        <v>0</v>
      </c>
      <c r="I138" s="131">
        <f>Mangochi!I138+'Monkey Bay'!I138+Namwera!I138+Nkhudzi!I138</f>
        <v>0</v>
      </c>
      <c r="J138" s="131">
        <f>Mangochi!J138+'Monkey Bay'!J138+Namwera!J138+Nkhudzi!J138</f>
        <v>0</v>
      </c>
      <c r="K138" s="131">
        <f>Mangochi!K138+'Monkey Bay'!K138+Namwera!K138+Nkhudzi!K138</f>
        <v>0</v>
      </c>
      <c r="L138" s="131">
        <f>Mangochi!L138+'Monkey Bay'!L138+Namwera!L138+Nkhudzi!L138</f>
        <v>0</v>
      </c>
      <c r="M138" s="131">
        <f>Mangochi!M138+'Monkey Bay'!M138+Namwera!M138+Nkhudzi!M138</f>
        <v>0</v>
      </c>
      <c r="N138" s="131">
        <f>Mangochi!N138+'Monkey Bay'!N138+Namwera!N138+Nkhudzi!N138</f>
        <v>0</v>
      </c>
      <c r="O138" s="131">
        <f>Mangochi!O138+'Monkey Bay'!O138+Namwera!O138+Nkhudzi!O138</f>
        <v>0</v>
      </c>
      <c r="P138" s="71">
        <f>SUM(D138:O138)</f>
        <v>0</v>
      </c>
    </row>
    <row r="139" spans="1:16" x14ac:dyDescent="0.3">
      <c r="A139" s="223"/>
      <c r="B139" s="23" t="s">
        <v>81</v>
      </c>
      <c r="C139" s="11" t="s">
        <v>3</v>
      </c>
      <c r="D139" s="129">
        <f t="shared" ref="D139:L139" si="85">D135+D136-D137-D138</f>
        <v>0</v>
      </c>
      <c r="E139" s="129">
        <f t="shared" si="85"/>
        <v>0</v>
      </c>
      <c r="F139" s="129">
        <f t="shared" si="85"/>
        <v>0</v>
      </c>
      <c r="G139" s="129">
        <f t="shared" si="85"/>
        <v>0</v>
      </c>
      <c r="H139" s="129">
        <f t="shared" si="85"/>
        <v>0</v>
      </c>
      <c r="I139" s="129">
        <f t="shared" si="85"/>
        <v>0</v>
      </c>
      <c r="J139" s="129">
        <f t="shared" si="85"/>
        <v>0</v>
      </c>
      <c r="K139" s="129">
        <f t="shared" si="85"/>
        <v>0</v>
      </c>
      <c r="L139" s="129">
        <f t="shared" si="85"/>
        <v>0</v>
      </c>
      <c r="M139" s="129">
        <f t="shared" ref="M139" si="86">M135+M136-M137-M138</f>
        <v>0</v>
      </c>
      <c r="N139" s="129">
        <f t="shared" ref="N139" si="87">N135+N136-N137-N138</f>
        <v>0</v>
      </c>
      <c r="O139" s="129">
        <f t="shared" ref="O139" si="88">O135+O136-O137-O138</f>
        <v>0</v>
      </c>
      <c r="P139" s="34">
        <f>P135+P136-P137-P138</f>
        <v>0</v>
      </c>
    </row>
    <row r="140" spans="1:16" x14ac:dyDescent="0.3">
      <c r="A140" s="222" t="s">
        <v>87</v>
      </c>
      <c r="B140" s="23" t="s">
        <v>85</v>
      </c>
      <c r="C140" s="11" t="s">
        <v>3</v>
      </c>
      <c r="D140" s="131">
        <f>Mangochi!D140+'Monkey Bay'!D140+Namwera!D140+Nkhudzi!D140</f>
        <v>469</v>
      </c>
      <c r="E140" s="131">
        <f>Mangochi!E140+'Monkey Bay'!E140+Namwera!E140+Nkhudzi!E140</f>
        <v>637</v>
      </c>
      <c r="F140" s="131">
        <f>Mangochi!F140+'Monkey Bay'!F140+Namwera!F140+Nkhudzi!F140</f>
        <v>0</v>
      </c>
      <c r="G140" s="131">
        <f>Mangochi!G140+'Monkey Bay'!G140+Namwera!G140+Nkhudzi!G140</f>
        <v>0</v>
      </c>
      <c r="H140" s="131">
        <f>Mangochi!H140+'Monkey Bay'!H140+Namwera!H140+Nkhudzi!H140</f>
        <v>0</v>
      </c>
      <c r="I140" s="131">
        <f>Mangochi!I140+'Monkey Bay'!I140+Namwera!I140+Nkhudzi!I140</f>
        <v>0</v>
      </c>
      <c r="J140" s="131">
        <f>Mangochi!J140+'Monkey Bay'!J140+Namwera!J140+Nkhudzi!J140</f>
        <v>0</v>
      </c>
      <c r="K140" s="131">
        <f>Mangochi!K140+'Monkey Bay'!K140+Namwera!K140+Nkhudzi!K140</f>
        <v>0</v>
      </c>
      <c r="L140" s="131">
        <f>Mangochi!L140+'Monkey Bay'!L140+Namwera!L140+Nkhudzi!L140</f>
        <v>0</v>
      </c>
      <c r="M140" s="131">
        <f>Mangochi!M140+'Monkey Bay'!M140+Namwera!M140+Nkhudzi!M140</f>
        <v>0</v>
      </c>
      <c r="N140" s="131">
        <f>Mangochi!N140+'Monkey Bay'!N140+Namwera!N140+Nkhudzi!N140</f>
        <v>0</v>
      </c>
      <c r="O140" s="131">
        <f>Mangochi!O140+'Monkey Bay'!O140+Namwera!O140+Nkhudzi!O140</f>
        <v>0</v>
      </c>
      <c r="P140" s="34">
        <f>D140</f>
        <v>469</v>
      </c>
    </row>
    <row r="141" spans="1:16" x14ac:dyDescent="0.3">
      <c r="A141" s="256"/>
      <c r="B141" s="23" t="s">
        <v>84</v>
      </c>
      <c r="C141" s="11" t="s">
        <v>3</v>
      </c>
      <c r="D141" s="131">
        <f>Mangochi!D141+'Monkey Bay'!D141+Namwera!D141+Nkhudzi!D141</f>
        <v>221</v>
      </c>
      <c r="E141" s="131">
        <f>Mangochi!E141+'Monkey Bay'!E141+Namwera!E141+Nkhudzi!E141</f>
        <v>94</v>
      </c>
      <c r="F141" s="131">
        <f>Mangochi!F141+'Monkey Bay'!F141+Namwera!F141+Nkhudzi!F141</f>
        <v>0</v>
      </c>
      <c r="G141" s="131">
        <f>Mangochi!G141+'Monkey Bay'!G141+Namwera!G141+Nkhudzi!G141</f>
        <v>0</v>
      </c>
      <c r="H141" s="131">
        <f>Mangochi!H141+'Monkey Bay'!H141+Namwera!H141+Nkhudzi!H141</f>
        <v>0</v>
      </c>
      <c r="I141" s="131">
        <f>Mangochi!I141+'Monkey Bay'!I141+Namwera!I141+Nkhudzi!I141</f>
        <v>0</v>
      </c>
      <c r="J141" s="131">
        <f>Mangochi!J141+'Monkey Bay'!J141+Namwera!J141+Nkhudzi!J141</f>
        <v>0</v>
      </c>
      <c r="K141" s="131">
        <f>Mangochi!K141+'Monkey Bay'!K141+Namwera!K141+Nkhudzi!K141</f>
        <v>0</v>
      </c>
      <c r="L141" s="131">
        <f>Mangochi!L141+'Monkey Bay'!L141+Namwera!L141+Nkhudzi!L141</f>
        <v>0</v>
      </c>
      <c r="M141" s="131">
        <f>Mangochi!M141+'Monkey Bay'!M141+Namwera!M141+Nkhudzi!M141</f>
        <v>0</v>
      </c>
      <c r="N141" s="131">
        <f>Mangochi!N141+'Monkey Bay'!N141+Namwera!N141+Nkhudzi!N141</f>
        <v>0</v>
      </c>
      <c r="O141" s="131">
        <f>Mangochi!O141+'Monkey Bay'!O141+Namwera!O141+Nkhudzi!O141</f>
        <v>0</v>
      </c>
      <c r="P141" s="71">
        <f>SUM(D141:O141)</f>
        <v>315</v>
      </c>
    </row>
    <row r="142" spans="1:16" x14ac:dyDescent="0.3">
      <c r="A142" s="256"/>
      <c r="B142" s="23" t="s">
        <v>83</v>
      </c>
      <c r="C142" s="11" t="s">
        <v>3</v>
      </c>
      <c r="D142" s="131">
        <f>Mangochi!D142+'Monkey Bay'!D142+Namwera!D142+Nkhudzi!D142</f>
        <v>14</v>
      </c>
      <c r="E142" s="131">
        <f>Mangochi!E142+'Monkey Bay'!E142+Namwera!E142+Nkhudzi!E142</f>
        <v>3</v>
      </c>
      <c r="F142" s="131">
        <f>Mangochi!F142+'Monkey Bay'!F142+Namwera!F142+Nkhudzi!F142</f>
        <v>0</v>
      </c>
      <c r="G142" s="131">
        <f>Mangochi!G142+'Monkey Bay'!G142+Namwera!G142+Nkhudzi!G142</f>
        <v>0</v>
      </c>
      <c r="H142" s="131">
        <f>Mangochi!H142+'Monkey Bay'!H142+Namwera!H142+Nkhudzi!H142</f>
        <v>0</v>
      </c>
      <c r="I142" s="131">
        <f>Mangochi!I142+'Monkey Bay'!I142+Namwera!I142+Nkhudzi!I142</f>
        <v>0</v>
      </c>
      <c r="J142" s="131">
        <f>Mangochi!J142+'Monkey Bay'!J142+Namwera!J142+Nkhudzi!J142</f>
        <v>0</v>
      </c>
      <c r="K142" s="131">
        <f>Mangochi!K142+'Monkey Bay'!K142+Namwera!K142+Nkhudzi!K142</f>
        <v>0</v>
      </c>
      <c r="L142" s="131">
        <f>Mangochi!L142+'Monkey Bay'!L142+Namwera!L142+Nkhudzi!L142</f>
        <v>0</v>
      </c>
      <c r="M142" s="131">
        <f>Mangochi!M142+'Monkey Bay'!M142+Namwera!M142+Nkhudzi!M142</f>
        <v>0</v>
      </c>
      <c r="N142" s="131">
        <f>Mangochi!N142+'Monkey Bay'!N142+Namwera!N142+Nkhudzi!N142</f>
        <v>0</v>
      </c>
      <c r="O142" s="131">
        <f>Mangochi!O142+'Monkey Bay'!O142+Namwera!O142+Nkhudzi!O142</f>
        <v>0</v>
      </c>
      <c r="P142" s="71">
        <f>SUM(D142:O142)</f>
        <v>17</v>
      </c>
    </row>
    <row r="143" spans="1:16" x14ac:dyDescent="0.3">
      <c r="A143" s="256"/>
      <c r="B143" s="23" t="s">
        <v>82</v>
      </c>
      <c r="C143" s="11" t="s">
        <v>3</v>
      </c>
      <c r="D143" s="131">
        <f>Mangochi!D143+'Monkey Bay'!D143+Namwera!D143+Nkhudzi!D143</f>
        <v>39</v>
      </c>
      <c r="E143" s="131">
        <f>Mangochi!E143+'Monkey Bay'!E143+Namwera!E143+Nkhudzi!E143</f>
        <v>32</v>
      </c>
      <c r="F143" s="131">
        <f>Mangochi!F143+'Monkey Bay'!F143+Namwera!F143+Nkhudzi!F143</f>
        <v>0</v>
      </c>
      <c r="G143" s="131">
        <f>Mangochi!G143+'Monkey Bay'!G143+Namwera!G143+Nkhudzi!G143</f>
        <v>0</v>
      </c>
      <c r="H143" s="131">
        <f>Mangochi!H143+'Monkey Bay'!H143+Namwera!H143+Nkhudzi!H143</f>
        <v>0</v>
      </c>
      <c r="I143" s="131">
        <f>Mangochi!I143+'Monkey Bay'!I143+Namwera!I143+Nkhudzi!I143</f>
        <v>0</v>
      </c>
      <c r="J143" s="131">
        <f>Mangochi!J143+'Monkey Bay'!J143+Namwera!J143+Nkhudzi!J143</f>
        <v>0</v>
      </c>
      <c r="K143" s="131">
        <f>Mangochi!K143+'Monkey Bay'!K143+Namwera!K143+Nkhudzi!K143</f>
        <v>0</v>
      </c>
      <c r="L143" s="131">
        <f>Mangochi!L143+'Monkey Bay'!L143+Namwera!L143+Nkhudzi!L143</f>
        <v>0</v>
      </c>
      <c r="M143" s="131">
        <f>Mangochi!M143+'Monkey Bay'!M143+Namwera!M143+Nkhudzi!M143</f>
        <v>0</v>
      </c>
      <c r="N143" s="131">
        <f>Mangochi!N143+'Monkey Bay'!N143+Namwera!N143+Nkhudzi!N143</f>
        <v>0</v>
      </c>
      <c r="O143" s="131">
        <f>Mangochi!O143+'Monkey Bay'!O143+Namwera!O143+Nkhudzi!O143</f>
        <v>0</v>
      </c>
      <c r="P143" s="71">
        <f>SUM(D143:O143)</f>
        <v>71</v>
      </c>
    </row>
    <row r="144" spans="1:16" x14ac:dyDescent="0.3">
      <c r="A144" s="223"/>
      <c r="B144" s="23" t="s">
        <v>81</v>
      </c>
      <c r="C144" s="11" t="s">
        <v>3</v>
      </c>
      <c r="D144" s="129">
        <f t="shared" ref="D144:L144" si="89">D140+D141-D142-D143</f>
        <v>637</v>
      </c>
      <c r="E144" s="129">
        <f t="shared" si="89"/>
        <v>696</v>
      </c>
      <c r="F144" s="129">
        <f t="shared" si="89"/>
        <v>0</v>
      </c>
      <c r="G144" s="129">
        <f t="shared" si="89"/>
        <v>0</v>
      </c>
      <c r="H144" s="129">
        <f t="shared" si="89"/>
        <v>0</v>
      </c>
      <c r="I144" s="129">
        <f t="shared" si="89"/>
        <v>0</v>
      </c>
      <c r="J144" s="129">
        <f t="shared" si="89"/>
        <v>0</v>
      </c>
      <c r="K144" s="129">
        <f t="shared" si="89"/>
        <v>0</v>
      </c>
      <c r="L144" s="129">
        <f t="shared" si="89"/>
        <v>0</v>
      </c>
      <c r="M144" s="129">
        <f t="shared" ref="M144" si="90">M140+M141-M142-M143</f>
        <v>0</v>
      </c>
      <c r="N144" s="129">
        <f t="shared" ref="N144" si="91">N140+N141-N142-N143</f>
        <v>0</v>
      </c>
      <c r="O144" s="129">
        <f t="shared" ref="O144" si="92">O140+O141-O142-O143</f>
        <v>0</v>
      </c>
      <c r="P144" s="34">
        <f>P140+P141-P142-P143</f>
        <v>696</v>
      </c>
    </row>
    <row r="145" spans="1:16" s="2" customFormat="1" x14ac:dyDescent="0.3">
      <c r="A145" s="222" t="s">
        <v>86</v>
      </c>
      <c r="B145" s="23" t="s">
        <v>85</v>
      </c>
      <c r="C145" s="11" t="s">
        <v>3</v>
      </c>
      <c r="D145" s="130">
        <f t="shared" ref="D145:L145" si="93">D125+D130+D135+D140</f>
        <v>470</v>
      </c>
      <c r="E145" s="130">
        <f t="shared" si="93"/>
        <v>638</v>
      </c>
      <c r="F145" s="130">
        <f t="shared" si="93"/>
        <v>0</v>
      </c>
      <c r="G145" s="130">
        <f t="shared" si="93"/>
        <v>0</v>
      </c>
      <c r="H145" s="130">
        <f t="shared" si="93"/>
        <v>0</v>
      </c>
      <c r="I145" s="130">
        <f t="shared" si="93"/>
        <v>0</v>
      </c>
      <c r="J145" s="130">
        <f t="shared" si="93"/>
        <v>0</v>
      </c>
      <c r="K145" s="130">
        <f t="shared" si="93"/>
        <v>0</v>
      </c>
      <c r="L145" s="130">
        <f t="shared" si="93"/>
        <v>0</v>
      </c>
      <c r="M145" s="130">
        <f t="shared" ref="M145" si="94">M125+M130+M135+M140</f>
        <v>0</v>
      </c>
      <c r="N145" s="130">
        <f t="shared" ref="N145" si="95">N125+N130+N135+N140</f>
        <v>0</v>
      </c>
      <c r="O145" s="130">
        <f t="shared" ref="O145" si="96">O125+O130+O135+O140</f>
        <v>0</v>
      </c>
      <c r="P145" s="104">
        <f t="shared" ref="P145:P149" si="97">P125+P130+P135+P140</f>
        <v>470</v>
      </c>
    </row>
    <row r="146" spans="1:16" x14ac:dyDescent="0.3">
      <c r="A146" s="256"/>
      <c r="B146" s="23" t="s">
        <v>84</v>
      </c>
      <c r="C146" s="11" t="s">
        <v>3</v>
      </c>
      <c r="D146" s="130">
        <f t="shared" ref="D146:D148" si="98">D126+D131+D136+D141</f>
        <v>221</v>
      </c>
      <c r="E146" s="130">
        <f t="shared" ref="E146:L146" si="99">E126+E131+E136+E141</f>
        <v>94</v>
      </c>
      <c r="F146" s="130">
        <f t="shared" si="99"/>
        <v>0</v>
      </c>
      <c r="G146" s="130">
        <f t="shared" si="99"/>
        <v>0</v>
      </c>
      <c r="H146" s="130">
        <f t="shared" si="99"/>
        <v>0</v>
      </c>
      <c r="I146" s="130">
        <f t="shared" si="99"/>
        <v>0</v>
      </c>
      <c r="J146" s="130">
        <f t="shared" si="99"/>
        <v>0</v>
      </c>
      <c r="K146" s="130">
        <f t="shared" si="99"/>
        <v>0</v>
      </c>
      <c r="L146" s="130">
        <f t="shared" si="99"/>
        <v>0</v>
      </c>
      <c r="M146" s="130">
        <f t="shared" ref="M146" si="100">M126+M131+M136+M141</f>
        <v>0</v>
      </c>
      <c r="N146" s="130">
        <f t="shared" ref="N146" si="101">N126+N131+N136+N141</f>
        <v>0</v>
      </c>
      <c r="O146" s="130">
        <f t="shared" ref="O146" si="102">O126+O131+O136+O141</f>
        <v>0</v>
      </c>
      <c r="P146" s="104">
        <f t="shared" si="97"/>
        <v>315</v>
      </c>
    </row>
    <row r="147" spans="1:16" x14ac:dyDescent="0.3">
      <c r="A147" s="256"/>
      <c r="B147" s="23" t="s">
        <v>83</v>
      </c>
      <c r="C147" s="11" t="s">
        <v>3</v>
      </c>
      <c r="D147" s="130">
        <f t="shared" si="98"/>
        <v>14</v>
      </c>
      <c r="E147" s="130">
        <f t="shared" ref="E147:L147" si="103">E127+E132+E137+E142</f>
        <v>3</v>
      </c>
      <c r="F147" s="130">
        <f t="shared" si="103"/>
        <v>0</v>
      </c>
      <c r="G147" s="130">
        <f t="shared" si="103"/>
        <v>0</v>
      </c>
      <c r="H147" s="130">
        <f t="shared" si="103"/>
        <v>0</v>
      </c>
      <c r="I147" s="130">
        <f t="shared" si="103"/>
        <v>0</v>
      </c>
      <c r="J147" s="130">
        <f t="shared" si="103"/>
        <v>0</v>
      </c>
      <c r="K147" s="130">
        <f t="shared" si="103"/>
        <v>0</v>
      </c>
      <c r="L147" s="130">
        <f t="shared" si="103"/>
        <v>0</v>
      </c>
      <c r="M147" s="130">
        <f t="shared" ref="M147" si="104">M127+M132+M137+M142</f>
        <v>0</v>
      </c>
      <c r="N147" s="130">
        <f t="shared" ref="N147" si="105">N127+N132+N137+N142</f>
        <v>0</v>
      </c>
      <c r="O147" s="130">
        <f t="shared" ref="O147" si="106">O127+O132+O137+O142</f>
        <v>0</v>
      </c>
      <c r="P147" s="104">
        <f t="shared" si="97"/>
        <v>17</v>
      </c>
    </row>
    <row r="148" spans="1:16" x14ac:dyDescent="0.3">
      <c r="A148" s="256"/>
      <c r="B148" s="23" t="s">
        <v>82</v>
      </c>
      <c r="C148" s="11" t="s">
        <v>3</v>
      </c>
      <c r="D148" s="130">
        <f t="shared" si="98"/>
        <v>39</v>
      </c>
      <c r="E148" s="130">
        <f t="shared" ref="E148:L148" si="107">E128+E133+E138+E143</f>
        <v>32</v>
      </c>
      <c r="F148" s="130">
        <f t="shared" si="107"/>
        <v>0</v>
      </c>
      <c r="G148" s="130">
        <f t="shared" si="107"/>
        <v>0</v>
      </c>
      <c r="H148" s="130">
        <f t="shared" si="107"/>
        <v>0</v>
      </c>
      <c r="I148" s="130">
        <f t="shared" si="107"/>
        <v>0</v>
      </c>
      <c r="J148" s="130">
        <f t="shared" si="107"/>
        <v>0</v>
      </c>
      <c r="K148" s="130">
        <f t="shared" si="107"/>
        <v>0</v>
      </c>
      <c r="L148" s="130">
        <f t="shared" si="107"/>
        <v>0</v>
      </c>
      <c r="M148" s="130">
        <f t="shared" ref="M148" si="108">M128+M133+M138+M143</f>
        <v>0</v>
      </c>
      <c r="N148" s="130">
        <f t="shared" ref="N148" si="109">N128+N133+N138+N143</f>
        <v>0</v>
      </c>
      <c r="O148" s="130">
        <f t="shared" ref="O148" si="110">O128+O133+O138+O143</f>
        <v>0</v>
      </c>
      <c r="P148" s="104">
        <f t="shared" si="97"/>
        <v>71</v>
      </c>
    </row>
    <row r="149" spans="1:16" x14ac:dyDescent="0.3">
      <c r="A149" s="223"/>
      <c r="B149" s="23" t="s">
        <v>81</v>
      </c>
      <c r="C149" s="11" t="s">
        <v>3</v>
      </c>
      <c r="D149" s="129">
        <f t="shared" ref="D149:L149" si="111">D145+D146-D147-D148</f>
        <v>638</v>
      </c>
      <c r="E149" s="129">
        <f t="shared" si="111"/>
        <v>697</v>
      </c>
      <c r="F149" s="129">
        <f t="shared" si="111"/>
        <v>0</v>
      </c>
      <c r="G149" s="129">
        <f t="shared" si="111"/>
        <v>0</v>
      </c>
      <c r="H149" s="129">
        <f t="shared" si="111"/>
        <v>0</v>
      </c>
      <c r="I149" s="129">
        <f t="shared" si="111"/>
        <v>0</v>
      </c>
      <c r="J149" s="129">
        <f t="shared" si="111"/>
        <v>0</v>
      </c>
      <c r="K149" s="129">
        <f t="shared" si="111"/>
        <v>0</v>
      </c>
      <c r="L149" s="129">
        <f t="shared" si="111"/>
        <v>0</v>
      </c>
      <c r="M149" s="129">
        <f t="shared" ref="M149" si="112">M145+M146-M147-M148</f>
        <v>0</v>
      </c>
      <c r="N149" s="129">
        <f t="shared" ref="N149" si="113">N145+N146-N147-N148</f>
        <v>0</v>
      </c>
      <c r="O149" s="129">
        <f t="shared" ref="O149" si="114">O145+O146-O147-O148</f>
        <v>0</v>
      </c>
      <c r="P149" s="104">
        <f t="shared" si="97"/>
        <v>697</v>
      </c>
    </row>
    <row r="150" spans="1:16" ht="14.4" x14ac:dyDescent="0.3">
      <c r="A150" s="257" t="s">
        <v>80</v>
      </c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9"/>
    </row>
    <row r="151" spans="1:16" x14ac:dyDescent="0.3">
      <c r="A151" s="212" t="s">
        <v>79</v>
      </c>
      <c r="B151" s="213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8"/>
    </row>
    <row r="152" spans="1:16" x14ac:dyDescent="0.3">
      <c r="A152" s="267" t="s">
        <v>78</v>
      </c>
      <c r="B152" s="86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8"/>
    </row>
    <row r="153" spans="1:16" x14ac:dyDescent="0.3">
      <c r="A153" s="268"/>
      <c r="B153" s="19" t="s">
        <v>73</v>
      </c>
      <c r="C153" s="11" t="s">
        <v>57</v>
      </c>
      <c r="D153" s="131">
        <f>Mangochi!D153+'Monkey Bay'!D153+Namwera!D153+Nkhudzi!D153</f>
        <v>183</v>
      </c>
      <c r="E153" s="131">
        <f>Mangochi!E153+'Monkey Bay'!E153+Namwera!E153+Nkhudzi!E153</f>
        <v>169</v>
      </c>
      <c r="F153" s="131">
        <f>Mangochi!F153+'Monkey Bay'!F153+Namwera!F153+Nkhudzi!F153</f>
        <v>0</v>
      </c>
      <c r="G153" s="131">
        <f>Mangochi!G153+'Monkey Bay'!G153+Namwera!G153+Nkhudzi!G153</f>
        <v>0</v>
      </c>
      <c r="H153" s="131">
        <f>Mangochi!H153+'Monkey Bay'!H153+Namwera!H153+Nkhudzi!H153</f>
        <v>0</v>
      </c>
      <c r="I153" s="131">
        <f>Mangochi!I153+'Monkey Bay'!I153+Namwera!I153+Nkhudzi!I153</f>
        <v>0</v>
      </c>
      <c r="J153" s="131">
        <f>Mangochi!J153+'Monkey Bay'!J153+Namwera!J153+Nkhudzi!J153</f>
        <v>0</v>
      </c>
      <c r="K153" s="131">
        <f>Mangochi!K153+'Monkey Bay'!K153+Namwera!K153+Nkhudzi!K153</f>
        <v>0</v>
      </c>
      <c r="L153" s="131">
        <f>Mangochi!L153+'Monkey Bay'!L153+Namwera!L153+Nkhudzi!L153</f>
        <v>0</v>
      </c>
      <c r="M153" s="131">
        <f>Mangochi!M153+'Monkey Bay'!M153+Namwera!M153+Nkhudzi!M153</f>
        <v>0</v>
      </c>
      <c r="N153" s="131">
        <f>Mangochi!N153+'Monkey Bay'!N153+Namwera!N153+Nkhudzi!N153</f>
        <v>0</v>
      </c>
      <c r="O153" s="131">
        <f>Mangochi!O153+'Monkey Bay'!O153+Namwera!O153+Nkhudzi!O153</f>
        <v>0</v>
      </c>
      <c r="P153" s="71">
        <f t="shared" ref="P153:P165" si="115">SUM(D153:O153)</f>
        <v>352</v>
      </c>
    </row>
    <row r="154" spans="1:16" x14ac:dyDescent="0.3">
      <c r="A154" s="268"/>
      <c r="B154" s="19" t="s">
        <v>72</v>
      </c>
      <c r="C154" s="11" t="s">
        <v>57</v>
      </c>
      <c r="D154" s="131">
        <f>Mangochi!D154+'Monkey Bay'!D154+Namwera!D154+Nkhudzi!D154</f>
        <v>102</v>
      </c>
      <c r="E154" s="131">
        <f>Mangochi!E154+'Monkey Bay'!E154+Namwera!E154+Nkhudzi!E154</f>
        <v>87</v>
      </c>
      <c r="F154" s="131">
        <f>Mangochi!F154+'Monkey Bay'!F154+Namwera!F154+Nkhudzi!F154</f>
        <v>0</v>
      </c>
      <c r="G154" s="131">
        <f>Mangochi!G154+'Monkey Bay'!G154+Namwera!G154+Nkhudzi!G154</f>
        <v>0</v>
      </c>
      <c r="H154" s="131">
        <f>Mangochi!H154+'Monkey Bay'!H154+Namwera!H154+Nkhudzi!H154</f>
        <v>0</v>
      </c>
      <c r="I154" s="131">
        <f>Mangochi!I154+'Monkey Bay'!I154+Namwera!I154+Nkhudzi!I154</f>
        <v>0</v>
      </c>
      <c r="J154" s="131">
        <f>Mangochi!J154+'Monkey Bay'!J154+Namwera!J154+Nkhudzi!J154</f>
        <v>0</v>
      </c>
      <c r="K154" s="131">
        <f>Mangochi!K154+'Monkey Bay'!K154+Namwera!K154+Nkhudzi!K154</f>
        <v>0</v>
      </c>
      <c r="L154" s="131">
        <f>Mangochi!L154+'Monkey Bay'!L154+Namwera!L154+Nkhudzi!L154</f>
        <v>0</v>
      </c>
      <c r="M154" s="131">
        <f>Mangochi!M154+'Monkey Bay'!M154+Namwera!M154+Nkhudzi!M154</f>
        <v>0</v>
      </c>
      <c r="N154" s="131">
        <f>Mangochi!N154+'Monkey Bay'!N154+Namwera!N154+Nkhudzi!N154</f>
        <v>0</v>
      </c>
      <c r="O154" s="131">
        <f>Mangochi!O154+'Monkey Bay'!O154+Namwera!O154+Nkhudzi!O154</f>
        <v>0</v>
      </c>
      <c r="P154" s="71">
        <f t="shared" si="115"/>
        <v>189</v>
      </c>
    </row>
    <row r="155" spans="1:16" x14ac:dyDescent="0.3">
      <c r="A155" s="268"/>
      <c r="B155" s="19" t="s">
        <v>53</v>
      </c>
      <c r="C155" s="11" t="s">
        <v>57</v>
      </c>
      <c r="D155" s="131">
        <f>Mangochi!D155+'Monkey Bay'!D155+Namwera!D155+Nkhudzi!D155</f>
        <v>33</v>
      </c>
      <c r="E155" s="131">
        <f>Mangochi!E155+'Monkey Bay'!E155+Namwera!E155+Nkhudzi!E155</f>
        <v>38</v>
      </c>
      <c r="F155" s="131">
        <f>Mangochi!F155+'Monkey Bay'!F155+Namwera!F155+Nkhudzi!F155</f>
        <v>0</v>
      </c>
      <c r="G155" s="131">
        <f>Mangochi!G155+'Monkey Bay'!G155+Namwera!G155+Nkhudzi!G155</f>
        <v>0</v>
      </c>
      <c r="H155" s="131">
        <f>Mangochi!H155+'Monkey Bay'!H155+Namwera!H155+Nkhudzi!H155</f>
        <v>0</v>
      </c>
      <c r="I155" s="131">
        <f>Mangochi!I155+'Monkey Bay'!I155+Namwera!I155+Nkhudzi!I155</f>
        <v>0</v>
      </c>
      <c r="J155" s="131">
        <f>Mangochi!J155+'Monkey Bay'!J155+Namwera!J155+Nkhudzi!J155</f>
        <v>0</v>
      </c>
      <c r="K155" s="131">
        <f>Mangochi!K155+'Monkey Bay'!K155+Namwera!K155+Nkhudzi!K155</f>
        <v>0</v>
      </c>
      <c r="L155" s="131">
        <f>Mangochi!L155+'Monkey Bay'!L155+Namwera!L155+Nkhudzi!L155</f>
        <v>0</v>
      </c>
      <c r="M155" s="131">
        <f>Mangochi!M155+'Monkey Bay'!M155+Namwera!M155+Nkhudzi!M155</f>
        <v>0</v>
      </c>
      <c r="N155" s="131">
        <f>Mangochi!N155+'Monkey Bay'!N155+Namwera!N155+Nkhudzi!N155</f>
        <v>0</v>
      </c>
      <c r="O155" s="131">
        <f>Mangochi!O155+'Monkey Bay'!O155+Namwera!O155+Nkhudzi!O155</f>
        <v>0</v>
      </c>
      <c r="P155" s="71">
        <f t="shared" si="115"/>
        <v>71</v>
      </c>
    </row>
    <row r="156" spans="1:16" x14ac:dyDescent="0.3">
      <c r="A156" s="268"/>
      <c r="B156" s="19" t="s">
        <v>71</v>
      </c>
      <c r="C156" s="11" t="s">
        <v>57</v>
      </c>
      <c r="D156" s="131">
        <f>Mangochi!D156+'Monkey Bay'!D156+Namwera!D156+Nkhudzi!D156</f>
        <v>18</v>
      </c>
      <c r="E156" s="131">
        <f>Mangochi!E156+'Monkey Bay'!E156+Namwera!E156+Nkhudzi!E156</f>
        <v>25</v>
      </c>
      <c r="F156" s="131">
        <f>Mangochi!F156+'Monkey Bay'!F156+Namwera!F156+Nkhudzi!F156</f>
        <v>0</v>
      </c>
      <c r="G156" s="131">
        <f>Mangochi!G156+'Monkey Bay'!G156+Namwera!G156+Nkhudzi!G156</f>
        <v>0</v>
      </c>
      <c r="H156" s="131">
        <f>Mangochi!H156+'Monkey Bay'!H156+Namwera!H156+Nkhudzi!H156</f>
        <v>0</v>
      </c>
      <c r="I156" s="131">
        <f>Mangochi!I156+'Monkey Bay'!I156+Namwera!I156+Nkhudzi!I156</f>
        <v>0</v>
      </c>
      <c r="J156" s="131">
        <f>Mangochi!J156+'Monkey Bay'!J156+Namwera!J156+Nkhudzi!J156</f>
        <v>0</v>
      </c>
      <c r="K156" s="131">
        <f>Mangochi!K156+'Monkey Bay'!K156+Namwera!K156+Nkhudzi!K156</f>
        <v>0</v>
      </c>
      <c r="L156" s="131">
        <f>Mangochi!L156+'Monkey Bay'!L156+Namwera!L156+Nkhudzi!L156</f>
        <v>0</v>
      </c>
      <c r="M156" s="131">
        <f>Mangochi!M156+'Monkey Bay'!M156+Namwera!M156+Nkhudzi!M156</f>
        <v>0</v>
      </c>
      <c r="N156" s="131">
        <f>Mangochi!N156+'Monkey Bay'!N156+Namwera!N156+Nkhudzi!N156</f>
        <v>0</v>
      </c>
      <c r="O156" s="131">
        <f>Mangochi!O156+'Monkey Bay'!O156+Namwera!O156+Nkhudzi!O156</f>
        <v>0</v>
      </c>
      <c r="P156" s="71">
        <f t="shared" si="115"/>
        <v>43</v>
      </c>
    </row>
    <row r="157" spans="1:16" x14ac:dyDescent="0.3">
      <c r="A157" s="268"/>
      <c r="B157" s="19" t="s">
        <v>52</v>
      </c>
      <c r="C157" s="11" t="s">
        <v>57</v>
      </c>
      <c r="D157" s="131">
        <f>Mangochi!D157+'Monkey Bay'!D157+Namwera!D157+Nkhudzi!D157</f>
        <v>11</v>
      </c>
      <c r="E157" s="131">
        <f>Mangochi!E157+'Monkey Bay'!E157+Namwera!E157+Nkhudzi!E157</f>
        <v>10</v>
      </c>
      <c r="F157" s="131">
        <f>Mangochi!F157+'Monkey Bay'!F157+Namwera!F157+Nkhudzi!F157</f>
        <v>0</v>
      </c>
      <c r="G157" s="131">
        <f>Mangochi!G157+'Monkey Bay'!G157+Namwera!G157+Nkhudzi!G157</f>
        <v>0</v>
      </c>
      <c r="H157" s="131">
        <f>Mangochi!H157+'Monkey Bay'!H157+Namwera!H157+Nkhudzi!H157</f>
        <v>0</v>
      </c>
      <c r="I157" s="131">
        <f>Mangochi!I157+'Monkey Bay'!I157+Namwera!I157+Nkhudzi!I157</f>
        <v>0</v>
      </c>
      <c r="J157" s="131">
        <f>Mangochi!J157+'Monkey Bay'!J157+Namwera!J157+Nkhudzi!J157</f>
        <v>0</v>
      </c>
      <c r="K157" s="131">
        <f>Mangochi!K157+'Monkey Bay'!K157+Namwera!K157+Nkhudzi!K157</f>
        <v>0</v>
      </c>
      <c r="L157" s="131">
        <f>Mangochi!L157+'Monkey Bay'!L157+Namwera!L157+Nkhudzi!L157</f>
        <v>0</v>
      </c>
      <c r="M157" s="131">
        <f>Mangochi!M157+'Monkey Bay'!M157+Namwera!M157+Nkhudzi!M157</f>
        <v>0</v>
      </c>
      <c r="N157" s="131">
        <f>Mangochi!N157+'Monkey Bay'!N157+Namwera!N157+Nkhudzi!N157</f>
        <v>0</v>
      </c>
      <c r="O157" s="131">
        <f>Mangochi!O157+'Monkey Bay'!O157+Namwera!O157+Nkhudzi!O157</f>
        <v>0</v>
      </c>
      <c r="P157" s="71">
        <f t="shared" si="115"/>
        <v>21</v>
      </c>
    </row>
    <row r="158" spans="1:16" x14ac:dyDescent="0.3">
      <c r="A158" s="268"/>
      <c r="B158" s="19" t="s">
        <v>51</v>
      </c>
      <c r="C158" s="11" t="s">
        <v>57</v>
      </c>
      <c r="D158" s="131">
        <f>Mangochi!D158+'Monkey Bay'!D158+Namwera!D158+Nkhudzi!D158</f>
        <v>9</v>
      </c>
      <c r="E158" s="131">
        <f>Mangochi!E158+'Monkey Bay'!E158+Namwera!E158+Nkhudzi!E158</f>
        <v>14</v>
      </c>
      <c r="F158" s="131">
        <f>Mangochi!F158+'Monkey Bay'!F158+Namwera!F158+Nkhudzi!F158</f>
        <v>0</v>
      </c>
      <c r="G158" s="131">
        <f>Mangochi!G158+'Monkey Bay'!G158+Namwera!G158+Nkhudzi!G158</f>
        <v>0</v>
      </c>
      <c r="H158" s="131">
        <f>Mangochi!H158+'Monkey Bay'!H158+Namwera!H158+Nkhudzi!H158</f>
        <v>0</v>
      </c>
      <c r="I158" s="131">
        <f>Mangochi!I158+'Monkey Bay'!I158+Namwera!I158+Nkhudzi!I158</f>
        <v>0</v>
      </c>
      <c r="J158" s="131">
        <f>Mangochi!J158+'Monkey Bay'!J158+Namwera!J158+Nkhudzi!J158</f>
        <v>0</v>
      </c>
      <c r="K158" s="131">
        <f>Mangochi!K158+'Monkey Bay'!K158+Namwera!K158+Nkhudzi!K158</f>
        <v>0</v>
      </c>
      <c r="L158" s="131">
        <f>Mangochi!L158+'Monkey Bay'!L158+Namwera!L158+Nkhudzi!L158</f>
        <v>0</v>
      </c>
      <c r="M158" s="131">
        <f>Mangochi!M158+'Monkey Bay'!M158+Namwera!M158+Nkhudzi!M158</f>
        <v>0</v>
      </c>
      <c r="N158" s="131">
        <f>Mangochi!N158+'Monkey Bay'!N158+Namwera!N158+Nkhudzi!N158</f>
        <v>0</v>
      </c>
      <c r="O158" s="131">
        <f>Mangochi!O158+'Monkey Bay'!O158+Namwera!O158+Nkhudzi!O158</f>
        <v>0</v>
      </c>
      <c r="P158" s="71">
        <f t="shared" si="115"/>
        <v>23</v>
      </c>
    </row>
    <row r="159" spans="1:16" x14ac:dyDescent="0.3">
      <c r="A159" s="268"/>
      <c r="B159" s="19" t="s">
        <v>62</v>
      </c>
      <c r="C159" s="11" t="s">
        <v>57</v>
      </c>
      <c r="D159" s="131">
        <f>Mangochi!D159+'Monkey Bay'!D159+Namwera!D159+Nkhudzi!D159</f>
        <v>0</v>
      </c>
      <c r="E159" s="131">
        <f>Mangochi!E159+'Monkey Bay'!E159+Namwera!E159+Nkhudzi!E159</f>
        <v>3</v>
      </c>
      <c r="F159" s="131">
        <f>Mangochi!F159+'Monkey Bay'!F159+Namwera!F159+Nkhudzi!F159</f>
        <v>0</v>
      </c>
      <c r="G159" s="131">
        <f>Mangochi!G159+'Monkey Bay'!G159+Namwera!G159+Nkhudzi!G159</f>
        <v>0</v>
      </c>
      <c r="H159" s="131">
        <f>Mangochi!H159+'Monkey Bay'!H159+Namwera!H159+Nkhudzi!H159</f>
        <v>0</v>
      </c>
      <c r="I159" s="131">
        <f>Mangochi!I159+'Monkey Bay'!I159+Namwera!I159+Nkhudzi!I159</f>
        <v>0</v>
      </c>
      <c r="J159" s="131">
        <f>Mangochi!J159+'Monkey Bay'!J159+Namwera!J159+Nkhudzi!J159</f>
        <v>0</v>
      </c>
      <c r="K159" s="131">
        <f>Mangochi!K159+'Monkey Bay'!K159+Namwera!K159+Nkhudzi!K159</f>
        <v>0</v>
      </c>
      <c r="L159" s="131">
        <f>Mangochi!L159+'Monkey Bay'!L159+Namwera!L159+Nkhudzi!L159</f>
        <v>0</v>
      </c>
      <c r="M159" s="131">
        <f>Mangochi!M159+'Monkey Bay'!M159+Namwera!M159+Nkhudzi!M159</f>
        <v>0</v>
      </c>
      <c r="N159" s="131">
        <f>Mangochi!N159+'Monkey Bay'!N159+Namwera!N159+Nkhudzi!N159</f>
        <v>0</v>
      </c>
      <c r="O159" s="131">
        <f>Mangochi!O159+'Monkey Bay'!O159+Namwera!O159+Nkhudzi!O159</f>
        <v>0</v>
      </c>
      <c r="P159" s="71">
        <f t="shared" si="115"/>
        <v>3</v>
      </c>
    </row>
    <row r="160" spans="1:16" x14ac:dyDescent="0.3">
      <c r="A160" s="268"/>
      <c r="B160" s="19" t="s">
        <v>50</v>
      </c>
      <c r="C160" s="11" t="s">
        <v>57</v>
      </c>
      <c r="D160" s="131">
        <f>Mangochi!D160+'Monkey Bay'!D160+Namwera!D160+Nkhudzi!D160</f>
        <v>5</v>
      </c>
      <c r="E160" s="131">
        <f>Mangochi!E160+'Monkey Bay'!E160+Namwera!E160+Nkhudzi!E160</f>
        <v>9</v>
      </c>
      <c r="F160" s="131">
        <f>Mangochi!F160+'Monkey Bay'!F160+Namwera!F160+Nkhudzi!F160</f>
        <v>0</v>
      </c>
      <c r="G160" s="131">
        <f>Mangochi!G160+'Monkey Bay'!G160+Namwera!G160+Nkhudzi!G160</f>
        <v>0</v>
      </c>
      <c r="H160" s="131">
        <f>Mangochi!H160+'Monkey Bay'!H160+Namwera!H160+Nkhudzi!H160</f>
        <v>0</v>
      </c>
      <c r="I160" s="131">
        <f>Mangochi!I160+'Monkey Bay'!I160+Namwera!I160+Nkhudzi!I160</f>
        <v>0</v>
      </c>
      <c r="J160" s="131">
        <f>Mangochi!J160+'Monkey Bay'!J160+Namwera!J160+Nkhudzi!J160</f>
        <v>0</v>
      </c>
      <c r="K160" s="131">
        <f>Mangochi!K160+'Monkey Bay'!K160+Namwera!K160+Nkhudzi!K160</f>
        <v>0</v>
      </c>
      <c r="L160" s="131">
        <f>Mangochi!L160+'Monkey Bay'!L160+Namwera!L160+Nkhudzi!L160</f>
        <v>0</v>
      </c>
      <c r="M160" s="131">
        <f>Mangochi!M160+'Monkey Bay'!M160+Namwera!M160+Nkhudzi!M160</f>
        <v>0</v>
      </c>
      <c r="N160" s="131">
        <f>Mangochi!N160+'Monkey Bay'!N160+Namwera!N160+Nkhudzi!N160</f>
        <v>0</v>
      </c>
      <c r="O160" s="131">
        <f>Mangochi!O160+'Monkey Bay'!O160+Namwera!O160+Nkhudzi!O160</f>
        <v>0</v>
      </c>
      <c r="P160" s="71">
        <f t="shared" si="115"/>
        <v>14</v>
      </c>
    </row>
    <row r="161" spans="1:16" x14ac:dyDescent="0.3">
      <c r="A161" s="268"/>
      <c r="B161" s="19" t="s">
        <v>49</v>
      </c>
      <c r="C161" s="11" t="s">
        <v>57</v>
      </c>
      <c r="D161" s="131">
        <f>Mangochi!D161+'Monkey Bay'!D161+Namwera!D161+Nkhudzi!D161</f>
        <v>3</v>
      </c>
      <c r="E161" s="131">
        <f>Mangochi!E161+'Monkey Bay'!E161+Namwera!E161+Nkhudzi!E161</f>
        <v>0</v>
      </c>
      <c r="F161" s="131">
        <f>Mangochi!F161+'Monkey Bay'!F161+Namwera!F161+Nkhudzi!F161</f>
        <v>0</v>
      </c>
      <c r="G161" s="131">
        <f>Mangochi!G161+'Monkey Bay'!G161+Namwera!G161+Nkhudzi!G161</f>
        <v>0</v>
      </c>
      <c r="H161" s="131">
        <f>Mangochi!H161+'Monkey Bay'!H161+Namwera!H161+Nkhudzi!H161</f>
        <v>0</v>
      </c>
      <c r="I161" s="131">
        <f>Mangochi!I161+'Monkey Bay'!I161+Namwera!I161+Nkhudzi!I161</f>
        <v>0</v>
      </c>
      <c r="J161" s="131">
        <f>Mangochi!J161+'Monkey Bay'!J161+Namwera!J161+Nkhudzi!J161</f>
        <v>0</v>
      </c>
      <c r="K161" s="131">
        <f>Mangochi!K161+'Monkey Bay'!K161+Namwera!K161+Nkhudzi!K161</f>
        <v>0</v>
      </c>
      <c r="L161" s="131">
        <f>Mangochi!L161+'Monkey Bay'!L161+Namwera!L161+Nkhudzi!L161</f>
        <v>0</v>
      </c>
      <c r="M161" s="131">
        <f>Mangochi!M161+'Monkey Bay'!M161+Namwera!M161+Nkhudzi!M161</f>
        <v>0</v>
      </c>
      <c r="N161" s="131">
        <f>Mangochi!N161+'Monkey Bay'!N161+Namwera!N161+Nkhudzi!N161</f>
        <v>0</v>
      </c>
      <c r="O161" s="131">
        <f>Mangochi!O161+'Monkey Bay'!O161+Namwera!O161+Nkhudzi!O161</f>
        <v>0</v>
      </c>
      <c r="P161" s="71">
        <f t="shared" si="115"/>
        <v>3</v>
      </c>
    </row>
    <row r="162" spans="1:16" x14ac:dyDescent="0.3">
      <c r="A162" s="268"/>
      <c r="B162" s="19" t="s">
        <v>77</v>
      </c>
      <c r="C162" s="11" t="s">
        <v>57</v>
      </c>
      <c r="D162" s="131">
        <f>Mangochi!D162+'Monkey Bay'!D162+Namwera!D162+Nkhudzi!D162</f>
        <v>0</v>
      </c>
      <c r="E162" s="131">
        <f>Mangochi!E162+'Monkey Bay'!E162+Namwera!E162+Nkhudzi!E162</f>
        <v>4</v>
      </c>
      <c r="F162" s="131">
        <f>Mangochi!F162+'Monkey Bay'!F162+Namwera!F162+Nkhudzi!F162</f>
        <v>0</v>
      </c>
      <c r="G162" s="131">
        <f>Mangochi!G162+'Monkey Bay'!G162+Namwera!G162+Nkhudzi!G162</f>
        <v>0</v>
      </c>
      <c r="H162" s="131">
        <f>Mangochi!H162+'Monkey Bay'!H162+Namwera!H162+Nkhudzi!H162</f>
        <v>0</v>
      </c>
      <c r="I162" s="131">
        <f>Mangochi!I162+'Monkey Bay'!I162+Namwera!I162+Nkhudzi!I162</f>
        <v>0</v>
      </c>
      <c r="J162" s="131">
        <f>Mangochi!J162+'Monkey Bay'!J162+Namwera!J162+Nkhudzi!J162</f>
        <v>0</v>
      </c>
      <c r="K162" s="131">
        <f>Mangochi!K162+'Monkey Bay'!K162+Namwera!K162+Nkhudzi!K162</f>
        <v>0</v>
      </c>
      <c r="L162" s="131">
        <f>Mangochi!L162+'Monkey Bay'!L162+Namwera!L162+Nkhudzi!L162</f>
        <v>0</v>
      </c>
      <c r="M162" s="131">
        <f>Mangochi!M162+'Monkey Bay'!M162+Namwera!M162+Nkhudzi!M162</f>
        <v>0</v>
      </c>
      <c r="N162" s="131">
        <f>Mangochi!N162+'Monkey Bay'!N162+Namwera!N162+Nkhudzi!N162</f>
        <v>0</v>
      </c>
      <c r="O162" s="131">
        <f>Mangochi!O162+'Monkey Bay'!O162+Namwera!O162+Nkhudzi!O162</f>
        <v>0</v>
      </c>
      <c r="P162" s="71">
        <f t="shared" si="115"/>
        <v>4</v>
      </c>
    </row>
    <row r="163" spans="1:16" x14ac:dyDescent="0.3">
      <c r="A163" s="268"/>
      <c r="B163" s="19" t="s">
        <v>69</v>
      </c>
      <c r="C163" s="11" t="s">
        <v>57</v>
      </c>
      <c r="D163" s="131">
        <f>Mangochi!D163+'Monkey Bay'!D163+Namwera!D163+Nkhudzi!D163</f>
        <v>0</v>
      </c>
      <c r="E163" s="131">
        <f>Mangochi!E163+'Monkey Bay'!E163+Namwera!E163+Nkhudzi!E163</f>
        <v>1</v>
      </c>
      <c r="F163" s="131">
        <f>Mangochi!F163+'Monkey Bay'!F163+Namwera!F163+Nkhudzi!F163</f>
        <v>0</v>
      </c>
      <c r="G163" s="131">
        <f>Mangochi!G163+'Monkey Bay'!G163+Namwera!G163+Nkhudzi!G163</f>
        <v>0</v>
      </c>
      <c r="H163" s="131">
        <f>Mangochi!H163+'Monkey Bay'!H163+Namwera!H163+Nkhudzi!H163</f>
        <v>0</v>
      </c>
      <c r="I163" s="131">
        <f>Mangochi!I163+'Monkey Bay'!I163+Namwera!I163+Nkhudzi!I163</f>
        <v>0</v>
      </c>
      <c r="J163" s="131">
        <f>Mangochi!J163+'Monkey Bay'!J163+Namwera!J163+Nkhudzi!J163</f>
        <v>0</v>
      </c>
      <c r="K163" s="131">
        <f>Mangochi!K163+'Monkey Bay'!K163+Namwera!K163+Nkhudzi!K163</f>
        <v>0</v>
      </c>
      <c r="L163" s="131">
        <f>Mangochi!L163+'Monkey Bay'!L163+Namwera!L163+Nkhudzi!L163</f>
        <v>0</v>
      </c>
      <c r="M163" s="131">
        <f>Mangochi!M163+'Monkey Bay'!M163+Namwera!M163+Nkhudzi!M163</f>
        <v>0</v>
      </c>
      <c r="N163" s="131">
        <f>Mangochi!N163+'Monkey Bay'!N163+Namwera!N163+Nkhudzi!N163</f>
        <v>0</v>
      </c>
      <c r="O163" s="131">
        <f>Mangochi!O163+'Monkey Bay'!O163+Namwera!O163+Nkhudzi!O163</f>
        <v>0</v>
      </c>
      <c r="P163" s="71">
        <f t="shared" si="115"/>
        <v>1</v>
      </c>
    </row>
    <row r="164" spans="1:16" x14ac:dyDescent="0.3">
      <c r="A164" s="268"/>
      <c r="B164" s="19" t="s">
        <v>68</v>
      </c>
      <c r="C164" s="11" t="s">
        <v>57</v>
      </c>
      <c r="D164" s="131">
        <f>Mangochi!D164+'Monkey Bay'!D164+Namwera!D164+Nkhudzi!D164</f>
        <v>0</v>
      </c>
      <c r="E164" s="131">
        <f>Mangochi!E164+'Monkey Bay'!E164+Namwera!E164+Nkhudzi!E164</f>
        <v>1</v>
      </c>
      <c r="F164" s="131">
        <f>Mangochi!F164+'Monkey Bay'!F164+Namwera!F164+Nkhudzi!F164</f>
        <v>0</v>
      </c>
      <c r="G164" s="131">
        <f>Mangochi!G164+'Monkey Bay'!G164+Namwera!G164+Nkhudzi!G164</f>
        <v>0</v>
      </c>
      <c r="H164" s="131">
        <f>Mangochi!H164+'Monkey Bay'!H164+Namwera!H164+Nkhudzi!H164</f>
        <v>0</v>
      </c>
      <c r="I164" s="131">
        <f>Mangochi!I164+'Monkey Bay'!I164+Namwera!I164+Nkhudzi!I164</f>
        <v>0</v>
      </c>
      <c r="J164" s="131">
        <f>Mangochi!J164+'Monkey Bay'!J164+Namwera!J164+Nkhudzi!J164</f>
        <v>0</v>
      </c>
      <c r="K164" s="131">
        <f>Mangochi!K164+'Monkey Bay'!K164+Namwera!K164+Nkhudzi!K164</f>
        <v>0</v>
      </c>
      <c r="L164" s="131">
        <f>Mangochi!L164+'Monkey Bay'!L164+Namwera!L164+Nkhudzi!L164</f>
        <v>0</v>
      </c>
      <c r="M164" s="131">
        <f>Mangochi!M164+'Monkey Bay'!M164+Namwera!M164+Nkhudzi!M164</f>
        <v>0</v>
      </c>
      <c r="N164" s="131">
        <f>Mangochi!N164+'Monkey Bay'!N164+Namwera!N164+Nkhudzi!N164</f>
        <v>0</v>
      </c>
      <c r="O164" s="131">
        <f>Mangochi!O164+'Monkey Bay'!O164+Namwera!O164+Nkhudzi!O164</f>
        <v>0</v>
      </c>
      <c r="P164" s="71">
        <f t="shared" si="115"/>
        <v>1</v>
      </c>
    </row>
    <row r="165" spans="1:16" x14ac:dyDescent="0.3">
      <c r="A165" s="269"/>
      <c r="B165" s="19" t="s">
        <v>76</v>
      </c>
      <c r="C165" s="11" t="s">
        <v>57</v>
      </c>
      <c r="D165" s="131">
        <f>Mangochi!D165+'Monkey Bay'!D165+Namwera!D165+Nkhudzi!D165</f>
        <v>0</v>
      </c>
      <c r="E165" s="131">
        <f>Mangochi!E165+'Monkey Bay'!E165+Namwera!E165+Nkhudzi!E165</f>
        <v>0</v>
      </c>
      <c r="F165" s="131">
        <f>Mangochi!F165+'Monkey Bay'!F165+Namwera!F165+Nkhudzi!F165</f>
        <v>0</v>
      </c>
      <c r="G165" s="131">
        <f>Mangochi!G165+'Monkey Bay'!G165+Namwera!G165+Nkhudzi!G165</f>
        <v>0</v>
      </c>
      <c r="H165" s="131">
        <f>Mangochi!H165+'Monkey Bay'!H165+Namwera!H165+Nkhudzi!H165</f>
        <v>0</v>
      </c>
      <c r="I165" s="131">
        <f>Mangochi!I165+'Monkey Bay'!I165+Namwera!I165+Nkhudzi!I165</f>
        <v>0</v>
      </c>
      <c r="J165" s="131">
        <f>Mangochi!J165+'Monkey Bay'!J165+Namwera!J165+Nkhudzi!J165</f>
        <v>0</v>
      </c>
      <c r="K165" s="131">
        <f>Mangochi!K165+'Monkey Bay'!K165+Namwera!K165+Nkhudzi!K165</f>
        <v>0</v>
      </c>
      <c r="L165" s="131">
        <f>Mangochi!L165+'Monkey Bay'!L165+Namwera!L165+Nkhudzi!L165</f>
        <v>0</v>
      </c>
      <c r="M165" s="131">
        <f>Mangochi!M165+'Monkey Bay'!M165+Namwera!M165+Nkhudzi!M165</f>
        <v>0</v>
      </c>
      <c r="N165" s="131">
        <f>Mangochi!N165+'Monkey Bay'!N165+Namwera!N165+Nkhudzi!N165</f>
        <v>0</v>
      </c>
      <c r="O165" s="131">
        <f>Mangochi!O165+'Monkey Bay'!O165+Namwera!O165+Nkhudzi!O165</f>
        <v>0</v>
      </c>
      <c r="P165" s="71">
        <f t="shared" si="115"/>
        <v>0</v>
      </c>
    </row>
    <row r="166" spans="1:16" x14ac:dyDescent="0.3">
      <c r="A166" s="267" t="s">
        <v>75</v>
      </c>
      <c r="B166" s="21" t="s">
        <v>63</v>
      </c>
      <c r="C166" s="11"/>
      <c r="D166" s="4">
        <f>Mangochi!D166+'Monkey Bay'!D166+Namwera!D166+Nkhudzi!D166</f>
        <v>2</v>
      </c>
      <c r="E166" s="4">
        <f>Mangochi!E166+'Monkey Bay'!E166+Namwera!E166+Nkhudzi!E166</f>
        <v>4</v>
      </c>
      <c r="F166" s="4">
        <f>Mangochi!F166+'Monkey Bay'!F166+Namwera!F166+Nkhudzi!F166</f>
        <v>0</v>
      </c>
      <c r="G166" s="4">
        <f>Mangochi!G166+'Monkey Bay'!G166+Namwera!G166+Nkhudzi!G166</f>
        <v>0</v>
      </c>
      <c r="H166" s="4">
        <f>Mangochi!H166+'Monkey Bay'!H166+Namwera!H166+Nkhudzi!H166</f>
        <v>0</v>
      </c>
      <c r="I166" s="4">
        <f>Mangochi!I166+'Monkey Bay'!I166+Namwera!I166+Nkhudzi!I166</f>
        <v>0</v>
      </c>
      <c r="J166" s="4">
        <f>Mangochi!J166+'Monkey Bay'!J166+Namwera!J166+Nkhudzi!J166</f>
        <v>0</v>
      </c>
      <c r="K166" s="4">
        <f>Mangochi!K166+'Monkey Bay'!K166+Namwera!K166+Nkhudzi!K166</f>
        <v>0</v>
      </c>
      <c r="L166" s="4">
        <f>Mangochi!L166+'Monkey Bay'!L166+Namwera!L166+Nkhudzi!L166</f>
        <v>0</v>
      </c>
      <c r="M166" s="4">
        <f>Mangochi!M166+'Monkey Bay'!M166+Namwera!M166+Nkhudzi!M166</f>
        <v>0</v>
      </c>
      <c r="N166" s="4">
        <f>Mangochi!N166+'Monkey Bay'!N166+Namwera!N166+Nkhudzi!N166</f>
        <v>0</v>
      </c>
      <c r="O166" s="4">
        <f>Mangochi!O166+'Monkey Bay'!O166+Namwera!O166+Nkhudzi!O166</f>
        <v>0</v>
      </c>
      <c r="P166" s="71"/>
    </row>
    <row r="167" spans="1:16" x14ac:dyDescent="0.3">
      <c r="A167" s="268"/>
      <c r="B167" s="19" t="s">
        <v>74</v>
      </c>
      <c r="C167" s="11" t="s">
        <v>57</v>
      </c>
      <c r="D167" s="131">
        <f>Mangochi!D167+'Monkey Bay'!D167+Namwera!D167+Nkhudzi!D167</f>
        <v>7</v>
      </c>
      <c r="E167" s="131">
        <f>Mangochi!E167+'Monkey Bay'!E167+Namwera!E167+Nkhudzi!E167</f>
        <v>0</v>
      </c>
      <c r="F167" s="131">
        <f>Mangochi!F167+'Monkey Bay'!F167+Namwera!F167+Nkhudzi!F167</f>
        <v>0</v>
      </c>
      <c r="G167" s="131">
        <f>Mangochi!G167+'Monkey Bay'!G167+Namwera!G167+Nkhudzi!G167</f>
        <v>0</v>
      </c>
      <c r="H167" s="131">
        <f>Mangochi!H167+'Monkey Bay'!H167+Namwera!H167+Nkhudzi!H167</f>
        <v>0</v>
      </c>
      <c r="I167" s="131">
        <f>Mangochi!I167+'Monkey Bay'!I167+Namwera!I167+Nkhudzi!I167</f>
        <v>0</v>
      </c>
      <c r="J167" s="131">
        <f>Mangochi!J167+'Monkey Bay'!J167+Namwera!J167+Nkhudzi!J167</f>
        <v>0</v>
      </c>
      <c r="K167" s="131">
        <f>Mangochi!K167+'Monkey Bay'!K167+Namwera!K167+Nkhudzi!K167</f>
        <v>0</v>
      </c>
      <c r="L167" s="131">
        <f>Mangochi!L167+'Monkey Bay'!L167+Namwera!L167+Nkhudzi!L167</f>
        <v>0</v>
      </c>
      <c r="M167" s="131">
        <f>Mangochi!M167+'Monkey Bay'!M167+Namwera!M167+Nkhudzi!M167</f>
        <v>0</v>
      </c>
      <c r="N167" s="131">
        <f>Mangochi!N167+'Monkey Bay'!N167+Namwera!N167+Nkhudzi!N167</f>
        <v>0</v>
      </c>
      <c r="O167" s="131">
        <f>Mangochi!O167+'Monkey Bay'!O167+Namwera!O167+Nkhudzi!O167</f>
        <v>0</v>
      </c>
      <c r="P167" s="71">
        <f t="shared" ref="P167:P175" si="116">SUM(D167:O167)</f>
        <v>7</v>
      </c>
    </row>
    <row r="168" spans="1:16" x14ac:dyDescent="0.3">
      <c r="A168" s="268"/>
      <c r="B168" s="19" t="s">
        <v>73</v>
      </c>
      <c r="C168" s="11" t="s">
        <v>57</v>
      </c>
      <c r="D168" s="131">
        <f>Mangochi!D168+'Monkey Bay'!D168+Namwera!D168+Nkhudzi!D168</f>
        <v>4</v>
      </c>
      <c r="E168" s="131">
        <f>Mangochi!E168+'Monkey Bay'!E168+Namwera!E168+Nkhudzi!E168</f>
        <v>0</v>
      </c>
      <c r="F168" s="131">
        <f>Mangochi!F168+'Monkey Bay'!F168+Namwera!F168+Nkhudzi!F168</f>
        <v>0</v>
      </c>
      <c r="G168" s="131">
        <f>Mangochi!G168+'Monkey Bay'!G168+Namwera!G168+Nkhudzi!G168</f>
        <v>0</v>
      </c>
      <c r="H168" s="131">
        <f>Mangochi!H168+'Monkey Bay'!H168+Namwera!H168+Nkhudzi!H168</f>
        <v>0</v>
      </c>
      <c r="I168" s="131">
        <f>Mangochi!I168+'Monkey Bay'!I168+Namwera!I168+Nkhudzi!I168</f>
        <v>0</v>
      </c>
      <c r="J168" s="131">
        <f>Mangochi!J168+'Monkey Bay'!J168+Namwera!J168+Nkhudzi!J168</f>
        <v>0</v>
      </c>
      <c r="K168" s="131">
        <f>Mangochi!K168+'Monkey Bay'!K168+Namwera!K168+Nkhudzi!K168</f>
        <v>0</v>
      </c>
      <c r="L168" s="131">
        <f>Mangochi!L168+'Monkey Bay'!L168+Namwera!L168+Nkhudzi!L168</f>
        <v>0</v>
      </c>
      <c r="M168" s="131">
        <f>Mangochi!M168+'Monkey Bay'!M168+Namwera!M168+Nkhudzi!M168</f>
        <v>0</v>
      </c>
      <c r="N168" s="131">
        <f>Mangochi!N168+'Monkey Bay'!N168+Namwera!N168+Nkhudzi!N168</f>
        <v>0</v>
      </c>
      <c r="O168" s="131">
        <f>Mangochi!O168+'Monkey Bay'!O168+Namwera!O168+Nkhudzi!O168</f>
        <v>0</v>
      </c>
      <c r="P168" s="71">
        <f t="shared" si="116"/>
        <v>4</v>
      </c>
    </row>
    <row r="169" spans="1:16" x14ac:dyDescent="0.3">
      <c r="A169" s="268"/>
      <c r="B169" s="19" t="s">
        <v>72</v>
      </c>
      <c r="C169" s="11" t="s">
        <v>57</v>
      </c>
      <c r="D169" s="131">
        <f>Mangochi!D169+'Monkey Bay'!D169+Namwera!D169+Nkhudzi!D169</f>
        <v>0</v>
      </c>
      <c r="E169" s="131">
        <f>Mangochi!E169+'Monkey Bay'!E169+Namwera!E169+Nkhudzi!E169</f>
        <v>0</v>
      </c>
      <c r="F169" s="131">
        <f>Mangochi!F169+'Monkey Bay'!F169+Namwera!F169+Nkhudzi!F169</f>
        <v>0</v>
      </c>
      <c r="G169" s="131">
        <f>Mangochi!G169+'Monkey Bay'!G169+Namwera!G169+Nkhudzi!G169</f>
        <v>0</v>
      </c>
      <c r="H169" s="131">
        <f>Mangochi!H169+'Monkey Bay'!H169+Namwera!H169+Nkhudzi!H169</f>
        <v>0</v>
      </c>
      <c r="I169" s="131">
        <f>Mangochi!I169+'Monkey Bay'!I169+Namwera!I169+Nkhudzi!I169</f>
        <v>0</v>
      </c>
      <c r="J169" s="131">
        <f>Mangochi!J169+'Monkey Bay'!J169+Namwera!J169+Nkhudzi!J169</f>
        <v>0</v>
      </c>
      <c r="K169" s="131">
        <f>Mangochi!K169+'Monkey Bay'!K169+Namwera!K169+Nkhudzi!K169</f>
        <v>0</v>
      </c>
      <c r="L169" s="131">
        <f>Mangochi!L169+'Monkey Bay'!L169+Namwera!L169+Nkhudzi!L169</f>
        <v>0</v>
      </c>
      <c r="M169" s="131">
        <f>Mangochi!M169+'Monkey Bay'!M169+Namwera!M169+Nkhudzi!M169</f>
        <v>0</v>
      </c>
      <c r="N169" s="131">
        <f>Mangochi!N169+'Monkey Bay'!N169+Namwera!N169+Nkhudzi!N169</f>
        <v>0</v>
      </c>
      <c r="O169" s="131">
        <f>Mangochi!O169+'Monkey Bay'!O169+Namwera!O169+Nkhudzi!O169</f>
        <v>0</v>
      </c>
      <c r="P169" s="71">
        <f t="shared" si="116"/>
        <v>0</v>
      </c>
    </row>
    <row r="170" spans="1:16" x14ac:dyDescent="0.3">
      <c r="A170" s="268"/>
      <c r="B170" s="19" t="s">
        <v>71</v>
      </c>
      <c r="C170" s="11" t="s">
        <v>57</v>
      </c>
      <c r="D170" s="131">
        <f>Mangochi!D170+'Monkey Bay'!D170+Namwera!D170+Nkhudzi!D170</f>
        <v>0</v>
      </c>
      <c r="E170" s="131">
        <f>Mangochi!E170+'Monkey Bay'!E170+Namwera!E170+Nkhudzi!E170</f>
        <v>0</v>
      </c>
      <c r="F170" s="131">
        <f>Mangochi!F170+'Monkey Bay'!F170+Namwera!F170+Nkhudzi!F170</f>
        <v>0</v>
      </c>
      <c r="G170" s="131">
        <f>Mangochi!G170+'Monkey Bay'!G170+Namwera!G170+Nkhudzi!G170</f>
        <v>0</v>
      </c>
      <c r="H170" s="131">
        <f>Mangochi!H170+'Monkey Bay'!H170+Namwera!H170+Nkhudzi!H170</f>
        <v>0</v>
      </c>
      <c r="I170" s="131">
        <f>Mangochi!I170+'Monkey Bay'!I170+Namwera!I170+Nkhudzi!I170</f>
        <v>0</v>
      </c>
      <c r="J170" s="131">
        <f>Mangochi!J170+'Monkey Bay'!J170+Namwera!J170+Nkhudzi!J170</f>
        <v>0</v>
      </c>
      <c r="K170" s="131">
        <f>Mangochi!K170+'Monkey Bay'!K170+Namwera!K170+Nkhudzi!K170</f>
        <v>0</v>
      </c>
      <c r="L170" s="131">
        <f>Mangochi!L170+'Monkey Bay'!L170+Namwera!L170+Nkhudzi!L170</f>
        <v>0</v>
      </c>
      <c r="M170" s="131">
        <f>Mangochi!M170+'Monkey Bay'!M170+Namwera!M170+Nkhudzi!M170</f>
        <v>0</v>
      </c>
      <c r="N170" s="131">
        <f>Mangochi!N170+'Monkey Bay'!N170+Namwera!N170+Nkhudzi!N170</f>
        <v>0</v>
      </c>
      <c r="O170" s="131">
        <f>Mangochi!O170+'Monkey Bay'!O170+Namwera!O170+Nkhudzi!O170</f>
        <v>0</v>
      </c>
      <c r="P170" s="71">
        <f t="shared" si="116"/>
        <v>0</v>
      </c>
    </row>
    <row r="171" spans="1:16" x14ac:dyDescent="0.3">
      <c r="A171" s="268"/>
      <c r="B171" s="19" t="s">
        <v>52</v>
      </c>
      <c r="C171" s="11" t="s">
        <v>57</v>
      </c>
      <c r="D171" s="131">
        <f>Mangochi!D171+'Monkey Bay'!D171+Namwera!D171+Nkhudzi!D171</f>
        <v>0</v>
      </c>
      <c r="E171" s="131">
        <f>Mangochi!E171+'Monkey Bay'!E171+Namwera!E171+Nkhudzi!E171</f>
        <v>0</v>
      </c>
      <c r="F171" s="131">
        <f>Mangochi!F171+'Monkey Bay'!F171+Namwera!F171+Nkhudzi!F171</f>
        <v>0</v>
      </c>
      <c r="G171" s="131">
        <f>Mangochi!G171+'Monkey Bay'!G171+Namwera!G171+Nkhudzi!G171</f>
        <v>0</v>
      </c>
      <c r="H171" s="131">
        <f>Mangochi!H171+'Monkey Bay'!H171+Namwera!H171+Nkhudzi!H171</f>
        <v>0</v>
      </c>
      <c r="I171" s="131">
        <f>Mangochi!I171+'Monkey Bay'!I171+Namwera!I171+Nkhudzi!I171</f>
        <v>0</v>
      </c>
      <c r="J171" s="131">
        <f>Mangochi!J171+'Monkey Bay'!J171+Namwera!J171+Nkhudzi!J171</f>
        <v>0</v>
      </c>
      <c r="K171" s="131">
        <f>Mangochi!K171+'Monkey Bay'!K171+Namwera!K171+Nkhudzi!K171</f>
        <v>0</v>
      </c>
      <c r="L171" s="131">
        <f>Mangochi!L171+'Monkey Bay'!L171+Namwera!L171+Nkhudzi!L171</f>
        <v>0</v>
      </c>
      <c r="M171" s="131">
        <f>Mangochi!M171+'Monkey Bay'!M171+Namwera!M171+Nkhudzi!M171</f>
        <v>0</v>
      </c>
      <c r="N171" s="131">
        <f>Mangochi!N171+'Monkey Bay'!N171+Namwera!N171+Nkhudzi!N171</f>
        <v>0</v>
      </c>
      <c r="O171" s="131">
        <f>Mangochi!O171+'Monkey Bay'!O171+Namwera!O171+Nkhudzi!O171</f>
        <v>0</v>
      </c>
      <c r="P171" s="71">
        <f t="shared" si="116"/>
        <v>0</v>
      </c>
    </row>
    <row r="172" spans="1:16" x14ac:dyDescent="0.3">
      <c r="A172" s="268"/>
      <c r="B172" s="19" t="s">
        <v>62</v>
      </c>
      <c r="C172" s="11" t="s">
        <v>57</v>
      </c>
      <c r="D172" s="131">
        <f>Mangochi!D172+'Monkey Bay'!D172+Namwera!D172+Nkhudzi!D172</f>
        <v>0</v>
      </c>
      <c r="E172" s="131">
        <f>Mangochi!E172+'Monkey Bay'!E172+Namwera!E172+Nkhudzi!E172</f>
        <v>0</v>
      </c>
      <c r="F172" s="131">
        <f>Mangochi!F172+'Monkey Bay'!F172+Namwera!F172+Nkhudzi!F172</f>
        <v>0</v>
      </c>
      <c r="G172" s="131">
        <f>Mangochi!G172+'Monkey Bay'!G172+Namwera!G172+Nkhudzi!G172</f>
        <v>0</v>
      </c>
      <c r="H172" s="131">
        <f>Mangochi!H172+'Monkey Bay'!H172+Namwera!H172+Nkhudzi!H172</f>
        <v>0</v>
      </c>
      <c r="I172" s="131">
        <f>Mangochi!I172+'Monkey Bay'!I172+Namwera!I172+Nkhudzi!I172</f>
        <v>0</v>
      </c>
      <c r="J172" s="131">
        <f>Mangochi!J172+'Monkey Bay'!J172+Namwera!J172+Nkhudzi!J172</f>
        <v>0</v>
      </c>
      <c r="K172" s="131">
        <f>Mangochi!K172+'Monkey Bay'!K172+Namwera!K172+Nkhudzi!K172</f>
        <v>0</v>
      </c>
      <c r="L172" s="131">
        <f>Mangochi!L172+'Monkey Bay'!L172+Namwera!L172+Nkhudzi!L172</f>
        <v>0</v>
      </c>
      <c r="M172" s="131">
        <f>Mangochi!M172+'Monkey Bay'!M172+Namwera!M172+Nkhudzi!M172</f>
        <v>0</v>
      </c>
      <c r="N172" s="131">
        <f>Mangochi!N172+'Monkey Bay'!N172+Namwera!N172+Nkhudzi!N172</f>
        <v>0</v>
      </c>
      <c r="O172" s="131">
        <f>Mangochi!O172+'Monkey Bay'!O172+Namwera!O172+Nkhudzi!O172</f>
        <v>0</v>
      </c>
      <c r="P172" s="71">
        <f t="shared" si="116"/>
        <v>0</v>
      </c>
    </row>
    <row r="173" spans="1:16" x14ac:dyDescent="0.3">
      <c r="A173" s="268"/>
      <c r="B173" s="19" t="s">
        <v>61</v>
      </c>
      <c r="C173" s="11" t="s">
        <v>57</v>
      </c>
      <c r="D173" s="131">
        <f>Mangochi!D173+'Monkey Bay'!D173+Namwera!D173+Nkhudzi!D173</f>
        <v>0</v>
      </c>
      <c r="E173" s="131">
        <f>Mangochi!E173+'Monkey Bay'!E173+Namwera!E173+Nkhudzi!E173</f>
        <v>0</v>
      </c>
      <c r="F173" s="131">
        <f>Mangochi!F173+'Monkey Bay'!F173+Namwera!F173+Nkhudzi!F173</f>
        <v>0</v>
      </c>
      <c r="G173" s="131">
        <f>Mangochi!G173+'Monkey Bay'!G173+Namwera!G173+Nkhudzi!G173</f>
        <v>0</v>
      </c>
      <c r="H173" s="131">
        <f>Mangochi!H173+'Monkey Bay'!H173+Namwera!H173+Nkhudzi!H173</f>
        <v>0</v>
      </c>
      <c r="I173" s="131">
        <f>Mangochi!I173+'Monkey Bay'!I173+Namwera!I173+Nkhudzi!I173</f>
        <v>0</v>
      </c>
      <c r="J173" s="131">
        <f>Mangochi!J173+'Monkey Bay'!J173+Namwera!J173+Nkhudzi!J173</f>
        <v>0</v>
      </c>
      <c r="K173" s="131">
        <f>Mangochi!K173+'Monkey Bay'!K173+Namwera!K173+Nkhudzi!K173</f>
        <v>0</v>
      </c>
      <c r="L173" s="131">
        <f>Mangochi!L173+'Monkey Bay'!L173+Namwera!L173+Nkhudzi!L173</f>
        <v>0</v>
      </c>
      <c r="M173" s="131">
        <f>Mangochi!M173+'Monkey Bay'!M173+Namwera!M173+Nkhudzi!M173</f>
        <v>0</v>
      </c>
      <c r="N173" s="131">
        <f>Mangochi!N173+'Monkey Bay'!N173+Namwera!N173+Nkhudzi!N173</f>
        <v>0</v>
      </c>
      <c r="O173" s="131">
        <f>Mangochi!O173+'Monkey Bay'!O173+Namwera!O173+Nkhudzi!O173</f>
        <v>0</v>
      </c>
      <c r="P173" s="71">
        <f t="shared" si="116"/>
        <v>0</v>
      </c>
    </row>
    <row r="174" spans="1:16" x14ac:dyDescent="0.3">
      <c r="A174" s="268"/>
      <c r="B174" s="19" t="s">
        <v>60</v>
      </c>
      <c r="C174" s="11" t="s">
        <v>57</v>
      </c>
      <c r="D174" s="131">
        <f>Mangochi!D174+'Monkey Bay'!D174+Namwera!D174+Nkhudzi!D174</f>
        <v>0</v>
      </c>
      <c r="E174" s="131">
        <f>Mangochi!E174+'Monkey Bay'!E174+Namwera!E174+Nkhudzi!E174</f>
        <v>0</v>
      </c>
      <c r="F174" s="131">
        <f>Mangochi!F174+'Monkey Bay'!F174+Namwera!F174+Nkhudzi!F174</f>
        <v>0</v>
      </c>
      <c r="G174" s="131">
        <f>Mangochi!G174+'Monkey Bay'!G174+Namwera!G174+Nkhudzi!G174</f>
        <v>0</v>
      </c>
      <c r="H174" s="131">
        <f>Mangochi!H174+'Monkey Bay'!H174+Namwera!H174+Nkhudzi!H174</f>
        <v>0</v>
      </c>
      <c r="I174" s="131">
        <f>Mangochi!I174+'Monkey Bay'!I174+Namwera!I174+Nkhudzi!I174</f>
        <v>0</v>
      </c>
      <c r="J174" s="131">
        <f>Mangochi!J174+'Monkey Bay'!J174+Namwera!J174+Nkhudzi!J174</f>
        <v>0</v>
      </c>
      <c r="K174" s="131">
        <f>Mangochi!K174+'Monkey Bay'!K174+Namwera!K174+Nkhudzi!K174</f>
        <v>0</v>
      </c>
      <c r="L174" s="131">
        <f>Mangochi!L174+'Monkey Bay'!L174+Namwera!L174+Nkhudzi!L174</f>
        <v>0</v>
      </c>
      <c r="M174" s="131">
        <f>Mangochi!M174+'Monkey Bay'!M174+Namwera!M174+Nkhudzi!M174</f>
        <v>0</v>
      </c>
      <c r="N174" s="131">
        <f>Mangochi!N174+'Monkey Bay'!N174+Namwera!N174+Nkhudzi!N174</f>
        <v>0</v>
      </c>
      <c r="O174" s="131">
        <f>Mangochi!O174+'Monkey Bay'!O174+Namwera!O174+Nkhudzi!O174</f>
        <v>0</v>
      </c>
      <c r="P174" s="71">
        <f t="shared" si="116"/>
        <v>0</v>
      </c>
    </row>
    <row r="175" spans="1:16" x14ac:dyDescent="0.3">
      <c r="A175" s="269"/>
      <c r="B175" s="19" t="s">
        <v>69</v>
      </c>
      <c r="C175" s="11" t="s">
        <v>57</v>
      </c>
      <c r="D175" s="131">
        <f>Mangochi!D175+'Monkey Bay'!D175+Namwera!D175+Nkhudzi!D175</f>
        <v>0</v>
      </c>
      <c r="E175" s="131">
        <f>Mangochi!E175+'Monkey Bay'!E175+Namwera!E175+Nkhudzi!E175</f>
        <v>0</v>
      </c>
      <c r="F175" s="131">
        <f>Mangochi!F175+'Monkey Bay'!F175+Namwera!F175+Nkhudzi!F175</f>
        <v>0</v>
      </c>
      <c r="G175" s="131">
        <f>Mangochi!G175+'Monkey Bay'!G175+Namwera!G175+Nkhudzi!G175</f>
        <v>0</v>
      </c>
      <c r="H175" s="131">
        <f>Mangochi!H175+'Monkey Bay'!H175+Namwera!H175+Nkhudzi!H175</f>
        <v>0</v>
      </c>
      <c r="I175" s="131">
        <f>Mangochi!I175+'Monkey Bay'!I175+Namwera!I175+Nkhudzi!I175</f>
        <v>0</v>
      </c>
      <c r="J175" s="131">
        <f>Mangochi!J175+'Monkey Bay'!J175+Namwera!J175+Nkhudzi!J175</f>
        <v>0</v>
      </c>
      <c r="K175" s="131">
        <f>Mangochi!K175+'Monkey Bay'!K175+Namwera!K175+Nkhudzi!K175</f>
        <v>0</v>
      </c>
      <c r="L175" s="131">
        <f>Mangochi!L175+'Monkey Bay'!L175+Namwera!L175+Nkhudzi!L175</f>
        <v>0</v>
      </c>
      <c r="M175" s="131">
        <f>Mangochi!M175+'Monkey Bay'!M175+Namwera!M175+Nkhudzi!M175</f>
        <v>0</v>
      </c>
      <c r="N175" s="131">
        <f>Mangochi!N175+'Monkey Bay'!N175+Namwera!N175+Nkhudzi!N175</f>
        <v>0</v>
      </c>
      <c r="O175" s="131">
        <f>Mangochi!O175+'Monkey Bay'!O175+Namwera!O175+Nkhudzi!O175</f>
        <v>0</v>
      </c>
      <c r="P175" s="71">
        <f t="shared" si="116"/>
        <v>0</v>
      </c>
    </row>
    <row r="176" spans="1:16" x14ac:dyDescent="0.3">
      <c r="A176" s="267" t="s">
        <v>70</v>
      </c>
      <c r="B176" s="21" t="s">
        <v>63</v>
      </c>
      <c r="C176" s="11"/>
      <c r="D176" s="4">
        <f>Mangochi!D176+'Monkey Bay'!D176+Namwera!D176+Nkhudzi!D176</f>
        <v>0</v>
      </c>
      <c r="E176" s="4">
        <f>Mangochi!E176+'Monkey Bay'!E176+Namwera!E176+Nkhudzi!E176</f>
        <v>0</v>
      </c>
      <c r="F176" s="4">
        <f>Mangochi!F176+'Monkey Bay'!F176+Namwera!F176+Nkhudzi!F176</f>
        <v>0</v>
      </c>
      <c r="G176" s="4">
        <f>Mangochi!G176+'Monkey Bay'!G176+Namwera!G176+Nkhudzi!G176</f>
        <v>0</v>
      </c>
      <c r="H176" s="4">
        <f>Mangochi!H176+'Monkey Bay'!H176+Namwera!H176+Nkhudzi!H176</f>
        <v>0</v>
      </c>
      <c r="I176" s="4">
        <f>Mangochi!I176+'Monkey Bay'!I176+Namwera!I176+Nkhudzi!I176</f>
        <v>0</v>
      </c>
      <c r="J176" s="4">
        <f>Mangochi!J176+'Monkey Bay'!J176+Namwera!J176+Nkhudzi!J176</f>
        <v>0</v>
      </c>
      <c r="K176" s="4">
        <f>Mangochi!K176+'Monkey Bay'!K176+Namwera!K176+Nkhudzi!K176</f>
        <v>0</v>
      </c>
      <c r="L176" s="4">
        <f>Mangochi!L176+'Monkey Bay'!L176+Namwera!L176+Nkhudzi!L176</f>
        <v>0</v>
      </c>
      <c r="M176" s="4">
        <f>Mangochi!M176+'Monkey Bay'!M176+Namwera!M176+Nkhudzi!M176</f>
        <v>0</v>
      </c>
      <c r="N176" s="4">
        <f>Mangochi!N176+'Monkey Bay'!N176+Namwera!N176+Nkhudzi!N176</f>
        <v>0</v>
      </c>
      <c r="O176" s="4">
        <f>Mangochi!O176+'Monkey Bay'!O176+Namwera!O176+Nkhudzi!O176</f>
        <v>0</v>
      </c>
      <c r="P176" s="71"/>
    </row>
    <row r="177" spans="1:16" x14ac:dyDescent="0.3">
      <c r="A177" s="268"/>
      <c r="B177" s="19" t="s">
        <v>60</v>
      </c>
      <c r="C177" s="11" t="s">
        <v>57</v>
      </c>
      <c r="D177" s="131">
        <f>Mangochi!D177+'Monkey Bay'!D177+Namwera!D177+Nkhudzi!D177</f>
        <v>0</v>
      </c>
      <c r="E177" s="131">
        <f>Mangochi!E177+'Monkey Bay'!E177+Namwera!E177+Nkhudzi!E177</f>
        <v>0</v>
      </c>
      <c r="F177" s="131">
        <f>Mangochi!F177+'Monkey Bay'!F177+Namwera!F177+Nkhudzi!F177</f>
        <v>0</v>
      </c>
      <c r="G177" s="131">
        <f>Mangochi!G177+'Monkey Bay'!G177+Namwera!G177+Nkhudzi!G177</f>
        <v>0</v>
      </c>
      <c r="H177" s="131">
        <f>Mangochi!H177+'Monkey Bay'!H177+Namwera!H177+Nkhudzi!H177</f>
        <v>0</v>
      </c>
      <c r="I177" s="131">
        <f>Mangochi!I177+'Monkey Bay'!I177+Namwera!I177+Nkhudzi!I177</f>
        <v>0</v>
      </c>
      <c r="J177" s="131">
        <f>Mangochi!J177+'Monkey Bay'!J177+Namwera!J177+Nkhudzi!J177</f>
        <v>0</v>
      </c>
      <c r="K177" s="131">
        <f>Mangochi!K177+'Monkey Bay'!K177+Namwera!K177+Nkhudzi!K177</f>
        <v>0</v>
      </c>
      <c r="L177" s="131">
        <f>Mangochi!L177+'Monkey Bay'!L177+Namwera!L177+Nkhudzi!L177</f>
        <v>0</v>
      </c>
      <c r="M177" s="131">
        <f>Mangochi!M177+'Monkey Bay'!M177+Namwera!M177+Nkhudzi!M177</f>
        <v>0</v>
      </c>
      <c r="N177" s="131">
        <f>Mangochi!N177+'Monkey Bay'!N177+Namwera!N177+Nkhudzi!N177</f>
        <v>0</v>
      </c>
      <c r="O177" s="131">
        <f>Mangochi!O177+'Monkey Bay'!O177+Namwera!O177+Nkhudzi!O177</f>
        <v>0</v>
      </c>
      <c r="P177" s="71">
        <f t="shared" ref="P177:P182" si="117">SUM(D177:O177)</f>
        <v>0</v>
      </c>
    </row>
    <row r="178" spans="1:16" x14ac:dyDescent="0.3">
      <c r="A178" s="268"/>
      <c r="B178" s="19" t="s">
        <v>69</v>
      </c>
      <c r="C178" s="11" t="s">
        <v>57</v>
      </c>
      <c r="D178" s="131">
        <f>Mangochi!D178+'Monkey Bay'!D178+Namwera!D178+Nkhudzi!D178</f>
        <v>0</v>
      </c>
      <c r="E178" s="131">
        <f>Mangochi!E178+'Monkey Bay'!E178+Namwera!E178+Nkhudzi!E178</f>
        <v>0</v>
      </c>
      <c r="F178" s="131">
        <f>Mangochi!F178+'Monkey Bay'!F178+Namwera!F178+Nkhudzi!F178</f>
        <v>0</v>
      </c>
      <c r="G178" s="131">
        <f>Mangochi!G178+'Monkey Bay'!G178+Namwera!G178+Nkhudzi!G178</f>
        <v>0</v>
      </c>
      <c r="H178" s="131">
        <f>Mangochi!H178+'Monkey Bay'!H178+Namwera!H178+Nkhudzi!H178</f>
        <v>0</v>
      </c>
      <c r="I178" s="131">
        <f>Mangochi!I178+'Monkey Bay'!I178+Namwera!I178+Nkhudzi!I178</f>
        <v>0</v>
      </c>
      <c r="J178" s="131">
        <f>Mangochi!J178+'Monkey Bay'!J178+Namwera!J178+Nkhudzi!J178</f>
        <v>0</v>
      </c>
      <c r="K178" s="131">
        <f>Mangochi!K178+'Monkey Bay'!K178+Namwera!K178+Nkhudzi!K178</f>
        <v>0</v>
      </c>
      <c r="L178" s="131">
        <f>Mangochi!L178+'Monkey Bay'!L178+Namwera!L178+Nkhudzi!L178</f>
        <v>0</v>
      </c>
      <c r="M178" s="131">
        <f>Mangochi!M178+'Monkey Bay'!M178+Namwera!M178+Nkhudzi!M178</f>
        <v>0</v>
      </c>
      <c r="N178" s="131">
        <f>Mangochi!N178+'Monkey Bay'!N178+Namwera!N178+Nkhudzi!N178</f>
        <v>0</v>
      </c>
      <c r="O178" s="131">
        <f>Mangochi!O178+'Monkey Bay'!O178+Namwera!O178+Nkhudzi!O178</f>
        <v>0</v>
      </c>
      <c r="P178" s="71">
        <f t="shared" si="117"/>
        <v>0</v>
      </c>
    </row>
    <row r="179" spans="1:16" x14ac:dyDescent="0.3">
      <c r="A179" s="268"/>
      <c r="B179" s="19" t="s">
        <v>68</v>
      </c>
      <c r="C179" s="11" t="s">
        <v>57</v>
      </c>
      <c r="D179" s="131">
        <f>Mangochi!D179+'Monkey Bay'!D179+Namwera!D179+Nkhudzi!D179</f>
        <v>0</v>
      </c>
      <c r="E179" s="131">
        <f>Mangochi!E179+'Monkey Bay'!E179+Namwera!E179+Nkhudzi!E179</f>
        <v>0</v>
      </c>
      <c r="F179" s="131">
        <f>Mangochi!F179+'Monkey Bay'!F179+Namwera!F179+Nkhudzi!F179</f>
        <v>0</v>
      </c>
      <c r="G179" s="131">
        <f>Mangochi!G179+'Monkey Bay'!G179+Namwera!G179+Nkhudzi!G179</f>
        <v>0</v>
      </c>
      <c r="H179" s="131">
        <f>Mangochi!H179+'Monkey Bay'!H179+Namwera!H179+Nkhudzi!H179</f>
        <v>0</v>
      </c>
      <c r="I179" s="131">
        <f>Mangochi!I179+'Monkey Bay'!I179+Namwera!I179+Nkhudzi!I179</f>
        <v>0</v>
      </c>
      <c r="J179" s="131">
        <f>Mangochi!J179+'Monkey Bay'!J179+Namwera!J179+Nkhudzi!J179</f>
        <v>0</v>
      </c>
      <c r="K179" s="131">
        <f>Mangochi!K179+'Monkey Bay'!K179+Namwera!K179+Nkhudzi!K179</f>
        <v>0</v>
      </c>
      <c r="L179" s="131">
        <f>Mangochi!L179+'Monkey Bay'!L179+Namwera!L179+Nkhudzi!L179</f>
        <v>0</v>
      </c>
      <c r="M179" s="131">
        <f>Mangochi!M179+'Monkey Bay'!M179+Namwera!M179+Nkhudzi!M179</f>
        <v>0</v>
      </c>
      <c r="N179" s="131">
        <f>Mangochi!N179+'Monkey Bay'!N179+Namwera!N179+Nkhudzi!N179</f>
        <v>0</v>
      </c>
      <c r="O179" s="131">
        <f>Mangochi!O179+'Monkey Bay'!O179+Namwera!O179+Nkhudzi!O179</f>
        <v>0</v>
      </c>
      <c r="P179" s="71">
        <f t="shared" si="117"/>
        <v>0</v>
      </c>
    </row>
    <row r="180" spans="1:16" x14ac:dyDescent="0.3">
      <c r="A180" s="268"/>
      <c r="B180" s="19" t="s">
        <v>67</v>
      </c>
      <c r="C180" s="11" t="s">
        <v>57</v>
      </c>
      <c r="D180" s="131">
        <f>Mangochi!D180+'Monkey Bay'!D180+Namwera!D180+Nkhudzi!D180</f>
        <v>0</v>
      </c>
      <c r="E180" s="131">
        <f>Mangochi!E180+'Monkey Bay'!E180+Namwera!E180+Nkhudzi!E180</f>
        <v>0</v>
      </c>
      <c r="F180" s="131">
        <f>Mangochi!F180+'Monkey Bay'!F180+Namwera!F180+Nkhudzi!F180</f>
        <v>0</v>
      </c>
      <c r="G180" s="131">
        <f>Mangochi!G180+'Monkey Bay'!G180+Namwera!G180+Nkhudzi!G180</f>
        <v>0</v>
      </c>
      <c r="H180" s="131">
        <f>Mangochi!H180+'Monkey Bay'!H180+Namwera!H180+Nkhudzi!H180</f>
        <v>0</v>
      </c>
      <c r="I180" s="131">
        <f>Mangochi!I180+'Monkey Bay'!I180+Namwera!I180+Nkhudzi!I180</f>
        <v>0</v>
      </c>
      <c r="J180" s="131">
        <f>Mangochi!J180+'Monkey Bay'!J180+Namwera!J180+Nkhudzi!J180</f>
        <v>0</v>
      </c>
      <c r="K180" s="131">
        <f>Mangochi!K180+'Monkey Bay'!K180+Namwera!K180+Nkhudzi!K180</f>
        <v>0</v>
      </c>
      <c r="L180" s="131">
        <f>Mangochi!L180+'Monkey Bay'!L180+Namwera!L180+Nkhudzi!L180</f>
        <v>0</v>
      </c>
      <c r="M180" s="131">
        <f>Mangochi!M180+'Monkey Bay'!M180+Namwera!M180+Nkhudzi!M180</f>
        <v>0</v>
      </c>
      <c r="N180" s="131">
        <f>Mangochi!N180+'Monkey Bay'!N180+Namwera!N180+Nkhudzi!N180</f>
        <v>0</v>
      </c>
      <c r="O180" s="131">
        <f>Mangochi!O180+'Monkey Bay'!O180+Namwera!O180+Nkhudzi!O180</f>
        <v>0</v>
      </c>
      <c r="P180" s="71">
        <f t="shared" si="117"/>
        <v>0</v>
      </c>
    </row>
    <row r="181" spans="1:16" x14ac:dyDescent="0.3">
      <c r="A181" s="268"/>
      <c r="B181" s="19" t="s">
        <v>66</v>
      </c>
      <c r="C181" s="11" t="s">
        <v>57</v>
      </c>
      <c r="D181" s="131">
        <f>Mangochi!D181+'Monkey Bay'!D181+Namwera!D181+Nkhudzi!D181</f>
        <v>0</v>
      </c>
      <c r="E181" s="131">
        <f>Mangochi!E181+'Monkey Bay'!E181+Namwera!E181+Nkhudzi!E181</f>
        <v>0</v>
      </c>
      <c r="F181" s="131">
        <f>Mangochi!F181+'Monkey Bay'!F181+Namwera!F181+Nkhudzi!F181</f>
        <v>0</v>
      </c>
      <c r="G181" s="131">
        <f>Mangochi!G181+'Monkey Bay'!G181+Namwera!G181+Nkhudzi!G181</f>
        <v>0</v>
      </c>
      <c r="H181" s="131">
        <f>Mangochi!H181+'Monkey Bay'!H181+Namwera!H181+Nkhudzi!H181</f>
        <v>0</v>
      </c>
      <c r="I181" s="131">
        <f>Mangochi!I181+'Monkey Bay'!I181+Namwera!I181+Nkhudzi!I181</f>
        <v>0</v>
      </c>
      <c r="J181" s="131">
        <f>Mangochi!J181+'Monkey Bay'!J181+Namwera!J181+Nkhudzi!J181</f>
        <v>0</v>
      </c>
      <c r="K181" s="131">
        <f>Mangochi!K181+'Monkey Bay'!K181+Namwera!K181+Nkhudzi!K181</f>
        <v>0</v>
      </c>
      <c r="L181" s="131">
        <f>Mangochi!L181+'Monkey Bay'!L181+Namwera!L181+Nkhudzi!L181</f>
        <v>0</v>
      </c>
      <c r="M181" s="131">
        <f>Mangochi!M181+'Monkey Bay'!M181+Namwera!M181+Nkhudzi!M181</f>
        <v>0</v>
      </c>
      <c r="N181" s="131">
        <f>Mangochi!N181+'Monkey Bay'!N181+Namwera!N181+Nkhudzi!N181</f>
        <v>0</v>
      </c>
      <c r="O181" s="131">
        <f>Mangochi!O181+'Monkey Bay'!O181+Namwera!O181+Nkhudzi!O181</f>
        <v>0</v>
      </c>
      <c r="P181" s="71">
        <f t="shared" si="117"/>
        <v>0</v>
      </c>
    </row>
    <row r="182" spans="1:16" x14ac:dyDescent="0.3">
      <c r="A182" s="269"/>
      <c r="B182" s="19" t="s">
        <v>65</v>
      </c>
      <c r="C182" s="11" t="s">
        <v>57</v>
      </c>
      <c r="D182" s="131">
        <f>Mangochi!D182+'Monkey Bay'!D182+Namwera!D182+Nkhudzi!D182</f>
        <v>0</v>
      </c>
      <c r="E182" s="131">
        <f>Mangochi!E182+'Monkey Bay'!E182+Namwera!E182+Nkhudzi!E182</f>
        <v>0</v>
      </c>
      <c r="F182" s="131">
        <f>Mangochi!F182+'Monkey Bay'!F182+Namwera!F182+Nkhudzi!F182</f>
        <v>0</v>
      </c>
      <c r="G182" s="131">
        <f>Mangochi!G182+'Monkey Bay'!G182+Namwera!G182+Nkhudzi!G182</f>
        <v>0</v>
      </c>
      <c r="H182" s="131">
        <f>Mangochi!H182+'Monkey Bay'!H182+Namwera!H182+Nkhudzi!H182</f>
        <v>0</v>
      </c>
      <c r="I182" s="131">
        <f>Mangochi!I182+'Monkey Bay'!I182+Namwera!I182+Nkhudzi!I182</f>
        <v>0</v>
      </c>
      <c r="J182" s="131">
        <f>Mangochi!J182+'Monkey Bay'!J182+Namwera!J182+Nkhudzi!J182</f>
        <v>0</v>
      </c>
      <c r="K182" s="131">
        <f>Mangochi!K182+'Monkey Bay'!K182+Namwera!K182+Nkhudzi!K182</f>
        <v>0</v>
      </c>
      <c r="L182" s="131">
        <f>Mangochi!L182+'Monkey Bay'!L182+Namwera!L182+Nkhudzi!L182</f>
        <v>0</v>
      </c>
      <c r="M182" s="131">
        <f>Mangochi!M182+'Monkey Bay'!M182+Namwera!M182+Nkhudzi!M182</f>
        <v>0</v>
      </c>
      <c r="N182" s="131">
        <f>Mangochi!N182+'Monkey Bay'!N182+Namwera!N182+Nkhudzi!N182</f>
        <v>0</v>
      </c>
      <c r="O182" s="131">
        <f>Mangochi!O182+'Monkey Bay'!O182+Namwera!O182+Nkhudzi!O182</f>
        <v>0</v>
      </c>
      <c r="P182" s="71">
        <f t="shared" si="117"/>
        <v>0</v>
      </c>
    </row>
    <row r="183" spans="1:16" x14ac:dyDescent="0.3">
      <c r="A183" s="267" t="s">
        <v>211</v>
      </c>
      <c r="B183" s="21" t="s">
        <v>63</v>
      </c>
      <c r="C183" s="11"/>
      <c r="D183" s="4">
        <f>Mangochi!D183+'Monkey Bay'!D183+Namwera!D183+Nkhudzi!D183</f>
        <v>0</v>
      </c>
      <c r="E183" s="4">
        <f>Mangochi!E183+'Monkey Bay'!E183+Namwera!E183+Nkhudzi!E183</f>
        <v>0</v>
      </c>
      <c r="F183" s="4">
        <f>Mangochi!F183+'Monkey Bay'!F183+Namwera!F183+Nkhudzi!F183</f>
        <v>0</v>
      </c>
      <c r="G183" s="4">
        <f>Mangochi!G183+'Monkey Bay'!G183+Namwera!G183+Nkhudzi!G183</f>
        <v>0</v>
      </c>
      <c r="H183" s="4">
        <f>Mangochi!H183+'Monkey Bay'!H183+Namwera!H183+Nkhudzi!H183</f>
        <v>0</v>
      </c>
      <c r="I183" s="4">
        <f>Mangochi!I183+'Monkey Bay'!I183+Namwera!I183+Nkhudzi!I183</f>
        <v>0</v>
      </c>
      <c r="J183" s="4">
        <f>Mangochi!J183+'Monkey Bay'!J183+Namwera!J183+Nkhudzi!J183</f>
        <v>0</v>
      </c>
      <c r="K183" s="4">
        <f>Mangochi!K183+'Monkey Bay'!K183+Namwera!K183+Nkhudzi!K183</f>
        <v>0</v>
      </c>
      <c r="L183" s="4">
        <f>Mangochi!L183+'Monkey Bay'!L183+Namwera!L183+Nkhudzi!L183</f>
        <v>0</v>
      </c>
      <c r="M183" s="4">
        <f>Mangochi!M183+'Monkey Bay'!M183+Namwera!M183+Nkhudzi!M183</f>
        <v>0</v>
      </c>
      <c r="N183" s="4">
        <f>Mangochi!N183+'Monkey Bay'!N183+Namwera!N183+Nkhudzi!N183</f>
        <v>0</v>
      </c>
      <c r="O183" s="4">
        <f>Mangochi!O183+'Monkey Bay'!O183+Namwera!O183+Nkhudzi!O183</f>
        <v>0</v>
      </c>
      <c r="P183" s="71"/>
    </row>
    <row r="184" spans="1:16" x14ac:dyDescent="0.3">
      <c r="A184" s="268"/>
      <c r="B184" s="19" t="s">
        <v>73</v>
      </c>
      <c r="C184" s="11" t="s">
        <v>57</v>
      </c>
      <c r="D184" s="131">
        <f>Mangochi!D184+'Monkey Bay'!D184+Namwera!D184+Nkhudzi!D184</f>
        <v>0</v>
      </c>
      <c r="E184" s="131">
        <f>Mangochi!E184+'Monkey Bay'!E184+Namwera!E184+Nkhudzi!E184</f>
        <v>0</v>
      </c>
      <c r="F184" s="131">
        <f>Mangochi!F184+'Monkey Bay'!F184+Namwera!F184+Nkhudzi!F184</f>
        <v>0</v>
      </c>
      <c r="G184" s="131">
        <f>Mangochi!G184+'Monkey Bay'!G184+Namwera!G184+Nkhudzi!G184</f>
        <v>0</v>
      </c>
      <c r="H184" s="131">
        <f>Mangochi!H184+'Monkey Bay'!H184+Namwera!H184+Nkhudzi!H184</f>
        <v>0</v>
      </c>
      <c r="I184" s="131">
        <f>Mangochi!I184+'Monkey Bay'!I184+Namwera!I184+Nkhudzi!I184</f>
        <v>0</v>
      </c>
      <c r="J184" s="131">
        <f>Mangochi!J184+'Monkey Bay'!J184+Namwera!J184+Nkhudzi!J184</f>
        <v>0</v>
      </c>
      <c r="K184" s="131">
        <f>Mangochi!K184+'Monkey Bay'!K184+Namwera!K184+Nkhudzi!K184</f>
        <v>0</v>
      </c>
      <c r="L184" s="131">
        <f>Mangochi!L184+'Monkey Bay'!L184+Namwera!L184+Nkhudzi!L184</f>
        <v>0</v>
      </c>
      <c r="M184" s="131">
        <f>Mangochi!M184+'Monkey Bay'!M184+Namwera!M184+Nkhudzi!M184</f>
        <v>0</v>
      </c>
      <c r="N184" s="131">
        <f>Mangochi!N184+'Monkey Bay'!N184+Namwera!N184+Nkhudzi!N184</f>
        <v>0</v>
      </c>
      <c r="O184" s="131">
        <f>Mangochi!O184+'Monkey Bay'!O184+Namwera!O184+Nkhudzi!O184</f>
        <v>0</v>
      </c>
      <c r="P184" s="71">
        <f>SUM(D184:O184)</f>
        <v>0</v>
      </c>
    </row>
    <row r="185" spans="1:16" x14ac:dyDescent="0.3">
      <c r="A185" s="268"/>
      <c r="B185" s="19" t="s">
        <v>72</v>
      </c>
      <c r="C185" s="11" t="s">
        <v>57</v>
      </c>
      <c r="D185" s="131">
        <f>Mangochi!D185+'Monkey Bay'!D185+Namwera!D185+Nkhudzi!D185</f>
        <v>0</v>
      </c>
      <c r="E185" s="131">
        <f>Mangochi!E185+'Monkey Bay'!E185+Namwera!E185+Nkhudzi!E185</f>
        <v>0</v>
      </c>
      <c r="F185" s="131">
        <f>Mangochi!F185+'Monkey Bay'!F185+Namwera!F185+Nkhudzi!F185</f>
        <v>0</v>
      </c>
      <c r="G185" s="131">
        <f>Mangochi!G185+'Monkey Bay'!G185+Namwera!G185+Nkhudzi!G185</f>
        <v>0</v>
      </c>
      <c r="H185" s="131">
        <f>Mangochi!H185+'Monkey Bay'!H185+Namwera!H185+Nkhudzi!H185</f>
        <v>0</v>
      </c>
      <c r="I185" s="131">
        <f>Mangochi!I185+'Monkey Bay'!I185+Namwera!I185+Nkhudzi!I185</f>
        <v>0</v>
      </c>
      <c r="J185" s="131">
        <f>Mangochi!J185+'Monkey Bay'!J185+Namwera!J185+Nkhudzi!J185</f>
        <v>0</v>
      </c>
      <c r="K185" s="131">
        <f>Mangochi!K185+'Monkey Bay'!K185+Namwera!K185+Nkhudzi!K185</f>
        <v>0</v>
      </c>
      <c r="L185" s="131">
        <f>Mangochi!L185+'Monkey Bay'!L185+Namwera!L185+Nkhudzi!L185</f>
        <v>0</v>
      </c>
      <c r="M185" s="131">
        <f>Mangochi!M185+'Monkey Bay'!M185+Namwera!M185+Nkhudzi!M185</f>
        <v>0</v>
      </c>
      <c r="N185" s="131">
        <f>Mangochi!N185+'Monkey Bay'!N185+Namwera!N185+Nkhudzi!N185</f>
        <v>0</v>
      </c>
      <c r="O185" s="131">
        <f>Mangochi!O185+'Monkey Bay'!O185+Namwera!O185+Nkhudzi!O185</f>
        <v>0</v>
      </c>
      <c r="P185" s="71">
        <f>SUM(D185:O185)</f>
        <v>0</v>
      </c>
    </row>
    <row r="186" spans="1:16" x14ac:dyDescent="0.3">
      <c r="A186" s="268"/>
      <c r="B186" s="19" t="s">
        <v>53</v>
      </c>
      <c r="C186" s="11" t="s">
        <v>57</v>
      </c>
      <c r="D186" s="131">
        <f>Mangochi!D186+'Monkey Bay'!D186+Namwera!D186+Nkhudzi!D186</f>
        <v>0</v>
      </c>
      <c r="E186" s="131">
        <f>Mangochi!E186+'Monkey Bay'!E186+Namwera!E186+Nkhudzi!E186</f>
        <v>0</v>
      </c>
      <c r="F186" s="131">
        <f>Mangochi!F186+'Monkey Bay'!F186+Namwera!F186+Nkhudzi!F186</f>
        <v>0</v>
      </c>
      <c r="G186" s="131">
        <f>Mangochi!G186+'Monkey Bay'!G186+Namwera!G186+Nkhudzi!G186</f>
        <v>0</v>
      </c>
      <c r="H186" s="131">
        <f>Mangochi!H186+'Monkey Bay'!H186+Namwera!H186+Nkhudzi!H186</f>
        <v>0</v>
      </c>
      <c r="I186" s="131">
        <f>Mangochi!I186+'Monkey Bay'!I186+Namwera!I186+Nkhudzi!I186</f>
        <v>0</v>
      </c>
      <c r="J186" s="131">
        <f>Mangochi!J186+'Monkey Bay'!J186+Namwera!J186+Nkhudzi!J186</f>
        <v>0</v>
      </c>
      <c r="K186" s="131">
        <f>Mangochi!K186+'Monkey Bay'!K186+Namwera!K186+Nkhudzi!K186</f>
        <v>0</v>
      </c>
      <c r="L186" s="131">
        <f>Mangochi!L186+'Monkey Bay'!L186+Namwera!L186+Nkhudzi!L186</f>
        <v>0</v>
      </c>
      <c r="M186" s="131">
        <f>Mangochi!M186+'Monkey Bay'!M186+Namwera!M186+Nkhudzi!M186</f>
        <v>0</v>
      </c>
      <c r="N186" s="131">
        <f>Mangochi!N186+'Monkey Bay'!N186+Namwera!N186+Nkhudzi!N186</f>
        <v>0</v>
      </c>
      <c r="O186" s="131">
        <f>Mangochi!O186+'Monkey Bay'!O186+Namwera!O186+Nkhudzi!O186</f>
        <v>0</v>
      </c>
      <c r="P186" s="71">
        <f>SUM(D186:O186)</f>
        <v>0</v>
      </c>
    </row>
    <row r="187" spans="1:16" x14ac:dyDescent="0.3">
      <c r="A187" s="269"/>
      <c r="B187" s="19" t="s">
        <v>52</v>
      </c>
      <c r="C187" s="11" t="s">
        <v>57</v>
      </c>
      <c r="D187" s="131">
        <f>Mangochi!D187+'Monkey Bay'!D187+Namwera!D187+Nkhudzi!D187</f>
        <v>0</v>
      </c>
      <c r="E187" s="131">
        <f>Mangochi!E187+'Monkey Bay'!E187+Namwera!E187+Nkhudzi!E187</f>
        <v>0</v>
      </c>
      <c r="F187" s="131">
        <f>Mangochi!F187+'Monkey Bay'!F187+Namwera!F187+Nkhudzi!F187</f>
        <v>0</v>
      </c>
      <c r="G187" s="131">
        <f>Mangochi!G187+'Monkey Bay'!G187+Namwera!G187+Nkhudzi!G187</f>
        <v>0</v>
      </c>
      <c r="H187" s="131">
        <f>Mangochi!H187+'Monkey Bay'!H187+Namwera!H187+Nkhudzi!H187</f>
        <v>0</v>
      </c>
      <c r="I187" s="131">
        <f>Mangochi!I187+'Monkey Bay'!I187+Namwera!I187+Nkhudzi!I187</f>
        <v>0</v>
      </c>
      <c r="J187" s="131">
        <f>Mangochi!J187+'Monkey Bay'!J187+Namwera!J187+Nkhudzi!J187</f>
        <v>0</v>
      </c>
      <c r="K187" s="131">
        <f>Mangochi!K187+'Monkey Bay'!K187+Namwera!K187+Nkhudzi!K187</f>
        <v>0</v>
      </c>
      <c r="L187" s="131">
        <f>Mangochi!L187+'Monkey Bay'!L187+Namwera!L187+Nkhudzi!L187</f>
        <v>0</v>
      </c>
      <c r="M187" s="131">
        <f>Mangochi!M187+'Monkey Bay'!M187+Namwera!M187+Nkhudzi!M187</f>
        <v>0</v>
      </c>
      <c r="N187" s="131">
        <f>Mangochi!N187+'Monkey Bay'!N187+Namwera!N187+Nkhudzi!N187</f>
        <v>0</v>
      </c>
      <c r="O187" s="131">
        <f>Mangochi!O187+'Monkey Bay'!O187+Namwera!O187+Nkhudzi!O187</f>
        <v>0</v>
      </c>
      <c r="P187" s="71">
        <f>SUM(D187:O187)</f>
        <v>0</v>
      </c>
    </row>
    <row r="188" spans="1:16" x14ac:dyDescent="0.3">
      <c r="A188" s="267" t="s">
        <v>64</v>
      </c>
      <c r="B188" s="21" t="s">
        <v>63</v>
      </c>
      <c r="C188" s="11"/>
      <c r="D188" s="4">
        <f>Mangochi!D188+'Monkey Bay'!D188+Namwera!D188+Nkhudzi!D188</f>
        <v>0</v>
      </c>
      <c r="E188" s="4">
        <f>Mangochi!E188+'Monkey Bay'!E188+Namwera!E188+Nkhudzi!E188</f>
        <v>0</v>
      </c>
      <c r="F188" s="4">
        <f>Mangochi!F188+'Monkey Bay'!F188+Namwera!F188+Nkhudzi!F188</f>
        <v>0</v>
      </c>
      <c r="G188" s="4">
        <f>Mangochi!G188+'Monkey Bay'!G188+Namwera!G188+Nkhudzi!G188</f>
        <v>0</v>
      </c>
      <c r="H188" s="4">
        <f>Mangochi!H188+'Monkey Bay'!H188+Namwera!H188+Nkhudzi!H188</f>
        <v>0</v>
      </c>
      <c r="I188" s="4">
        <f>Mangochi!I188+'Monkey Bay'!I188+Namwera!I188+Nkhudzi!I188</f>
        <v>0</v>
      </c>
      <c r="J188" s="4">
        <f>Mangochi!J188+'Monkey Bay'!J188+Namwera!J188+Nkhudzi!J188</f>
        <v>0</v>
      </c>
      <c r="K188" s="4">
        <f>Mangochi!K188+'Monkey Bay'!K188+Namwera!K188+Nkhudzi!K188</f>
        <v>0</v>
      </c>
      <c r="L188" s="4">
        <f>Mangochi!L188+'Monkey Bay'!L188+Namwera!L188+Nkhudzi!L188</f>
        <v>0</v>
      </c>
      <c r="M188" s="4">
        <f>Mangochi!M188+'Monkey Bay'!M188+Namwera!M188+Nkhudzi!M188</f>
        <v>0</v>
      </c>
      <c r="N188" s="4">
        <f>Mangochi!N188+'Monkey Bay'!N188+Namwera!N188+Nkhudzi!N188</f>
        <v>0</v>
      </c>
      <c r="O188" s="4">
        <f>Mangochi!O188+'Monkey Bay'!O188+Namwera!O188+Nkhudzi!O188</f>
        <v>0</v>
      </c>
      <c r="P188" s="71"/>
    </row>
    <row r="189" spans="1:16" x14ac:dyDescent="0.3">
      <c r="A189" s="268"/>
      <c r="B189" s="20" t="s">
        <v>52</v>
      </c>
      <c r="C189" s="11" t="s">
        <v>57</v>
      </c>
      <c r="D189" s="131">
        <f>Mangochi!D189+'Monkey Bay'!D189+Namwera!D189+Nkhudzi!D189</f>
        <v>0</v>
      </c>
      <c r="E189" s="131">
        <f>Mangochi!E189+'Monkey Bay'!E189+Namwera!E189+Nkhudzi!E189</f>
        <v>0</v>
      </c>
      <c r="F189" s="131">
        <f>Mangochi!F189+'Monkey Bay'!F189+Namwera!F189+Nkhudzi!F189</f>
        <v>0</v>
      </c>
      <c r="G189" s="131">
        <f>Mangochi!G189+'Monkey Bay'!G189+Namwera!G189+Nkhudzi!G189</f>
        <v>0</v>
      </c>
      <c r="H189" s="131">
        <f>Mangochi!H189+'Monkey Bay'!H189+Namwera!H189+Nkhudzi!H189</f>
        <v>0</v>
      </c>
      <c r="I189" s="131">
        <f>Mangochi!I189+'Monkey Bay'!I189+Namwera!I189+Nkhudzi!I189</f>
        <v>0</v>
      </c>
      <c r="J189" s="131">
        <f>Mangochi!J189+'Monkey Bay'!J189+Namwera!J189+Nkhudzi!J189</f>
        <v>0</v>
      </c>
      <c r="K189" s="131">
        <f>Mangochi!K189+'Monkey Bay'!K189+Namwera!K189+Nkhudzi!K189</f>
        <v>0</v>
      </c>
      <c r="L189" s="131">
        <f>Mangochi!L189+'Monkey Bay'!L189+Namwera!L189+Nkhudzi!L189</f>
        <v>0</v>
      </c>
      <c r="M189" s="131">
        <f>Mangochi!M189+'Monkey Bay'!M189+Namwera!M189+Nkhudzi!M189</f>
        <v>0</v>
      </c>
      <c r="N189" s="131">
        <f>Mangochi!N189+'Monkey Bay'!N189+Namwera!N189+Nkhudzi!N189</f>
        <v>0</v>
      </c>
      <c r="O189" s="131">
        <f>Mangochi!O189+'Monkey Bay'!O189+Namwera!O189+Nkhudzi!O189</f>
        <v>0</v>
      </c>
      <c r="P189" s="71">
        <f>SUM(D189:O189)</f>
        <v>0</v>
      </c>
    </row>
    <row r="190" spans="1:16" x14ac:dyDescent="0.3">
      <c r="A190" s="268"/>
      <c r="B190" s="19" t="s">
        <v>62</v>
      </c>
      <c r="C190" s="11" t="s">
        <v>57</v>
      </c>
      <c r="D190" s="131">
        <f>Mangochi!D190+'Monkey Bay'!D190+Namwera!D190+Nkhudzi!D190</f>
        <v>0</v>
      </c>
      <c r="E190" s="131">
        <f>Mangochi!E190+'Monkey Bay'!E190+Namwera!E190+Nkhudzi!E190</f>
        <v>0</v>
      </c>
      <c r="F190" s="131">
        <f>Mangochi!F190+'Monkey Bay'!F190+Namwera!F190+Nkhudzi!F190</f>
        <v>0</v>
      </c>
      <c r="G190" s="131">
        <f>Mangochi!G190+'Monkey Bay'!G190+Namwera!G190+Nkhudzi!G190</f>
        <v>0</v>
      </c>
      <c r="H190" s="131">
        <f>Mangochi!H190+'Monkey Bay'!H190+Namwera!H190+Nkhudzi!H190</f>
        <v>0</v>
      </c>
      <c r="I190" s="131">
        <f>Mangochi!I190+'Monkey Bay'!I190+Namwera!I190+Nkhudzi!I190</f>
        <v>0</v>
      </c>
      <c r="J190" s="131">
        <f>Mangochi!J190+'Monkey Bay'!J190+Namwera!J190+Nkhudzi!J190</f>
        <v>0</v>
      </c>
      <c r="K190" s="131">
        <f>Mangochi!K190+'Monkey Bay'!K190+Namwera!K190+Nkhudzi!K190</f>
        <v>0</v>
      </c>
      <c r="L190" s="131">
        <f>Mangochi!L190+'Monkey Bay'!L190+Namwera!L190+Nkhudzi!L190</f>
        <v>0</v>
      </c>
      <c r="M190" s="131">
        <f>Mangochi!M190+'Monkey Bay'!M190+Namwera!M190+Nkhudzi!M190</f>
        <v>0</v>
      </c>
      <c r="N190" s="131">
        <f>Mangochi!N190+'Monkey Bay'!N190+Namwera!N190+Nkhudzi!N190</f>
        <v>0</v>
      </c>
      <c r="O190" s="131">
        <f>Mangochi!O190+'Monkey Bay'!O190+Namwera!O190+Nkhudzi!O190</f>
        <v>0</v>
      </c>
      <c r="P190" s="71">
        <f>SUM(D190:O190)</f>
        <v>0</v>
      </c>
    </row>
    <row r="191" spans="1:16" x14ac:dyDescent="0.3">
      <c r="A191" s="268"/>
      <c r="B191" s="19" t="s">
        <v>61</v>
      </c>
      <c r="C191" s="11" t="s">
        <v>57</v>
      </c>
      <c r="D191" s="131">
        <f>Mangochi!D191+'Monkey Bay'!D191+Namwera!D191+Nkhudzi!D191</f>
        <v>0</v>
      </c>
      <c r="E191" s="131">
        <f>Mangochi!E191+'Monkey Bay'!E191+Namwera!E191+Nkhudzi!E191</f>
        <v>0</v>
      </c>
      <c r="F191" s="131">
        <f>Mangochi!F191+'Monkey Bay'!F191+Namwera!F191+Nkhudzi!F191</f>
        <v>0</v>
      </c>
      <c r="G191" s="131">
        <f>Mangochi!G191+'Monkey Bay'!G191+Namwera!G191+Nkhudzi!G191</f>
        <v>0</v>
      </c>
      <c r="H191" s="131">
        <f>Mangochi!H191+'Monkey Bay'!H191+Namwera!H191+Nkhudzi!H191</f>
        <v>0</v>
      </c>
      <c r="I191" s="131">
        <f>Mangochi!I191+'Monkey Bay'!I191+Namwera!I191+Nkhudzi!I191</f>
        <v>0</v>
      </c>
      <c r="J191" s="131">
        <f>Mangochi!J191+'Monkey Bay'!J191+Namwera!J191+Nkhudzi!J191</f>
        <v>0</v>
      </c>
      <c r="K191" s="131">
        <f>Mangochi!K191+'Monkey Bay'!K191+Namwera!K191+Nkhudzi!K191</f>
        <v>0</v>
      </c>
      <c r="L191" s="131">
        <f>Mangochi!L191+'Monkey Bay'!L191+Namwera!L191+Nkhudzi!L191</f>
        <v>0</v>
      </c>
      <c r="M191" s="131">
        <f>Mangochi!M191+'Monkey Bay'!M191+Namwera!M191+Nkhudzi!M191</f>
        <v>0</v>
      </c>
      <c r="N191" s="131">
        <f>Mangochi!N191+'Monkey Bay'!N191+Namwera!N191+Nkhudzi!N191</f>
        <v>0</v>
      </c>
      <c r="O191" s="131">
        <f>Mangochi!O191+'Monkey Bay'!O191+Namwera!O191+Nkhudzi!O191</f>
        <v>0</v>
      </c>
      <c r="P191" s="71">
        <f>SUM(D191:O191)</f>
        <v>0</v>
      </c>
    </row>
    <row r="192" spans="1:16" x14ac:dyDescent="0.3">
      <c r="A192" s="269"/>
      <c r="B192" s="19" t="s">
        <v>60</v>
      </c>
      <c r="C192" s="11" t="s">
        <v>57</v>
      </c>
      <c r="D192" s="131">
        <f>Mangochi!D192+'Monkey Bay'!D192+Namwera!D192+Nkhudzi!D192</f>
        <v>2</v>
      </c>
      <c r="E192" s="131">
        <f>Mangochi!E192+'Monkey Bay'!E192+Namwera!E192+Nkhudzi!E192</f>
        <v>0</v>
      </c>
      <c r="F192" s="131">
        <f>Mangochi!F192+'Monkey Bay'!F192+Namwera!F192+Nkhudzi!F192</f>
        <v>0</v>
      </c>
      <c r="G192" s="131">
        <f>Mangochi!G192+'Monkey Bay'!G192+Namwera!G192+Nkhudzi!G192</f>
        <v>0</v>
      </c>
      <c r="H192" s="131">
        <f>Mangochi!H192+'Monkey Bay'!H192+Namwera!H192+Nkhudzi!H192</f>
        <v>0</v>
      </c>
      <c r="I192" s="131">
        <f>Mangochi!I192+'Monkey Bay'!I192+Namwera!I192+Nkhudzi!I192</f>
        <v>0</v>
      </c>
      <c r="J192" s="131">
        <f>Mangochi!J192+'Monkey Bay'!J192+Namwera!J192+Nkhudzi!J192</f>
        <v>0</v>
      </c>
      <c r="K192" s="131">
        <f>Mangochi!K192+'Monkey Bay'!K192+Namwera!K192+Nkhudzi!K192</f>
        <v>0</v>
      </c>
      <c r="L192" s="131">
        <f>Mangochi!L192+'Monkey Bay'!L192+Namwera!L192+Nkhudzi!L192</f>
        <v>0</v>
      </c>
      <c r="M192" s="131">
        <f>Mangochi!M192+'Monkey Bay'!M192+Namwera!M192+Nkhudzi!M192</f>
        <v>0</v>
      </c>
      <c r="N192" s="131">
        <f>Mangochi!N192+'Monkey Bay'!N192+Namwera!N192+Nkhudzi!N192</f>
        <v>0</v>
      </c>
      <c r="O192" s="131">
        <f>Mangochi!O192+'Monkey Bay'!O192+Namwera!O192+Nkhudzi!O192</f>
        <v>0</v>
      </c>
      <c r="P192" s="71">
        <f>SUM(D192:O192)</f>
        <v>2</v>
      </c>
    </row>
    <row r="193" spans="1:16" x14ac:dyDescent="0.3">
      <c r="A193" s="81" t="s">
        <v>59</v>
      </c>
      <c r="B193" s="17"/>
      <c r="C193" s="11"/>
      <c r="D193" s="10">
        <f>Mangochi!D193+'Monkey Bay'!D193+Namwera!D193+Nkhudzi!D193</f>
        <v>392</v>
      </c>
      <c r="E193" s="10">
        <f>Mangochi!E193+'Monkey Bay'!E193+Namwera!E193+Nkhudzi!E193</f>
        <v>390</v>
      </c>
      <c r="F193" s="10">
        <f>Mangochi!F193+'Monkey Bay'!F193+Namwera!F193+Nkhudzi!F193</f>
        <v>0</v>
      </c>
      <c r="G193" s="10">
        <f>Mangochi!G193+'Monkey Bay'!G193+Namwera!G193+Nkhudzi!G193</f>
        <v>0</v>
      </c>
      <c r="H193" s="10">
        <f>Mangochi!H193+'Monkey Bay'!H193+Namwera!H193+Nkhudzi!H193</f>
        <v>0</v>
      </c>
      <c r="I193" s="10">
        <f>Mangochi!I193+'Monkey Bay'!I193+Namwera!I193+Nkhudzi!I193</f>
        <v>0</v>
      </c>
      <c r="J193" s="10">
        <f>Mangochi!J192+'Monkey Bay'!J192+Namwera!J192</f>
        <v>0</v>
      </c>
      <c r="K193" s="10">
        <f>Mangochi!K192+'Monkey Bay'!K192+Namwera!K192</f>
        <v>0</v>
      </c>
      <c r="L193" s="10">
        <f>Mangochi!L192+'Monkey Bay'!L192+Namwera!L192</f>
        <v>0</v>
      </c>
      <c r="M193" s="10">
        <f>Mangochi!M193+'Monkey Bay'!M193+Namwera!M193+Nkhudzi!M193</f>
        <v>0</v>
      </c>
      <c r="N193" s="10">
        <f>Mangochi!N193+'Monkey Bay'!N193+Namwera!N193+Nkhudzi!N193</f>
        <v>0</v>
      </c>
      <c r="O193" s="10">
        <f>Mangochi!O193+'Monkey Bay'!O193+Namwera!O193+Nkhudzi!O193</f>
        <v>0</v>
      </c>
      <c r="P193" s="39">
        <f t="shared" ref="P193" si="118">SUM(P153:P192)</f>
        <v>738</v>
      </c>
    </row>
    <row r="194" spans="1:16" x14ac:dyDescent="0.3">
      <c r="A194" s="262" t="s">
        <v>58</v>
      </c>
      <c r="B194" s="263"/>
      <c r="C194" s="11" t="s">
        <v>57</v>
      </c>
      <c r="D194" s="123">
        <f>Mangochi!D194+'Monkey Bay'!D194+Namwera!D194+Nkhudzi!D194</f>
        <v>23</v>
      </c>
      <c r="E194" s="123">
        <f>Mangochi!E194+'Monkey Bay'!E194+Namwera!E194+Nkhudzi!E194</f>
        <v>23</v>
      </c>
      <c r="F194" s="123">
        <f>Mangochi!F194+'Monkey Bay'!F194+Namwera!F194+Nkhudzi!F194</f>
        <v>0</v>
      </c>
      <c r="G194" s="123">
        <f>Mangochi!G194+'Monkey Bay'!G194+Namwera!G194+Nkhudzi!G194</f>
        <v>0</v>
      </c>
      <c r="H194" s="123">
        <f>Mangochi!H194+'Monkey Bay'!H194+Namwera!H194+Nkhudzi!H194</f>
        <v>0</v>
      </c>
      <c r="I194" s="123">
        <f>Mangochi!I194+'Monkey Bay'!I194+Namwera!I194+Nkhudzi!I194</f>
        <v>0</v>
      </c>
      <c r="J194" s="123">
        <f>Mangochi!J194+'Monkey Bay'!J194+Namwera!J194+Nkhudzi!J194</f>
        <v>0</v>
      </c>
      <c r="K194" s="123">
        <f>Mangochi!K194+'Monkey Bay'!K194+Namwera!K194+Nkhudzi!K194</f>
        <v>0</v>
      </c>
      <c r="L194" s="123">
        <f>Mangochi!L194+'Monkey Bay'!L194+Namwera!L194+Nkhudzi!L194</f>
        <v>0</v>
      </c>
      <c r="M194" s="123">
        <f>Mangochi!M194+'Monkey Bay'!M194+Namwera!M194+Nkhudzi!M194</f>
        <v>0</v>
      </c>
      <c r="N194" s="123">
        <f>Mangochi!N194+'Monkey Bay'!N194+Namwera!N194+Nkhudzi!N194</f>
        <v>0</v>
      </c>
      <c r="O194" s="123">
        <f>Mangochi!O194+'Monkey Bay'!O194+Namwera!O194+Nkhudzi!O194</f>
        <v>0</v>
      </c>
      <c r="P194" s="38">
        <f>SUM(D194:O194)</f>
        <v>46</v>
      </c>
    </row>
    <row r="195" spans="1:16" x14ac:dyDescent="0.3">
      <c r="A195" s="264"/>
      <c r="B195" s="265"/>
      <c r="C195" s="16" t="s">
        <v>55</v>
      </c>
      <c r="D195" s="123">
        <f>Mangochi!D195+'Monkey Bay'!D195+Namwera!D195+Nkhudzi!D195</f>
        <v>2051</v>
      </c>
      <c r="E195" s="123">
        <f>Mangochi!E195+'Monkey Bay'!E195+Namwera!E195+Nkhudzi!E195</f>
        <v>2038.5</v>
      </c>
      <c r="F195" s="123">
        <f>Mangochi!F195+'Monkey Bay'!F195+Namwera!F195+Nkhudzi!F195</f>
        <v>0</v>
      </c>
      <c r="G195" s="123">
        <f>Mangochi!G195+'Monkey Bay'!G195+Namwera!G195+Nkhudzi!G195</f>
        <v>0</v>
      </c>
      <c r="H195" s="123">
        <f>Mangochi!H195+'Monkey Bay'!H195+Namwera!H195+Nkhudzi!H195</f>
        <v>0</v>
      </c>
      <c r="I195" s="123">
        <f>Mangochi!I195+'Monkey Bay'!I195+Namwera!I195+Nkhudzi!I195</f>
        <v>0</v>
      </c>
      <c r="J195" s="123">
        <f>Mangochi!J195+'Monkey Bay'!J195+Namwera!J195+Nkhudzi!J195</f>
        <v>0</v>
      </c>
      <c r="K195" s="123">
        <f>Mangochi!K195+'Monkey Bay'!K195+Namwera!K195+Nkhudzi!K195</f>
        <v>0</v>
      </c>
      <c r="L195" s="123">
        <f>Mangochi!L195+'Monkey Bay'!L195+Namwera!L195+Nkhudzi!L195</f>
        <v>0</v>
      </c>
      <c r="M195" s="123">
        <f>Mangochi!M195+'Monkey Bay'!M195+Namwera!M195+Nkhudzi!M195</f>
        <v>0</v>
      </c>
      <c r="N195" s="123">
        <f>Mangochi!N195+'Monkey Bay'!N195+Namwera!N195+Nkhudzi!N195</f>
        <v>0</v>
      </c>
      <c r="O195" s="123">
        <f>Mangochi!O195+'Monkey Bay'!O195+Namwera!O195+Nkhudzi!O195</f>
        <v>0</v>
      </c>
      <c r="P195" s="38">
        <f>SUM(D195:O195)</f>
        <v>4089.5</v>
      </c>
    </row>
    <row r="196" spans="1:16" x14ac:dyDescent="0.3">
      <c r="A196" s="307" t="s">
        <v>204</v>
      </c>
      <c r="B196" s="308"/>
      <c r="C196" s="16" t="s">
        <v>55</v>
      </c>
      <c r="D196" s="123">
        <f>Mangochi!D196+'Monkey Bay'!D196+Namwera!D196+Nkhudzi!D196</f>
        <v>48</v>
      </c>
      <c r="E196" s="123">
        <f>Mangochi!E196+'Monkey Bay'!E196+Namwera!E196+Nkhudzi!E196</f>
        <v>81</v>
      </c>
      <c r="F196" s="123">
        <f>Mangochi!F196+'Monkey Bay'!F196+Namwera!F196+Nkhudzi!F196</f>
        <v>0</v>
      </c>
      <c r="G196" s="123">
        <f>Mangochi!G196+'Monkey Bay'!G196+Namwera!G196+Nkhudzi!G196</f>
        <v>0</v>
      </c>
      <c r="H196" s="123">
        <f>Mangochi!H196+'Monkey Bay'!H196+Namwera!H196+Nkhudzi!H196</f>
        <v>0</v>
      </c>
      <c r="I196" s="123">
        <f>Mangochi!I196+'Monkey Bay'!I196+Namwera!I196+Nkhudzi!I196</f>
        <v>0</v>
      </c>
      <c r="J196" s="123">
        <f>Mangochi!J196+'Monkey Bay'!J196+Namwera!J196+Nkhudzi!J196</f>
        <v>0</v>
      </c>
      <c r="K196" s="123">
        <f>Mangochi!K196+'Monkey Bay'!K196+Namwera!K196+Nkhudzi!K196</f>
        <v>0</v>
      </c>
      <c r="L196" s="123">
        <f>Mangochi!L196+'Monkey Bay'!L196+Namwera!L196+Nkhudzi!L196</f>
        <v>0</v>
      </c>
      <c r="M196" s="123">
        <f>Mangochi!M196+'Monkey Bay'!M196+Namwera!M196+Nkhudzi!M196</f>
        <v>0</v>
      </c>
      <c r="N196" s="123">
        <f>Mangochi!N196+'Monkey Bay'!N196+Namwera!N196+Nkhudzi!N196</f>
        <v>0</v>
      </c>
      <c r="O196" s="123">
        <f>Mangochi!O196+'Monkey Bay'!O196+Namwera!O196+Nkhudzi!O196</f>
        <v>0</v>
      </c>
      <c r="P196" s="38"/>
    </row>
    <row r="197" spans="1:16" x14ac:dyDescent="0.3">
      <c r="A197" s="212" t="s">
        <v>56</v>
      </c>
      <c r="B197" s="213"/>
      <c r="C197" s="16" t="s">
        <v>55</v>
      </c>
      <c r="D197" s="123">
        <f>Mangochi!D197+'Monkey Bay'!D197+Namwera!D197+Nkhudzi!D197</f>
        <v>396</v>
      </c>
      <c r="E197" s="123">
        <f>Mangochi!E197+'Monkey Bay'!E197+Namwera!E197+Nkhudzi!E197</f>
        <v>399</v>
      </c>
      <c r="F197" s="123">
        <f>Mangochi!F197+'Monkey Bay'!F197+Namwera!F197+Nkhudzi!F197</f>
        <v>0</v>
      </c>
      <c r="G197" s="123">
        <f>Mangochi!G197+'Monkey Bay'!G197+Namwera!G197+Nkhudzi!G197</f>
        <v>0</v>
      </c>
      <c r="H197" s="123">
        <f>Mangochi!H197+'Monkey Bay'!H197+Namwera!H197+Nkhudzi!H197</f>
        <v>0</v>
      </c>
      <c r="I197" s="123">
        <f>Mangochi!I197+'Monkey Bay'!I197+Namwera!I197+Nkhudzi!I197</f>
        <v>0</v>
      </c>
      <c r="J197" s="123">
        <f>Mangochi!J197+'Monkey Bay'!J197+Namwera!J197+Nkhudzi!J197</f>
        <v>0</v>
      </c>
      <c r="K197" s="123">
        <f>Mangochi!K197+'Monkey Bay'!K197+Namwera!K197+Nkhudzi!K197</f>
        <v>0</v>
      </c>
      <c r="L197" s="123">
        <f>Mangochi!L197+'Monkey Bay'!L197+Namwera!L197+Nkhudzi!L197</f>
        <v>0</v>
      </c>
      <c r="M197" s="123">
        <f>Mangochi!M197+'Monkey Bay'!M197+Namwera!M197+Nkhudzi!M197</f>
        <v>0</v>
      </c>
      <c r="N197" s="123">
        <f>Mangochi!N197+'Monkey Bay'!N197+Namwera!N197+Nkhudzi!N197</f>
        <v>0</v>
      </c>
      <c r="O197" s="123">
        <f>Mangochi!O197+'Monkey Bay'!O197+Namwera!O197+Nkhudzi!O197</f>
        <v>0</v>
      </c>
      <c r="P197" s="38">
        <f>SUM(D197:O197)</f>
        <v>795</v>
      </c>
    </row>
    <row r="198" spans="1:16" ht="14.4" x14ac:dyDescent="0.3">
      <c r="A198" s="257" t="s">
        <v>205</v>
      </c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9"/>
    </row>
    <row r="199" spans="1:16" x14ac:dyDescent="0.3">
      <c r="A199" s="262" t="s">
        <v>54</v>
      </c>
      <c r="B199" s="298" t="s">
        <v>53</v>
      </c>
      <c r="C199" s="11" t="s">
        <v>47</v>
      </c>
      <c r="D199" s="123">
        <f>Mangochi!D199+'Monkey Bay'!D199+Namwera!D199+Nkhudzi!D199</f>
        <v>0</v>
      </c>
      <c r="E199" s="123">
        <f>Mangochi!E199+'Monkey Bay'!E199+Namwera!E199+Nkhudzi!E199</f>
        <v>0</v>
      </c>
      <c r="F199" s="123">
        <f>Mangochi!F199+'Monkey Bay'!F199+Namwera!F199+Nkhudzi!F199</f>
        <v>0</v>
      </c>
      <c r="G199" s="123">
        <f>Mangochi!G199+'Monkey Bay'!G199+Namwera!G199+Nkhudzi!G199</f>
        <v>0</v>
      </c>
      <c r="H199" s="123">
        <f>Mangochi!H199+'Monkey Bay'!H199+Namwera!H199+Nkhudzi!H199</f>
        <v>0</v>
      </c>
      <c r="I199" s="123">
        <f>Mangochi!I199+'Monkey Bay'!I199+Namwera!I199+Nkhudzi!I199</f>
        <v>0</v>
      </c>
      <c r="J199" s="123">
        <f>Mangochi!J199+'Monkey Bay'!J199+Namwera!J199+Nkhudzi!J199</f>
        <v>0</v>
      </c>
      <c r="K199" s="123">
        <f>Mangochi!K199+'Monkey Bay'!K199+Namwera!K199+Nkhudzi!K199</f>
        <v>0</v>
      </c>
      <c r="L199" s="123">
        <f>Mangochi!L199+'Monkey Bay'!L199+Namwera!L199+Nkhudzi!L199</f>
        <v>0</v>
      </c>
      <c r="M199" s="123">
        <f>Mangochi!M199+'Monkey Bay'!M199+Namwera!M199+Nkhudzi!M199</f>
        <v>0</v>
      </c>
      <c r="N199" s="123">
        <f>Mangochi!N199+'Monkey Bay'!N199+Namwera!N199+Nkhudzi!N199</f>
        <v>0</v>
      </c>
      <c r="O199" s="123">
        <f>Mangochi!O199+'Monkey Bay'!O199+Namwera!O199+Nkhudzi!O199</f>
        <v>0</v>
      </c>
      <c r="P199" s="38">
        <f t="shared" ref="P199:P204" si="119">SUM(D199:O199)</f>
        <v>0</v>
      </c>
    </row>
    <row r="200" spans="1:16" x14ac:dyDescent="0.3">
      <c r="A200" s="266"/>
      <c r="B200" s="298" t="s">
        <v>52</v>
      </c>
      <c r="C200" s="11" t="s">
        <v>47</v>
      </c>
      <c r="D200" s="123">
        <f>Mangochi!D200+'Monkey Bay'!D200+Namwera!D200+Nkhudzi!D200</f>
        <v>0</v>
      </c>
      <c r="E200" s="123">
        <f>Mangochi!E200+'Monkey Bay'!E200+Namwera!E200+Nkhudzi!E200</f>
        <v>0</v>
      </c>
      <c r="F200" s="123">
        <f>Mangochi!F200+'Monkey Bay'!F200+Namwera!F200+Nkhudzi!F200</f>
        <v>0</v>
      </c>
      <c r="G200" s="123">
        <f>Mangochi!G200+'Monkey Bay'!G200+Namwera!G200+Nkhudzi!G200</f>
        <v>0</v>
      </c>
      <c r="H200" s="123">
        <f>Mangochi!H200+'Monkey Bay'!H200+Namwera!H200+Nkhudzi!H200</f>
        <v>0</v>
      </c>
      <c r="I200" s="123">
        <f>Mangochi!I200+'Monkey Bay'!I200+Namwera!I200+Nkhudzi!I200</f>
        <v>0</v>
      </c>
      <c r="J200" s="123">
        <f>Mangochi!J200+'Monkey Bay'!J200+Namwera!J200+Nkhudzi!J200</f>
        <v>0</v>
      </c>
      <c r="K200" s="123">
        <f>Mangochi!K200+'Monkey Bay'!K200+Namwera!K200+Nkhudzi!K200</f>
        <v>0</v>
      </c>
      <c r="L200" s="123">
        <f>Mangochi!L200+'Monkey Bay'!L200+Namwera!L200+Nkhudzi!L200</f>
        <v>0</v>
      </c>
      <c r="M200" s="123">
        <f>Mangochi!M200+'Monkey Bay'!M200+Namwera!M200+Nkhudzi!M200</f>
        <v>0</v>
      </c>
      <c r="N200" s="123">
        <f>Mangochi!N200+'Monkey Bay'!N200+Namwera!N200+Nkhudzi!N200</f>
        <v>0</v>
      </c>
      <c r="O200" s="123">
        <f>Mangochi!O200+'Monkey Bay'!O200+Namwera!O200+Nkhudzi!O200</f>
        <v>0</v>
      </c>
      <c r="P200" s="38">
        <f t="shared" si="119"/>
        <v>0</v>
      </c>
    </row>
    <row r="201" spans="1:16" x14ac:dyDescent="0.3">
      <c r="A201" s="266"/>
      <c r="B201" s="298" t="s">
        <v>51</v>
      </c>
      <c r="C201" s="11" t="s">
        <v>47</v>
      </c>
      <c r="D201" s="123">
        <f>Mangochi!D201+'Monkey Bay'!D201+Namwera!D201+Nkhudzi!D201</f>
        <v>0</v>
      </c>
      <c r="E201" s="123">
        <f>Mangochi!E201+'Monkey Bay'!E201+Namwera!E201+Nkhudzi!E201</f>
        <v>0</v>
      </c>
      <c r="F201" s="123">
        <f>Mangochi!F201+'Monkey Bay'!F201+Namwera!F201+Nkhudzi!F201</f>
        <v>0</v>
      </c>
      <c r="G201" s="123">
        <f>Mangochi!G201+'Monkey Bay'!G201+Namwera!G201+Nkhudzi!G201</f>
        <v>0</v>
      </c>
      <c r="H201" s="123">
        <f>Mangochi!H201+'Monkey Bay'!H201+Namwera!H201+Nkhudzi!H201</f>
        <v>0</v>
      </c>
      <c r="I201" s="123">
        <f>Mangochi!I201+'Monkey Bay'!I201+Namwera!I201+Nkhudzi!I201</f>
        <v>0</v>
      </c>
      <c r="J201" s="123">
        <f>Mangochi!J201+'Monkey Bay'!J201+Namwera!J201+Nkhudzi!J201</f>
        <v>0</v>
      </c>
      <c r="K201" s="123">
        <f>Mangochi!K201+'Monkey Bay'!K201+Namwera!K201+Nkhudzi!K201</f>
        <v>0</v>
      </c>
      <c r="L201" s="123">
        <f>Mangochi!L201+'Monkey Bay'!L201+Namwera!L201+Nkhudzi!L201</f>
        <v>0</v>
      </c>
      <c r="M201" s="123">
        <f>Mangochi!M201+'Monkey Bay'!M201+Namwera!M201+Nkhudzi!M201</f>
        <v>0</v>
      </c>
      <c r="N201" s="123">
        <f>Mangochi!N201+'Monkey Bay'!N201+Namwera!N201+Nkhudzi!N201</f>
        <v>0</v>
      </c>
      <c r="O201" s="123">
        <f>Mangochi!O201+'Monkey Bay'!O201+Namwera!O201+Nkhudzi!O201</f>
        <v>0</v>
      </c>
      <c r="P201" s="38">
        <f t="shared" si="119"/>
        <v>0</v>
      </c>
    </row>
    <row r="202" spans="1:16" x14ac:dyDescent="0.3">
      <c r="A202" s="266"/>
      <c r="B202" s="298" t="s">
        <v>50</v>
      </c>
      <c r="C202" s="11" t="s">
        <v>47</v>
      </c>
      <c r="D202" s="123">
        <f>Mangochi!D202+'Monkey Bay'!D202+Namwera!D202+Nkhudzi!D202</f>
        <v>150</v>
      </c>
      <c r="E202" s="123">
        <f>Mangochi!E202+'Monkey Bay'!E202+Namwera!E202+Nkhudzi!E202</f>
        <v>0</v>
      </c>
      <c r="F202" s="123">
        <f>Mangochi!F202+'Monkey Bay'!F202+Namwera!F202+Nkhudzi!F202</f>
        <v>0</v>
      </c>
      <c r="G202" s="123">
        <f>Mangochi!G202+'Monkey Bay'!G202+Namwera!G202+Nkhudzi!G202</f>
        <v>0</v>
      </c>
      <c r="H202" s="123">
        <f>Mangochi!H202+'Monkey Bay'!H202+Namwera!H202+Nkhudzi!H202</f>
        <v>0</v>
      </c>
      <c r="I202" s="123">
        <f>Mangochi!I202+'Monkey Bay'!I202+Namwera!I202+Nkhudzi!I202</f>
        <v>0</v>
      </c>
      <c r="J202" s="123">
        <f>Mangochi!J202+'Monkey Bay'!J202+Namwera!J202+Nkhudzi!J202</f>
        <v>0</v>
      </c>
      <c r="K202" s="123">
        <f>Mangochi!K202+'Monkey Bay'!K202+Namwera!K202+Nkhudzi!K202</f>
        <v>0</v>
      </c>
      <c r="L202" s="123">
        <f>Mangochi!L202+'Monkey Bay'!L202+Namwera!L202+Nkhudzi!L202</f>
        <v>0</v>
      </c>
      <c r="M202" s="123">
        <f>Mangochi!M202+'Monkey Bay'!M202+Namwera!M202+Nkhudzi!M202</f>
        <v>0</v>
      </c>
      <c r="N202" s="123">
        <f>Mangochi!N202+'Monkey Bay'!N202+Namwera!N202+Nkhudzi!N202</f>
        <v>0</v>
      </c>
      <c r="O202" s="123">
        <f>Mangochi!O202+'Monkey Bay'!O202+Namwera!O202+Nkhudzi!O202</f>
        <v>0</v>
      </c>
      <c r="P202" s="38">
        <f t="shared" si="119"/>
        <v>150</v>
      </c>
    </row>
    <row r="203" spans="1:16" x14ac:dyDescent="0.3">
      <c r="A203" s="264"/>
      <c r="B203" s="298" t="s">
        <v>49</v>
      </c>
      <c r="C203" s="11" t="s">
        <v>47</v>
      </c>
      <c r="D203" s="123">
        <f>Mangochi!D203+'Monkey Bay'!D203+Namwera!D203+Nkhudzi!D203</f>
        <v>0</v>
      </c>
      <c r="E203" s="123">
        <f>Mangochi!E203+'Monkey Bay'!E203+Namwera!E203+Nkhudzi!E203</f>
        <v>0</v>
      </c>
      <c r="F203" s="123">
        <f>Mangochi!F203+'Monkey Bay'!F203+Namwera!F203+Nkhudzi!F203</f>
        <v>0</v>
      </c>
      <c r="G203" s="123">
        <f>Mangochi!G203+'Monkey Bay'!G203+Namwera!G203+Nkhudzi!G203</f>
        <v>0</v>
      </c>
      <c r="H203" s="123">
        <f>Mangochi!H203+'Monkey Bay'!H203+Namwera!H203+Nkhudzi!H203</f>
        <v>0</v>
      </c>
      <c r="I203" s="123">
        <f>Mangochi!I203+'Monkey Bay'!I203+Namwera!I203+Nkhudzi!I203</f>
        <v>0</v>
      </c>
      <c r="J203" s="123">
        <f>Mangochi!J203+'Monkey Bay'!J203+Namwera!J203+Nkhudzi!J203</f>
        <v>0</v>
      </c>
      <c r="K203" s="123">
        <f>Mangochi!K203+'Monkey Bay'!K203+Namwera!K203+Nkhudzi!K203</f>
        <v>0</v>
      </c>
      <c r="L203" s="123">
        <f>Mangochi!L203+'Monkey Bay'!L203+Namwera!L203+Nkhudzi!L203</f>
        <v>0</v>
      </c>
      <c r="M203" s="123">
        <f>Mangochi!M203+'Monkey Bay'!M203+Namwera!M203+Nkhudzi!M203</f>
        <v>0</v>
      </c>
      <c r="N203" s="123">
        <f>Mangochi!N203+'Monkey Bay'!N203+Namwera!N203+Nkhudzi!N203</f>
        <v>0</v>
      </c>
      <c r="O203" s="123">
        <f>Mangochi!O203+'Monkey Bay'!O203+Namwera!O203+Nkhudzi!O203</f>
        <v>0</v>
      </c>
      <c r="P203" s="38">
        <f t="shared" si="119"/>
        <v>0</v>
      </c>
    </row>
    <row r="204" spans="1:16" x14ac:dyDescent="0.3">
      <c r="A204" s="80" t="s">
        <v>48</v>
      </c>
      <c r="B204" s="298"/>
      <c r="C204" s="11" t="s">
        <v>47</v>
      </c>
      <c r="D204" s="15">
        <f t="shared" ref="D204" si="120">SUM(D199:D203)</f>
        <v>150</v>
      </c>
      <c r="E204" s="10">
        <f t="shared" ref="E204:L204" si="121">SUM(E199:E203)</f>
        <v>0</v>
      </c>
      <c r="F204" s="15">
        <f t="shared" si="121"/>
        <v>0</v>
      </c>
      <c r="G204" s="10">
        <f t="shared" si="121"/>
        <v>0</v>
      </c>
      <c r="H204" s="10">
        <f t="shared" si="121"/>
        <v>0</v>
      </c>
      <c r="I204" s="10">
        <f t="shared" si="121"/>
        <v>0</v>
      </c>
      <c r="J204" s="10">
        <f t="shared" si="121"/>
        <v>0</v>
      </c>
      <c r="K204" s="10">
        <f t="shared" si="121"/>
        <v>0</v>
      </c>
      <c r="L204" s="10">
        <f t="shared" si="121"/>
        <v>0</v>
      </c>
      <c r="M204" s="10">
        <f t="shared" ref="M204" si="122">SUM(M199:M203)</f>
        <v>0</v>
      </c>
      <c r="N204" s="10">
        <f t="shared" ref="N204" si="123">SUM(N199:N203)</f>
        <v>0</v>
      </c>
      <c r="O204" s="10">
        <f t="shared" ref="O204" si="124">SUM(O199:O203)</f>
        <v>0</v>
      </c>
      <c r="P204" s="105">
        <f t="shared" si="119"/>
        <v>150</v>
      </c>
    </row>
    <row r="205" spans="1:16" s="2" customFormat="1" ht="14.4" x14ac:dyDescent="0.3">
      <c r="A205" s="257" t="s">
        <v>46</v>
      </c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9"/>
    </row>
    <row r="206" spans="1:16" x14ac:dyDescent="0.3">
      <c r="A206" s="212" t="s">
        <v>43</v>
      </c>
      <c r="B206" s="213"/>
      <c r="C206" s="11" t="s">
        <v>31</v>
      </c>
      <c r="D206" s="15">
        <f>Mangochi!D206+'Monkey Bay'!D206+Namwera!D206+Nkhudzi!D206</f>
        <v>61590116</v>
      </c>
      <c r="E206" s="15">
        <f>Mangochi!E206+'Monkey Bay'!E206+Namwera!E206+Nkhudzi!E206</f>
        <v>110881840</v>
      </c>
      <c r="F206" s="15">
        <f>Mangochi!F206+'Monkey Bay'!F206+Namwera!F206+Nkhudzi!F206</f>
        <v>0</v>
      </c>
      <c r="G206" s="15">
        <f>Mangochi!G206+'Monkey Bay'!G206+Namwera!G206+Nkhudzi!G206</f>
        <v>0</v>
      </c>
      <c r="H206" s="15">
        <f>Mangochi!H206+'Monkey Bay'!H206+Namwera!H206+Nkhudzi!H206</f>
        <v>0</v>
      </c>
      <c r="I206" s="15">
        <f>Mangochi!I206+'Monkey Bay'!I206+Namwera!I206+Nkhudzi!I206</f>
        <v>0</v>
      </c>
      <c r="J206" s="15">
        <f>Mangochi!J206+'Monkey Bay'!J206+Namwera!J206+Nkhudzi!J206</f>
        <v>0</v>
      </c>
      <c r="K206" s="15">
        <f>Mangochi!K206+'Monkey Bay'!K206+Namwera!K206+Nkhudzi!K206</f>
        <v>0</v>
      </c>
      <c r="L206" s="15">
        <f>Mangochi!L206+'Monkey Bay'!L206+Namwera!L206+Nkhudzi!L206</f>
        <v>0</v>
      </c>
      <c r="M206" s="15">
        <f>Mangochi!M206+'Monkey Bay'!M206+Namwera!M206+Nkhudzi!M206</f>
        <v>0</v>
      </c>
      <c r="N206" s="15">
        <f>Mangochi!N206+'Monkey Bay'!N206+Namwera!N206+Nkhudzi!N206</f>
        <v>0</v>
      </c>
      <c r="O206" s="15">
        <f>Mangochi!O206+'Monkey Bay'!O206+Namwera!O206+Nkhudzi!O206</f>
        <v>0</v>
      </c>
      <c r="P206" s="39">
        <f>SUM(D206:O206)</f>
        <v>172471956</v>
      </c>
    </row>
    <row r="207" spans="1:16" x14ac:dyDescent="0.3">
      <c r="A207" s="212" t="s">
        <v>42</v>
      </c>
      <c r="B207" s="213"/>
      <c r="C207" s="11" t="s">
        <v>31</v>
      </c>
      <c r="D207" s="15">
        <f>Mangochi!D207+'Monkey Bay'!D207+Namwera!D207+Nkhudzi!D207</f>
        <v>0</v>
      </c>
      <c r="E207" s="15">
        <f>Mangochi!E207+'Monkey Bay'!E207+Namwera!E207+Nkhudzi!E207</f>
        <v>0</v>
      </c>
      <c r="F207" s="15">
        <f>Mangochi!F207+'Monkey Bay'!F207+Namwera!F207+Nkhudzi!F207</f>
        <v>0</v>
      </c>
      <c r="G207" s="15">
        <f>Mangochi!G207+'Monkey Bay'!G207+Namwera!G207+Nkhudzi!G207</f>
        <v>0</v>
      </c>
      <c r="H207" s="15">
        <f>Mangochi!H207+'Monkey Bay'!H207+Namwera!H207+Nkhudzi!H207</f>
        <v>0</v>
      </c>
      <c r="I207" s="15">
        <f>Mangochi!I207+'Monkey Bay'!I207+Namwera!I207+Nkhudzi!I207</f>
        <v>0</v>
      </c>
      <c r="J207" s="15">
        <f>Mangochi!J207+'Monkey Bay'!J207+Namwera!J207+Nkhudzi!J207</f>
        <v>0</v>
      </c>
      <c r="K207" s="15">
        <f>Mangochi!K207+'Monkey Bay'!K207+Namwera!K207+Nkhudzi!K207</f>
        <v>0</v>
      </c>
      <c r="L207" s="15">
        <f>Mangochi!L207+'Monkey Bay'!L207+Namwera!L207+Nkhudzi!L207</f>
        <v>0</v>
      </c>
      <c r="M207" s="15">
        <f>Mangochi!M207+'Monkey Bay'!M207+Namwera!M207+Nkhudzi!M207</f>
        <v>0</v>
      </c>
      <c r="N207" s="15">
        <f>Mangochi!N207+'Monkey Bay'!N207+Namwera!N207+Nkhudzi!N207</f>
        <v>0</v>
      </c>
      <c r="O207" s="15">
        <f>Mangochi!O207+'Monkey Bay'!O207+Namwera!O207+Nkhudzi!O207</f>
        <v>0</v>
      </c>
      <c r="P207" s="39">
        <f>SUM(D207:O207)</f>
        <v>0</v>
      </c>
    </row>
    <row r="208" spans="1:16" x14ac:dyDescent="0.3">
      <c r="A208" s="218" t="s">
        <v>41</v>
      </c>
      <c r="B208" s="219"/>
      <c r="C208" s="11" t="s">
        <v>31</v>
      </c>
      <c r="D208" s="15">
        <f>Mangochi!D208+'Monkey Bay'!D208+Namwera!D208+Nkhudzi!D208</f>
        <v>336100</v>
      </c>
      <c r="E208" s="15">
        <f>Mangochi!E208+'Monkey Bay'!E208+Namwera!E208+Nkhudzi!E208</f>
        <v>308867.21999999997</v>
      </c>
      <c r="F208" s="15">
        <f>Mangochi!F208+'Monkey Bay'!F208+Namwera!F208+Nkhudzi!F208</f>
        <v>0</v>
      </c>
      <c r="G208" s="15">
        <f>Mangochi!G208+'Monkey Bay'!G208+Namwera!G208+Nkhudzi!G208</f>
        <v>0</v>
      </c>
      <c r="H208" s="15">
        <f>Mangochi!H208+'Monkey Bay'!H208+Namwera!H208+Nkhudzi!H208</f>
        <v>0</v>
      </c>
      <c r="I208" s="15">
        <f>Mangochi!I208+'Monkey Bay'!I208+Namwera!I208+Nkhudzi!I208</f>
        <v>0</v>
      </c>
      <c r="J208" s="15">
        <f>Mangochi!J208+'Monkey Bay'!J208+Namwera!J208+Nkhudzi!J208</f>
        <v>0</v>
      </c>
      <c r="K208" s="15">
        <f>Mangochi!K208+'Monkey Bay'!K208+Namwera!K208+Nkhudzi!K208</f>
        <v>0</v>
      </c>
      <c r="L208" s="15">
        <f>Mangochi!L208+'Monkey Bay'!L208+Namwera!L208+Nkhudzi!L208</f>
        <v>0</v>
      </c>
      <c r="M208" s="15">
        <f>Mangochi!M208+'Monkey Bay'!M208+Namwera!M208+Nkhudzi!M208</f>
        <v>0</v>
      </c>
      <c r="N208" s="15">
        <f>Mangochi!N208+'Monkey Bay'!N208+Namwera!N208+Nkhudzi!N208</f>
        <v>0</v>
      </c>
      <c r="O208" s="15">
        <f>Mangochi!O208+'Monkey Bay'!O208+Namwera!O208+Nkhudzi!O208</f>
        <v>0</v>
      </c>
      <c r="P208" s="39">
        <f>SUM(D208:O208)</f>
        <v>644967.22</v>
      </c>
    </row>
    <row r="209" spans="1:16" x14ac:dyDescent="0.3">
      <c r="A209" s="212" t="s">
        <v>40</v>
      </c>
      <c r="B209" s="213"/>
      <c r="C209" s="11" t="s">
        <v>31</v>
      </c>
      <c r="D209" s="15">
        <f>Mangochi!D209+'Monkey Bay'!D209+Namwera!D209+Nkhudzi!D209</f>
        <v>25000</v>
      </c>
      <c r="E209" s="15">
        <f>Mangochi!E209+'Monkey Bay'!E209+Namwera!E209+Nkhudzi!E209</f>
        <v>296984.44</v>
      </c>
      <c r="F209" s="15">
        <f>Mangochi!F209+'Monkey Bay'!F209+Namwera!F209+Nkhudzi!F209</f>
        <v>0</v>
      </c>
      <c r="G209" s="15">
        <f>Mangochi!G209+'Monkey Bay'!G209+Namwera!G209+Nkhudzi!G209</f>
        <v>0</v>
      </c>
      <c r="H209" s="15">
        <f>Mangochi!H209+'Monkey Bay'!H209+Namwera!H209+Nkhudzi!H209</f>
        <v>0</v>
      </c>
      <c r="I209" s="15">
        <f>Mangochi!I209+'Monkey Bay'!I209+Namwera!I209+Nkhudzi!I209</f>
        <v>0</v>
      </c>
      <c r="J209" s="15">
        <f>Mangochi!J209+'Monkey Bay'!J209+Namwera!J209+Nkhudzi!J209</f>
        <v>0</v>
      </c>
      <c r="K209" s="15">
        <f>Mangochi!K209+'Monkey Bay'!K209+Namwera!K209+Nkhudzi!K209</f>
        <v>0</v>
      </c>
      <c r="L209" s="15">
        <f>Mangochi!M209+'Monkey Bay'!L209+Namwera!L209+Nkhudzi!L209</f>
        <v>0</v>
      </c>
      <c r="M209" s="15">
        <f>Mangochi!M209+'Monkey Bay'!M209+Namwera!M209+Nkhudzi!M209</f>
        <v>0</v>
      </c>
      <c r="N209" s="15">
        <f>Mangochi!N209+'Monkey Bay'!N209+Namwera!N209+Nkhudzi!N209</f>
        <v>0</v>
      </c>
      <c r="O209" s="15">
        <f>Mangochi!O209+'Monkey Bay'!O209+Namwera!O209+Nkhudzi!O209</f>
        <v>0</v>
      </c>
      <c r="P209" s="39">
        <f>SUM(D209:O209)</f>
        <v>321984.44</v>
      </c>
    </row>
    <row r="210" spans="1:16" x14ac:dyDescent="0.3">
      <c r="A210" s="270" t="s">
        <v>45</v>
      </c>
      <c r="B210" s="271"/>
      <c r="C210" s="11" t="s">
        <v>31</v>
      </c>
      <c r="D210" s="10">
        <f t="shared" ref="D210" si="125">SUM(D206:D209)</f>
        <v>61951216</v>
      </c>
      <c r="E210" s="10">
        <f t="shared" ref="E210:L210" si="126">SUM(E206:E209)</f>
        <v>111487691.66</v>
      </c>
      <c r="F210" s="10">
        <f t="shared" si="126"/>
        <v>0</v>
      </c>
      <c r="G210" s="10">
        <f t="shared" si="126"/>
        <v>0</v>
      </c>
      <c r="H210" s="10">
        <f t="shared" si="126"/>
        <v>0</v>
      </c>
      <c r="I210" s="10">
        <f t="shared" si="126"/>
        <v>0</v>
      </c>
      <c r="J210" s="10">
        <f t="shared" si="126"/>
        <v>0</v>
      </c>
      <c r="K210" s="10">
        <f t="shared" si="126"/>
        <v>0</v>
      </c>
      <c r="L210" s="10">
        <f t="shared" si="126"/>
        <v>0</v>
      </c>
      <c r="M210" s="10">
        <f t="shared" ref="M210" si="127">SUM(M206:M209)</f>
        <v>0</v>
      </c>
      <c r="N210" s="10">
        <f t="shared" ref="N210" si="128">SUM(N206:N209)</f>
        <v>0</v>
      </c>
      <c r="O210" s="10">
        <f t="shared" ref="O210" si="129">SUM(O206:O209)</f>
        <v>0</v>
      </c>
      <c r="P210" s="39">
        <f>SUM(D210:O210)</f>
        <v>173438907.66</v>
      </c>
    </row>
    <row r="211" spans="1:16" s="2" customFormat="1" ht="14.4" x14ac:dyDescent="0.3">
      <c r="A211" s="257" t="s">
        <v>44</v>
      </c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9"/>
    </row>
    <row r="212" spans="1:16" x14ac:dyDescent="0.3">
      <c r="A212" s="212" t="s">
        <v>43</v>
      </c>
      <c r="B212" s="213"/>
      <c r="C212" s="11" t="s">
        <v>31</v>
      </c>
      <c r="D212" s="15">
        <f>Mangochi!D212+'Monkey Bay'!D212+Namwera!D212+Nkhudzi!D212</f>
        <v>74689574</v>
      </c>
      <c r="E212" s="15">
        <f>Mangochi!E212+'Monkey Bay'!E212+Namwera!E212+Nkhudzi!E212</f>
        <v>87593081</v>
      </c>
      <c r="F212" s="15">
        <f>Mangochi!F212+'Monkey Bay'!F212+Namwera!F212+Nkhudzi!F212</f>
        <v>0</v>
      </c>
      <c r="G212" s="15">
        <f>Mangochi!G212+'Monkey Bay'!G212+Namwera!G212+Nkhudzi!G212</f>
        <v>0</v>
      </c>
      <c r="H212" s="15">
        <f>Mangochi!H212+'Monkey Bay'!H212+Namwera!H212+Nkhudzi!H212</f>
        <v>0</v>
      </c>
      <c r="I212" s="15">
        <f>Mangochi!I212+'Monkey Bay'!I212+Namwera!I212+Nkhudzi!I212</f>
        <v>0</v>
      </c>
      <c r="J212" s="15">
        <f>Mangochi!J212+'Monkey Bay'!J212+Namwera!J212+Nkhudzi!J212</f>
        <v>0</v>
      </c>
      <c r="K212" s="15">
        <f>Mangochi!K212+'Monkey Bay'!K212+Namwera!K212+Nkhudzi!K212</f>
        <v>0</v>
      </c>
      <c r="L212" s="15">
        <f>Mangochi!L212+'Monkey Bay'!L212+Namwera!L212+Nkhudzi!L212</f>
        <v>0</v>
      </c>
      <c r="M212" s="15">
        <f>Mangochi!M212+'Monkey Bay'!M212+Namwera!M212+Nkhudzi!M212</f>
        <v>0</v>
      </c>
      <c r="N212" s="15">
        <f>Mangochi!N212+'Monkey Bay'!N212+Namwera!N212+Nkhudzi!N212</f>
        <v>0</v>
      </c>
      <c r="O212" s="15">
        <f>Mangochi!O212+'Monkey Bay'!O212+Namwera!O212+Nkhudzi!O212</f>
        <v>0</v>
      </c>
      <c r="P212" s="39">
        <f>SUM(D212:O212)</f>
        <v>162282655</v>
      </c>
    </row>
    <row r="213" spans="1:16" x14ac:dyDescent="0.3">
      <c r="A213" s="212" t="s">
        <v>42</v>
      </c>
      <c r="B213" s="213"/>
      <c r="C213" s="11" t="s">
        <v>31</v>
      </c>
      <c r="D213" s="15">
        <f>Mangochi!D213+'Monkey Bay'!D213+Namwera!D213+Nkhudzi!D213</f>
        <v>1393480</v>
      </c>
      <c r="E213" s="15">
        <f>Mangochi!E213+'Monkey Bay'!E213+Namwera!E213+Nkhudzi!E213</f>
        <v>1329030</v>
      </c>
      <c r="F213" s="15">
        <f>Mangochi!F213+'Monkey Bay'!F213+Namwera!F213+Nkhudzi!F213</f>
        <v>0</v>
      </c>
      <c r="G213" s="15">
        <f>Mangochi!G213+'Monkey Bay'!G213+Namwera!G213+Nkhudzi!G213</f>
        <v>0</v>
      </c>
      <c r="H213" s="15">
        <f>Mangochi!H213+'Monkey Bay'!H213+Namwera!H213+Nkhudzi!H213</f>
        <v>0</v>
      </c>
      <c r="I213" s="15">
        <f>Mangochi!I213+'Monkey Bay'!I213+Namwera!I213+Nkhudzi!I213</f>
        <v>0</v>
      </c>
      <c r="J213" s="15">
        <f>Mangochi!J213+'Monkey Bay'!J213+Namwera!J213+Nkhudzi!J213</f>
        <v>0</v>
      </c>
      <c r="K213" s="15">
        <f>Mangochi!K213+'Monkey Bay'!K213+Namwera!K213+Nkhudzi!K213</f>
        <v>0</v>
      </c>
      <c r="L213" s="15">
        <f>Mangochi!L213+'Monkey Bay'!L213+Namwera!L213+Nkhudzi!L213</f>
        <v>0</v>
      </c>
      <c r="M213" s="15">
        <f>Mangochi!M213+'Monkey Bay'!M213+Namwera!M213+Nkhudzi!M213</f>
        <v>0</v>
      </c>
      <c r="N213" s="15">
        <f>Mangochi!N213+'Monkey Bay'!N213+Namwera!N213+Nkhudzi!N213</f>
        <v>0</v>
      </c>
      <c r="O213" s="15">
        <f>Mangochi!O213+'Monkey Bay'!O213+Namwera!O213+Nkhudzi!O213</f>
        <v>0</v>
      </c>
      <c r="P213" s="39">
        <f>SUM(D213:O213)</f>
        <v>2722510</v>
      </c>
    </row>
    <row r="214" spans="1:16" x14ac:dyDescent="0.3">
      <c r="A214" s="218" t="s">
        <v>41</v>
      </c>
      <c r="B214" s="219"/>
      <c r="C214" s="11" t="s">
        <v>31</v>
      </c>
      <c r="D214" s="15">
        <f>Mangochi!D214+'Monkey Bay'!D214+Namwera!D214+Nkhudzi!D214</f>
        <v>17092020</v>
      </c>
      <c r="E214" s="15">
        <f>Mangochi!E214+'Monkey Bay'!E214+Namwera!E214+Nkhudzi!E214</f>
        <v>19863843</v>
      </c>
      <c r="F214" s="15">
        <f>Mangochi!F214+'Monkey Bay'!F214+Namwera!F214+Nkhudzi!F214</f>
        <v>0</v>
      </c>
      <c r="G214" s="15">
        <f>Mangochi!G214+'Monkey Bay'!G214+Namwera!G214+Nkhudzi!G214</f>
        <v>0</v>
      </c>
      <c r="H214" s="15">
        <f>Mangochi!H214+'Monkey Bay'!H214+Namwera!H214+Nkhudzi!H214</f>
        <v>0</v>
      </c>
      <c r="I214" s="15">
        <f>Mangochi!I214+'Monkey Bay'!I214+Namwera!I214+Nkhudzi!I214</f>
        <v>0</v>
      </c>
      <c r="J214" s="15">
        <f>Mangochi!J214+'Monkey Bay'!J214+Namwera!J214+Nkhudzi!J214</f>
        <v>0</v>
      </c>
      <c r="K214" s="15">
        <f>Mangochi!K214+'Monkey Bay'!K214+Namwera!K214+Nkhudzi!K214</f>
        <v>0</v>
      </c>
      <c r="L214" s="15">
        <f>Mangochi!L214+'Monkey Bay'!L214+Namwera!L214+Nkhudzi!L214</f>
        <v>0</v>
      </c>
      <c r="M214" s="15">
        <f>Mangochi!M214+'Monkey Bay'!M214+Namwera!M214+Nkhudzi!M214</f>
        <v>0</v>
      </c>
      <c r="N214" s="15">
        <f>Mangochi!N214+'Monkey Bay'!N214+Namwera!N214+Nkhudzi!N214</f>
        <v>0</v>
      </c>
      <c r="O214" s="15">
        <f>Mangochi!O214+'Monkey Bay'!O214+Namwera!O214+Nkhudzi!O214</f>
        <v>0</v>
      </c>
      <c r="P214" s="39">
        <f>SUM(D214:O214)</f>
        <v>36955863</v>
      </c>
    </row>
    <row r="215" spans="1:16" x14ac:dyDescent="0.3">
      <c r="A215" s="212" t="s">
        <v>40</v>
      </c>
      <c r="B215" s="213"/>
      <c r="C215" s="11" t="s">
        <v>31</v>
      </c>
      <c r="D215" s="15">
        <f>Mangochi!D215+'Monkey Bay'!D215+Namwera!D215+Nkhudzi!D215</f>
        <v>27477959</v>
      </c>
      <c r="E215" s="15">
        <f>Mangochi!E215+'Monkey Bay'!E215+Namwera!E215+Nkhudzi!E215</f>
        <v>24673138</v>
      </c>
      <c r="F215" s="15">
        <f>Mangochi!F215+'Monkey Bay'!F215+Namwera!F215+Nkhudzi!F215</f>
        <v>0</v>
      </c>
      <c r="G215" s="15">
        <f>Mangochi!G215+'Monkey Bay'!G215+Namwera!G215+Nkhudzi!G215</f>
        <v>0</v>
      </c>
      <c r="H215" s="15">
        <f>Mangochi!H215+'Monkey Bay'!H215+Namwera!H215+Nkhudzi!H215</f>
        <v>0</v>
      </c>
      <c r="I215" s="15">
        <f>Mangochi!I215+'Monkey Bay'!I215+Namwera!I215+Nkhudzi!I215</f>
        <v>0</v>
      </c>
      <c r="J215" s="15">
        <f>Mangochi!J215+'Monkey Bay'!J215+Namwera!J215+Nkhudzi!J215</f>
        <v>0</v>
      </c>
      <c r="K215" s="15">
        <f>Mangochi!K215+'Monkey Bay'!K215+Namwera!K215+Nkhudzi!K215</f>
        <v>0</v>
      </c>
      <c r="L215" s="15">
        <f>Mangochi!L215+'Monkey Bay'!L215+Namwera!L215+Nkhudzi!L215</f>
        <v>0</v>
      </c>
      <c r="M215" s="15">
        <f>Mangochi!M215+'Monkey Bay'!M215+Namwera!M215+Nkhudzi!M215</f>
        <v>0</v>
      </c>
      <c r="N215" s="15">
        <f>Mangochi!N215+'Monkey Bay'!N215+Namwera!N215+Nkhudzi!N215</f>
        <v>0</v>
      </c>
      <c r="O215" s="15">
        <f>Mangochi!O215+'Monkey Bay'!O215+Namwera!O215+Nkhudzi!O215</f>
        <v>0</v>
      </c>
      <c r="P215" s="39">
        <f>SUM(D215:O215)</f>
        <v>52151097</v>
      </c>
    </row>
    <row r="216" spans="1:16" x14ac:dyDescent="0.3">
      <c r="A216" s="270" t="s">
        <v>39</v>
      </c>
      <c r="B216" s="271"/>
      <c r="C216" s="11" t="s">
        <v>31</v>
      </c>
      <c r="D216" s="10">
        <f t="shared" ref="D216" si="130">SUM(D212:D215)</f>
        <v>120653033</v>
      </c>
      <c r="E216" s="10">
        <f t="shared" ref="E216:L216" si="131">SUM(E212:E215)</f>
        <v>133459092</v>
      </c>
      <c r="F216" s="10">
        <f t="shared" si="131"/>
        <v>0</v>
      </c>
      <c r="G216" s="10">
        <f t="shared" si="131"/>
        <v>0</v>
      </c>
      <c r="H216" s="10">
        <f t="shared" si="131"/>
        <v>0</v>
      </c>
      <c r="I216" s="10">
        <f t="shared" si="131"/>
        <v>0</v>
      </c>
      <c r="J216" s="10">
        <f t="shared" si="131"/>
        <v>0</v>
      </c>
      <c r="K216" s="10">
        <f t="shared" si="131"/>
        <v>0</v>
      </c>
      <c r="L216" s="10">
        <f t="shared" si="131"/>
        <v>0</v>
      </c>
      <c r="M216" s="10">
        <f t="shared" ref="M216" si="132">SUM(M212:M215)</f>
        <v>0</v>
      </c>
      <c r="N216" s="10">
        <f t="shared" ref="N216" si="133">SUM(N212:N215)</f>
        <v>0</v>
      </c>
      <c r="O216" s="10">
        <f t="shared" ref="O216" si="134">SUM(O212:O215)</f>
        <v>0</v>
      </c>
      <c r="P216" s="39">
        <f>SUM(D216:O216)</f>
        <v>254112125</v>
      </c>
    </row>
    <row r="217" spans="1:16" s="2" customFormat="1" x14ac:dyDescent="0.3">
      <c r="A217" s="309" t="s">
        <v>38</v>
      </c>
      <c r="B217" s="310"/>
      <c r="C217" s="11" t="s">
        <v>31</v>
      </c>
      <c r="D217" s="10">
        <f t="shared" ref="D217:L217" si="135">D210+D216</f>
        <v>182604249</v>
      </c>
      <c r="E217" s="10">
        <f t="shared" si="135"/>
        <v>244946783.66</v>
      </c>
      <c r="F217" s="10">
        <f t="shared" si="135"/>
        <v>0</v>
      </c>
      <c r="G217" s="10">
        <f t="shared" si="135"/>
        <v>0</v>
      </c>
      <c r="H217" s="10">
        <f t="shared" si="135"/>
        <v>0</v>
      </c>
      <c r="I217" s="10">
        <f t="shared" si="135"/>
        <v>0</v>
      </c>
      <c r="J217" s="10">
        <f t="shared" si="135"/>
        <v>0</v>
      </c>
      <c r="K217" s="10">
        <f t="shared" si="135"/>
        <v>0</v>
      </c>
      <c r="L217" s="10">
        <f t="shared" si="135"/>
        <v>0</v>
      </c>
      <c r="M217" s="10">
        <f t="shared" ref="M217" si="136">M210+M216</f>
        <v>0</v>
      </c>
      <c r="N217" s="10">
        <f t="shared" ref="N217" si="137">N210+N216</f>
        <v>0</v>
      </c>
      <c r="O217" s="10">
        <f t="shared" ref="O217" si="138">O210+O216</f>
        <v>0</v>
      </c>
      <c r="P217" s="39">
        <f t="shared" ref="P217" si="139">P210+P216</f>
        <v>427551032.65999997</v>
      </c>
    </row>
    <row r="218" spans="1:16" s="2" customFormat="1" ht="14.4" x14ac:dyDescent="0.3">
      <c r="A218" s="257" t="s">
        <v>37</v>
      </c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9"/>
    </row>
    <row r="219" spans="1:16" x14ac:dyDescent="0.3">
      <c r="A219" s="212" t="s">
        <v>35</v>
      </c>
      <c r="B219" s="213"/>
      <c r="C219" s="11" t="s">
        <v>31</v>
      </c>
      <c r="D219" s="15">
        <f>Mangochi!D219+'Monkey Bay'!D219+Namwera!D219+Nkhudzi!D219</f>
        <v>65237695.810000002</v>
      </c>
      <c r="E219" s="15">
        <f>Mangochi!E219+'Monkey Bay'!E219+Namwera!E219+Nkhudzi!E219</f>
        <v>71678249.530000001</v>
      </c>
      <c r="F219" s="15">
        <f>Mangochi!F219+'Monkey Bay'!F219+Namwera!F219+Nkhudzi!F219</f>
        <v>0</v>
      </c>
      <c r="G219" s="15">
        <f>Mangochi!G219+'Monkey Bay'!G219+Namwera!G219+Nkhudzi!G219</f>
        <v>0</v>
      </c>
      <c r="H219" s="15">
        <f>Mangochi!H219+'Monkey Bay'!H219+Namwera!H219+Nkhudzi!H219</f>
        <v>0</v>
      </c>
      <c r="I219" s="15">
        <f>Mangochi!I219+'Monkey Bay'!I219+Namwera!I219+Nkhudzi!I219</f>
        <v>0</v>
      </c>
      <c r="J219" s="15">
        <f>Mangochi!J219+'Monkey Bay'!J219+Namwera!J219+Nkhudzi!J219</f>
        <v>0</v>
      </c>
      <c r="K219" s="15">
        <f>Mangochi!K219+'Monkey Bay'!K219+Namwera!K219+Nkhudzi!K219</f>
        <v>0</v>
      </c>
      <c r="L219" s="15">
        <f>Mangochi!L219+'Monkey Bay'!L219+Namwera!L219+Nkhudzi!L219</f>
        <v>0</v>
      </c>
      <c r="M219" s="15">
        <f>Mangochi!M219+'Monkey Bay'!M219+Namwera!M219+Nkhudzi!M219</f>
        <v>0</v>
      </c>
      <c r="N219" s="15">
        <f>Mangochi!N219+'Monkey Bay'!N219+Namwera!N219+Nkhudzi!N219</f>
        <v>0</v>
      </c>
      <c r="O219" s="15">
        <f>Mangochi!O219+'Monkey Bay'!O219+Namwera!O219+Nkhudzi!O219</f>
        <v>0</v>
      </c>
      <c r="P219" s="39">
        <f>SUM(D219:O219)</f>
        <v>136915945.34</v>
      </c>
    </row>
    <row r="220" spans="1:16" x14ac:dyDescent="0.3">
      <c r="A220" s="212" t="s">
        <v>34</v>
      </c>
      <c r="B220" s="213"/>
      <c r="C220" s="11" t="s">
        <v>31</v>
      </c>
      <c r="D220" s="15">
        <f>Mangochi!D220+'Monkey Bay'!D220+Namwera!D220+Nkhudzi!D220</f>
        <v>0</v>
      </c>
      <c r="E220" s="15">
        <f>Mangochi!E220+'Monkey Bay'!E220+Namwera!E220+Nkhudzi!E220</f>
        <v>0</v>
      </c>
      <c r="F220" s="15">
        <f>Mangochi!F220+'Monkey Bay'!F220+Namwera!F220+Nkhudzi!F220</f>
        <v>0</v>
      </c>
      <c r="G220" s="15">
        <f>Mangochi!G220+'Monkey Bay'!G220+Namwera!G220+Nkhudzi!G220</f>
        <v>0</v>
      </c>
      <c r="H220" s="15">
        <f>Mangochi!H220+'Monkey Bay'!H220+Namwera!H220+Nkhudzi!H220</f>
        <v>0</v>
      </c>
      <c r="I220" s="15">
        <f>Mangochi!I220+'Monkey Bay'!I220+Namwera!I220+Nkhudzi!I220</f>
        <v>0</v>
      </c>
      <c r="J220" s="15">
        <f>Mangochi!J220+'Monkey Bay'!J220+Namwera!J220+Nkhudzi!J220</f>
        <v>0</v>
      </c>
      <c r="K220" s="15">
        <f>Mangochi!K220+'Monkey Bay'!K220+Namwera!K220+Nkhudzi!K220</f>
        <v>0</v>
      </c>
      <c r="L220" s="15">
        <f>Mangochi!L220+'Monkey Bay'!L220+Namwera!L220+Nkhudzi!L220</f>
        <v>0</v>
      </c>
      <c r="M220" s="15">
        <f>Mangochi!M220+'Monkey Bay'!M220+Namwera!M220+Nkhudzi!M220</f>
        <v>0</v>
      </c>
      <c r="N220" s="15">
        <f>Mangochi!N220+'Monkey Bay'!N220+Namwera!N220+Nkhudzi!N220</f>
        <v>0</v>
      </c>
      <c r="O220" s="15">
        <f>Mangochi!O220+'Monkey Bay'!O220+Namwera!O220+Nkhudzi!O220</f>
        <v>0</v>
      </c>
      <c r="P220" s="39">
        <f>SUM(D220:O220)</f>
        <v>0</v>
      </c>
    </row>
    <row r="221" spans="1:16" x14ac:dyDescent="0.3">
      <c r="A221" s="212" t="s">
        <v>33</v>
      </c>
      <c r="B221" s="213"/>
      <c r="C221" s="11" t="s">
        <v>31</v>
      </c>
      <c r="D221" s="15">
        <f>Mangochi!D221+'Monkey Bay'!D221+Namwera!D221+Nkhudzi!D221</f>
        <v>15307221.42</v>
      </c>
      <c r="E221" s="15">
        <f>Mangochi!E221+'Monkey Bay'!E221+Namwera!E221+Nkhudzi!E221</f>
        <v>17646604.560000002</v>
      </c>
      <c r="F221" s="15">
        <f>Mangochi!F221+'Monkey Bay'!F221+Namwera!F221+Nkhudzi!F221</f>
        <v>0</v>
      </c>
      <c r="G221" s="15">
        <f>Mangochi!G221+'Monkey Bay'!G221+Namwera!G221+Nkhudzi!G221</f>
        <v>0</v>
      </c>
      <c r="H221" s="15">
        <f>Mangochi!H221+'Monkey Bay'!H221+Namwera!H221+Nkhudzi!H221</f>
        <v>0</v>
      </c>
      <c r="I221" s="15">
        <f>Mangochi!I221+'Monkey Bay'!I221+Namwera!I221+Nkhudzi!I221</f>
        <v>0</v>
      </c>
      <c r="J221" s="15">
        <f>Mangochi!J221+'Monkey Bay'!J221+Namwera!J221+Nkhudzi!J221</f>
        <v>0</v>
      </c>
      <c r="K221" s="15">
        <f>Mangochi!K221+'Monkey Bay'!K221+Namwera!K221+Nkhudzi!K221</f>
        <v>0</v>
      </c>
      <c r="L221" s="15">
        <f>Mangochi!L221+'Monkey Bay'!L221+Namwera!L221+Nkhudzi!L221</f>
        <v>0</v>
      </c>
      <c r="M221" s="15">
        <f>Mangochi!M221+'Monkey Bay'!M221+Namwera!M221+Nkhudzi!M221</f>
        <v>0</v>
      </c>
      <c r="N221" s="15">
        <f>Mangochi!N221+'Monkey Bay'!N221+Namwera!N221+Nkhudzi!N221</f>
        <v>0</v>
      </c>
      <c r="O221" s="15">
        <f>Mangochi!O221+'Monkey Bay'!O221+Namwera!O221+Nkhudzi!O221</f>
        <v>0</v>
      </c>
      <c r="P221" s="39">
        <f>SUM(D221:O221)</f>
        <v>32953825.980000004</v>
      </c>
    </row>
    <row r="222" spans="1:16" x14ac:dyDescent="0.3">
      <c r="A222" s="212" t="s">
        <v>32</v>
      </c>
      <c r="B222" s="213"/>
      <c r="C222" s="11" t="s">
        <v>31</v>
      </c>
      <c r="D222" s="15">
        <f>Mangochi!D222+'Monkey Bay'!D222+Namwera!D222+Nkhudzi!D222</f>
        <v>305928.14999999997</v>
      </c>
      <c r="E222" s="15">
        <f>Mangochi!E222+'Monkey Bay'!E222+Namwera!E222+Nkhudzi!E222</f>
        <v>340142.44</v>
      </c>
      <c r="F222" s="15">
        <f>Mangochi!F222+'Monkey Bay'!F222+Namwera!F222+Nkhudzi!F222</f>
        <v>0</v>
      </c>
      <c r="G222" s="15">
        <f>Mangochi!G222+'Monkey Bay'!G222+Namwera!G222+Nkhudzi!G222</f>
        <v>0</v>
      </c>
      <c r="H222" s="15">
        <f>Mangochi!H222+'Monkey Bay'!H222+Namwera!H222+Nkhudzi!H222</f>
        <v>0</v>
      </c>
      <c r="I222" s="15">
        <f>Mangochi!I222+'Monkey Bay'!I222+Namwera!I222+Nkhudzi!I222</f>
        <v>0</v>
      </c>
      <c r="J222" s="15">
        <f>Mangochi!J222+'Monkey Bay'!J222+Namwera!J222+Nkhudzi!J222</f>
        <v>0</v>
      </c>
      <c r="K222" s="15">
        <f>Mangochi!K222+'Monkey Bay'!K222+Namwera!K222+Nkhudzi!K222</f>
        <v>0</v>
      </c>
      <c r="L222" s="15">
        <f>Mangochi!L222+'Monkey Bay'!L222+Namwera!L222+Nkhudzi!L222</f>
        <v>0</v>
      </c>
      <c r="M222" s="15">
        <f>Mangochi!M222+'Monkey Bay'!M222+Namwera!M222+Nkhudzi!M222</f>
        <v>0</v>
      </c>
      <c r="N222" s="15">
        <f>Mangochi!N222+'Monkey Bay'!N222+Namwera!N222+Nkhudzi!N222</f>
        <v>0</v>
      </c>
      <c r="O222" s="15">
        <f>Mangochi!O222+'Monkey Bay'!O222+Namwera!O222+Nkhudzi!O222</f>
        <v>0</v>
      </c>
      <c r="P222" s="39">
        <f>SUM(D222:O222)</f>
        <v>646070.59</v>
      </c>
    </row>
    <row r="223" spans="1:16" x14ac:dyDescent="0.3">
      <c r="A223" s="270" t="s">
        <v>36</v>
      </c>
      <c r="B223" s="271"/>
      <c r="C223" s="11" t="s">
        <v>31</v>
      </c>
      <c r="D223" s="12">
        <f t="shared" ref="D223" si="140">SUM(D219:D222)</f>
        <v>80850845.38000001</v>
      </c>
      <c r="E223" s="10">
        <f t="shared" ref="E223:L223" si="141">SUM(E219:E222)</f>
        <v>89664996.530000001</v>
      </c>
      <c r="F223" s="10">
        <f t="shared" si="141"/>
        <v>0</v>
      </c>
      <c r="G223" s="10">
        <f t="shared" si="141"/>
        <v>0</v>
      </c>
      <c r="H223" s="10">
        <f t="shared" si="141"/>
        <v>0</v>
      </c>
      <c r="I223" s="10">
        <f t="shared" si="141"/>
        <v>0</v>
      </c>
      <c r="J223" s="14">
        <f t="shared" si="141"/>
        <v>0</v>
      </c>
      <c r="K223" s="14">
        <f t="shared" si="141"/>
        <v>0</v>
      </c>
      <c r="L223" s="14">
        <f t="shared" si="141"/>
        <v>0</v>
      </c>
      <c r="M223" s="14">
        <f t="shared" ref="M223" si="142">SUM(M219:M222)</f>
        <v>0</v>
      </c>
      <c r="N223" s="14">
        <f t="shared" ref="N223" si="143">SUM(N219:N222)</f>
        <v>0</v>
      </c>
      <c r="O223" s="14">
        <f t="shared" ref="O223" si="144">SUM(O219:O222)</f>
        <v>0</v>
      </c>
      <c r="P223" s="39">
        <f>SUM(D223:O223)</f>
        <v>170515841.91000003</v>
      </c>
    </row>
    <row r="224" spans="1:16" ht="14.4" x14ac:dyDescent="0.3">
      <c r="A224" s="257" t="s">
        <v>213</v>
      </c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9"/>
    </row>
    <row r="225" spans="1:16" x14ac:dyDescent="0.3">
      <c r="A225" s="212" t="s">
        <v>35</v>
      </c>
      <c r="B225" s="213"/>
      <c r="C225" s="11" t="s">
        <v>31</v>
      </c>
      <c r="D225" s="15">
        <f>Mangochi!D225+'Monkey Bay'!D225+Namwera!D225+Nkhudzi!D225</f>
        <v>73650915.549999997</v>
      </c>
      <c r="E225" s="15">
        <f>Mangochi!E225+'Monkey Bay'!E225+Namwera!E225+Nkhudzi!E225</f>
        <v>86402583.629999995</v>
      </c>
      <c r="F225" s="15">
        <f>Mangochi!F225+'Monkey Bay'!F225+Namwera!F225+Nkhudzi!F225</f>
        <v>0</v>
      </c>
      <c r="G225" s="15">
        <f>Mangochi!G225+'Monkey Bay'!G225+Namwera!G225+Nkhudzi!G225</f>
        <v>0</v>
      </c>
      <c r="H225" s="15">
        <f>Mangochi!H225+'Monkey Bay'!H225+Namwera!H225+Nkhudzi!H225</f>
        <v>0</v>
      </c>
      <c r="I225" s="15">
        <f>Mangochi!I225+'Monkey Bay'!I225+Namwera!I225+Nkhudzi!I225</f>
        <v>0</v>
      </c>
      <c r="J225" s="15">
        <f>Mangochi!J225+'Monkey Bay'!J225+Namwera!J225+Nkhudzi!J225</f>
        <v>0</v>
      </c>
      <c r="K225" s="15">
        <f>Mangochi!K225+'Monkey Bay'!K225+Namwera!K225+Nkhudzi!K225</f>
        <v>0</v>
      </c>
      <c r="L225" s="15">
        <f>Mangochi!L225+'Monkey Bay'!L225+Namwera!L225+Nkhudzi!L225</f>
        <v>0</v>
      </c>
      <c r="M225" s="15">
        <f>Mangochi!M225+'Monkey Bay'!M225+Namwera!M225+Nkhudzi!M225</f>
        <v>0</v>
      </c>
      <c r="N225" s="15">
        <f>Mangochi!N225+'Monkey Bay'!N225+Namwera!N225+Nkhudzi!N225</f>
        <v>0</v>
      </c>
      <c r="O225" s="15">
        <f>Mangochi!O225+'Monkey Bay'!O225+Namwera!O225+Nkhudzi!O225</f>
        <v>0</v>
      </c>
      <c r="P225" s="39">
        <f t="shared" ref="P225:P230" si="145">SUM(D225:O225)</f>
        <v>160053499.18000001</v>
      </c>
    </row>
    <row r="226" spans="1:16" x14ac:dyDescent="0.3">
      <c r="A226" s="212" t="s">
        <v>34</v>
      </c>
      <c r="B226" s="213"/>
      <c r="C226" s="11" t="s">
        <v>31</v>
      </c>
      <c r="D226" s="15">
        <f>Mangochi!D226+'Monkey Bay'!D226+Namwera!D226+Nkhudzi!D226</f>
        <v>1393480</v>
      </c>
      <c r="E226" s="15">
        <f>Mangochi!E226+'Monkey Bay'!E226+Namwera!E226+Nkhudzi!E226</f>
        <v>1329030</v>
      </c>
      <c r="F226" s="15">
        <f>Mangochi!F226+'Monkey Bay'!F226+Namwera!F226+Nkhudzi!F226</f>
        <v>0</v>
      </c>
      <c r="G226" s="15">
        <f>Mangochi!G226+'Monkey Bay'!G226+Namwera!G226+Nkhudzi!G226</f>
        <v>0</v>
      </c>
      <c r="H226" s="15">
        <f>Mangochi!H226+'Monkey Bay'!H226+Namwera!H226+Nkhudzi!H226</f>
        <v>0</v>
      </c>
      <c r="I226" s="15">
        <f>Mangochi!I226+'Monkey Bay'!I226+Namwera!I226+Nkhudzi!I226</f>
        <v>0</v>
      </c>
      <c r="J226" s="15">
        <f>Mangochi!J226+'Monkey Bay'!J226+Namwera!J226+Nkhudzi!J226</f>
        <v>0</v>
      </c>
      <c r="K226" s="15">
        <f>Mangochi!K226+'Monkey Bay'!K226+Namwera!K226+Nkhudzi!K226</f>
        <v>0</v>
      </c>
      <c r="L226" s="15">
        <f>Mangochi!L226+'Monkey Bay'!L226+Namwera!L226+Nkhudzi!L226</f>
        <v>0</v>
      </c>
      <c r="M226" s="15">
        <f>Mangochi!M226+'Monkey Bay'!M226+Namwera!M226+Nkhudzi!M226</f>
        <v>0</v>
      </c>
      <c r="N226" s="15">
        <f>Mangochi!N226+'Monkey Bay'!N226+Namwera!N226+Nkhudzi!N226</f>
        <v>0</v>
      </c>
      <c r="O226" s="15">
        <f>Mangochi!O226+'Monkey Bay'!O226+Namwera!O226+Nkhudzi!O226</f>
        <v>0</v>
      </c>
      <c r="P226" s="39">
        <f t="shared" si="145"/>
        <v>2722510</v>
      </c>
    </row>
    <row r="227" spans="1:16" x14ac:dyDescent="0.3">
      <c r="A227" s="212" t="s">
        <v>33</v>
      </c>
      <c r="B227" s="213"/>
      <c r="C227" s="11" t="s">
        <v>31</v>
      </c>
      <c r="D227" s="15">
        <f>Mangochi!D227+'Monkey Bay'!D227+Namwera!D227+Nkhudzi!D227</f>
        <v>27522659</v>
      </c>
      <c r="E227" s="15">
        <f>Mangochi!E227+'Monkey Bay'!E227+Namwera!E227+Nkhudzi!E227</f>
        <v>24673138</v>
      </c>
      <c r="F227" s="15">
        <f>Mangochi!F227+'Monkey Bay'!F227+Namwera!F227+Nkhudzi!F227</f>
        <v>0</v>
      </c>
      <c r="G227" s="15">
        <f>Mangochi!G227+'Monkey Bay'!G227+Namwera!G227+Nkhudzi!G227</f>
        <v>0</v>
      </c>
      <c r="H227" s="15">
        <f>Mangochi!H227+'Monkey Bay'!H227+Namwera!H227+Nkhudzi!H227</f>
        <v>0</v>
      </c>
      <c r="I227" s="15">
        <f>Mangochi!I227+'Monkey Bay'!I227+Namwera!I227+Nkhudzi!I227</f>
        <v>0</v>
      </c>
      <c r="J227" s="15">
        <f>Mangochi!J227+'Monkey Bay'!J227+Namwera!J227+Nkhudzi!J227</f>
        <v>0</v>
      </c>
      <c r="K227" s="15">
        <f>Mangochi!K227+'Monkey Bay'!K227+Namwera!K227+Nkhudzi!K227</f>
        <v>0</v>
      </c>
      <c r="L227" s="15">
        <f>Mangochi!L227+'Monkey Bay'!L227+Namwera!L227+Nkhudzi!L227</f>
        <v>0</v>
      </c>
      <c r="M227" s="15">
        <f>Mangochi!M227+'Monkey Bay'!M227+Namwera!M227+Nkhudzi!M227</f>
        <v>0</v>
      </c>
      <c r="N227" s="15">
        <f>Mangochi!N227+'Monkey Bay'!N227+Namwera!N227+Nkhudzi!N227</f>
        <v>0</v>
      </c>
      <c r="O227" s="15">
        <f>Mangochi!O227+'Monkey Bay'!O227+Namwera!O227+Nkhudzi!O227</f>
        <v>0</v>
      </c>
      <c r="P227" s="39">
        <f t="shared" si="145"/>
        <v>52195797</v>
      </c>
    </row>
    <row r="228" spans="1:16" x14ac:dyDescent="0.3">
      <c r="A228" s="212" t="s">
        <v>32</v>
      </c>
      <c r="B228" s="213"/>
      <c r="C228" s="11" t="s">
        <v>31</v>
      </c>
      <c r="D228" s="15">
        <f>Mangochi!D228+'Monkey Bay'!D228+Namwera!D228+Nkhudzi!D228</f>
        <v>17099900</v>
      </c>
      <c r="E228" s="15">
        <f>Mangochi!E228+'Monkey Bay'!E228+Namwera!E228+Nkhudzi!E228</f>
        <v>19838643</v>
      </c>
      <c r="F228" s="15">
        <f>Mangochi!F228+'Monkey Bay'!F228+Namwera!F228+Nkhudzi!F228</f>
        <v>0</v>
      </c>
      <c r="G228" s="15">
        <f>Mangochi!G228+'Monkey Bay'!G228+Namwera!G228+Nkhudzi!G228</f>
        <v>0</v>
      </c>
      <c r="H228" s="15">
        <f>Mangochi!H228+'Monkey Bay'!H228+Namwera!H228+Nkhudzi!H228</f>
        <v>0</v>
      </c>
      <c r="I228" s="15">
        <f>Mangochi!I228+'Monkey Bay'!I228+Namwera!I228+Nkhudzi!I228</f>
        <v>0</v>
      </c>
      <c r="J228" s="15">
        <f>Mangochi!J228+'Monkey Bay'!J228+Namwera!J228+Nkhudzi!J228</f>
        <v>0</v>
      </c>
      <c r="K228" s="15">
        <f>Mangochi!K228+'Monkey Bay'!K228+Namwera!K228+Nkhudzi!K228</f>
        <v>0</v>
      </c>
      <c r="L228" s="15">
        <f>Mangochi!L228+'Monkey Bay'!L228+Namwera!L228+Nkhudzi!L228</f>
        <v>0</v>
      </c>
      <c r="M228" s="15">
        <f>Mangochi!M228+'Monkey Bay'!M228+Namwera!M228+Nkhudzi!M228</f>
        <v>0</v>
      </c>
      <c r="N228" s="15">
        <f>Mangochi!N228+'Monkey Bay'!N228+Namwera!N228+Nkhudzi!N228</f>
        <v>0</v>
      </c>
      <c r="O228" s="15">
        <f>Mangochi!O228+'Monkey Bay'!O228+Namwera!O228+Nkhudzi!O228</f>
        <v>0</v>
      </c>
      <c r="P228" s="39">
        <f t="shared" si="145"/>
        <v>36938543</v>
      </c>
    </row>
    <row r="229" spans="1:16" x14ac:dyDescent="0.3">
      <c r="A229" s="270" t="s">
        <v>214</v>
      </c>
      <c r="B229" s="271"/>
      <c r="C229" s="11" t="s">
        <v>31</v>
      </c>
      <c r="D229" s="12">
        <f t="shared" ref="D229" si="146">SUM(D225:D228)</f>
        <v>119666954.55</v>
      </c>
      <c r="E229" s="10">
        <f t="shared" ref="E229:L229" si="147">SUM(E225:E228)</f>
        <v>132243394.63</v>
      </c>
      <c r="F229" s="10">
        <f t="shared" si="147"/>
        <v>0</v>
      </c>
      <c r="G229" s="10">
        <f t="shared" si="147"/>
        <v>0</v>
      </c>
      <c r="H229" s="10">
        <f t="shared" si="147"/>
        <v>0</v>
      </c>
      <c r="I229" s="10">
        <f t="shared" si="147"/>
        <v>0</v>
      </c>
      <c r="J229" s="10">
        <f t="shared" si="147"/>
        <v>0</v>
      </c>
      <c r="K229" s="10">
        <f t="shared" si="147"/>
        <v>0</v>
      </c>
      <c r="L229" s="10">
        <f t="shared" si="147"/>
        <v>0</v>
      </c>
      <c r="M229" s="10">
        <f t="shared" ref="M229" si="148">SUM(M225:M228)</f>
        <v>0</v>
      </c>
      <c r="N229" s="10">
        <f t="shared" ref="N229" si="149">SUM(N225:N228)</f>
        <v>0</v>
      </c>
      <c r="O229" s="10">
        <f t="shared" ref="O229" si="150">SUM(O225:O228)</f>
        <v>0</v>
      </c>
      <c r="P229" s="39">
        <f t="shared" si="145"/>
        <v>251910349.18000001</v>
      </c>
    </row>
    <row r="230" spans="1:16" x14ac:dyDescent="0.3">
      <c r="A230" s="309" t="s">
        <v>215</v>
      </c>
      <c r="B230" s="114"/>
      <c r="C230" s="11" t="s">
        <v>31</v>
      </c>
      <c r="D230" s="12">
        <f t="shared" ref="D230:L230" si="151">D223+D229</f>
        <v>200517799.93000001</v>
      </c>
      <c r="E230" s="12">
        <f t="shared" si="151"/>
        <v>221908391.16</v>
      </c>
      <c r="F230" s="12">
        <f t="shared" si="151"/>
        <v>0</v>
      </c>
      <c r="G230" s="12">
        <f t="shared" si="151"/>
        <v>0</v>
      </c>
      <c r="H230" s="12">
        <f t="shared" si="151"/>
        <v>0</v>
      </c>
      <c r="I230" s="12">
        <f t="shared" si="151"/>
        <v>0</v>
      </c>
      <c r="J230" s="12">
        <f t="shared" si="151"/>
        <v>0</v>
      </c>
      <c r="K230" s="12">
        <f t="shared" si="151"/>
        <v>0</v>
      </c>
      <c r="L230" s="12">
        <f t="shared" si="151"/>
        <v>0</v>
      </c>
      <c r="M230" s="12">
        <f t="shared" ref="M230" si="152">M223+M229</f>
        <v>0</v>
      </c>
      <c r="N230" s="12">
        <f t="shared" ref="N230" si="153">N223+N229</f>
        <v>0</v>
      </c>
      <c r="O230" s="12">
        <f t="shared" ref="O230" si="154">O223+O229</f>
        <v>0</v>
      </c>
      <c r="P230" s="39">
        <f t="shared" si="145"/>
        <v>422426191.09000003</v>
      </c>
    </row>
    <row r="231" spans="1:16" ht="14.4" x14ac:dyDescent="0.3">
      <c r="A231" s="257" t="s">
        <v>30</v>
      </c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9"/>
    </row>
    <row r="232" spans="1:16" x14ac:dyDescent="0.3">
      <c r="A232" s="212" t="s">
        <v>29</v>
      </c>
      <c r="B232" s="213"/>
      <c r="C232" s="11" t="s">
        <v>18</v>
      </c>
      <c r="D232" s="15">
        <f>Mangochi!D232+'Monkey Bay'!D232+Namwera!D232+Nkhudzi!D232</f>
        <v>3184086.58</v>
      </c>
      <c r="E232" s="15">
        <f>Mangochi!E232+'Monkey Bay'!E232+Namwera!E232+Nkhudzi!E232</f>
        <v>3216355.58</v>
      </c>
      <c r="F232" s="15">
        <f>Mangochi!F232+'Monkey Bay'!F232+Namwera!F232+Nkhudzi!F232</f>
        <v>0</v>
      </c>
      <c r="G232" s="15">
        <f>Mangochi!G232+'Monkey Bay'!G232+Namwera!G232+Nkhudzi!G232</f>
        <v>0</v>
      </c>
      <c r="H232" s="15">
        <f>Mangochi!H232+'Monkey Bay'!H232+Namwera!H232+Nkhudzi!H232</f>
        <v>0</v>
      </c>
      <c r="I232" s="15">
        <f>Mangochi!I232+'Monkey Bay'!I232+Namwera!I232+Nkhudzi!I232</f>
        <v>0</v>
      </c>
      <c r="J232" s="15">
        <f>Mangochi!J232+'Monkey Bay'!J232+Namwera!J232+Nkhudzi!J232</f>
        <v>0</v>
      </c>
      <c r="K232" s="15">
        <f>Mangochi!K232+'Monkey Bay'!K232+Namwera!K232+Nkhudzi!K232</f>
        <v>0</v>
      </c>
      <c r="L232" s="15">
        <f>Mangochi!L232+'Monkey Bay'!L232+Namwera!L232+Nkhudzi!L232</f>
        <v>0</v>
      </c>
      <c r="M232" s="15">
        <f>Mangochi!M232+'Monkey Bay'!M232+Namwera!M232+Nkhudzi!M232</f>
        <v>0</v>
      </c>
      <c r="N232" s="15">
        <f>Mangochi!N232+'Monkey Bay'!N232+Namwera!N232+Nkhudzi!N232</f>
        <v>0</v>
      </c>
      <c r="O232" s="15">
        <f>Mangochi!O232+'Monkey Bay'!O232+Namwera!O232+Nkhudzi!O232</f>
        <v>0</v>
      </c>
      <c r="P232" s="39">
        <f>SUM(D232:O232)</f>
        <v>6400442.1600000001</v>
      </c>
    </row>
    <row r="233" spans="1:16" x14ac:dyDescent="0.3">
      <c r="A233" s="212" t="s">
        <v>28</v>
      </c>
      <c r="B233" s="213"/>
      <c r="C233" s="11" t="s">
        <v>18</v>
      </c>
      <c r="D233" s="15">
        <f>Mangochi!D233+'Monkey Bay'!D233+Namwera!D233+Nkhudzi!D233</f>
        <v>0</v>
      </c>
      <c r="E233" s="15">
        <f>Mangochi!E233+'Monkey Bay'!E233+Namwera!E233+Nkhudzi!E233</f>
        <v>0</v>
      </c>
      <c r="F233" s="15">
        <f>Mangochi!F233+'Monkey Bay'!F233+Namwera!F233+Nkhudzi!F233</f>
        <v>0</v>
      </c>
      <c r="G233" s="15">
        <f>Mangochi!G233+'Monkey Bay'!G233+Namwera!G233+Nkhudzi!G233</f>
        <v>0</v>
      </c>
      <c r="H233" s="15">
        <f>Mangochi!H233+'Monkey Bay'!H233+Namwera!H233+Nkhudzi!H233</f>
        <v>0</v>
      </c>
      <c r="I233" s="15">
        <f>Mangochi!I233+'Monkey Bay'!I233+Namwera!I233+Nkhudzi!I233</f>
        <v>0</v>
      </c>
      <c r="J233" s="15">
        <f>Mangochi!J233+'Monkey Bay'!J233+Namwera!J233+Nkhudzi!J233</f>
        <v>0</v>
      </c>
      <c r="K233" s="15">
        <f>Mangochi!K233+'Monkey Bay'!K233+Namwera!K233+Nkhudzi!K233</f>
        <v>0</v>
      </c>
      <c r="L233" s="15">
        <f>Mangochi!L233+'Monkey Bay'!L233+Namwera!L233+Nkhudzi!L233</f>
        <v>0</v>
      </c>
      <c r="M233" s="15">
        <f>Mangochi!M233+'Monkey Bay'!M233+Namwera!M233+Nkhudzi!M233</f>
        <v>0</v>
      </c>
      <c r="N233" s="15">
        <f>Mangochi!N233+'Monkey Bay'!N233+Namwera!N233+Nkhudzi!N233</f>
        <v>0</v>
      </c>
      <c r="O233" s="15">
        <f>Mangochi!O233+'Monkey Bay'!O233+Namwera!O233+Nkhudzi!O233</f>
        <v>0</v>
      </c>
      <c r="P233" s="39">
        <f>SUM(D233:O233)</f>
        <v>0</v>
      </c>
    </row>
    <row r="234" spans="1:16" x14ac:dyDescent="0.3">
      <c r="A234" s="212" t="s">
        <v>27</v>
      </c>
      <c r="B234" s="213"/>
      <c r="C234" s="11" t="s">
        <v>18</v>
      </c>
      <c r="D234" s="15">
        <f>Mangochi!D234+'Monkey Bay'!D234+Namwera!D234+Nkhudzi!D234</f>
        <v>61085.52</v>
      </c>
      <c r="E234" s="15">
        <f>Mangochi!E234+'Monkey Bay'!E234+Namwera!E234+Nkhudzi!E234</f>
        <v>61085.52</v>
      </c>
      <c r="F234" s="15">
        <f>Mangochi!F234+'Monkey Bay'!F234+Namwera!F234+Nkhudzi!F234</f>
        <v>0</v>
      </c>
      <c r="G234" s="15">
        <f>Mangochi!G234+'Monkey Bay'!G234+Namwera!G234+Nkhudzi!G234</f>
        <v>0</v>
      </c>
      <c r="H234" s="15">
        <f>Mangochi!H234+'Monkey Bay'!H234+Namwera!H234+Nkhudzi!H234</f>
        <v>0</v>
      </c>
      <c r="I234" s="15">
        <f>Mangochi!I234+'Monkey Bay'!I234+Namwera!I234+Nkhudzi!I234</f>
        <v>0</v>
      </c>
      <c r="J234" s="15">
        <f>Mangochi!J234+'Monkey Bay'!J234+Namwera!J234+Nkhudzi!J234</f>
        <v>0</v>
      </c>
      <c r="K234" s="15">
        <f>Mangochi!K234+'Monkey Bay'!K234+Namwera!K234+Nkhudzi!K234</f>
        <v>0</v>
      </c>
      <c r="L234" s="15">
        <f>Mangochi!L234+'Monkey Bay'!L234+Namwera!L234+Nkhudzi!L234</f>
        <v>0</v>
      </c>
      <c r="M234" s="15">
        <f>Mangochi!M234+'Monkey Bay'!M234+Namwera!M234+Nkhudzi!M234</f>
        <v>0</v>
      </c>
      <c r="N234" s="15">
        <f>Mangochi!N234+'Monkey Bay'!N234+Namwera!N234+Nkhudzi!N234</f>
        <v>0</v>
      </c>
      <c r="O234" s="15">
        <f>Mangochi!O234+'Monkey Bay'!O234+Namwera!O234+Nkhudzi!O234</f>
        <v>0</v>
      </c>
      <c r="P234" s="39">
        <f>SUM(D234:O234)</f>
        <v>122171.04</v>
      </c>
    </row>
    <row r="235" spans="1:16" x14ac:dyDescent="0.3">
      <c r="A235" s="212" t="s">
        <v>26</v>
      </c>
      <c r="B235" s="213"/>
      <c r="C235" s="11" t="s">
        <v>18</v>
      </c>
      <c r="D235" s="15">
        <f>Mangochi!D235+'Monkey Bay'!D235+Namwera!D235+Nkhudzi!D235</f>
        <v>13912.02</v>
      </c>
      <c r="E235" s="15">
        <f>Mangochi!E235+'Monkey Bay'!E235+Namwera!E235+Nkhudzi!E235</f>
        <v>18549.36</v>
      </c>
      <c r="F235" s="15">
        <f>Mangochi!F235+'Monkey Bay'!F235+Namwera!F235+Nkhudzi!F235</f>
        <v>0</v>
      </c>
      <c r="G235" s="15">
        <f>Mangochi!G235+'Monkey Bay'!G235+Namwera!G235+Nkhudzi!G235</f>
        <v>0</v>
      </c>
      <c r="H235" s="15">
        <f>Mangochi!H235+'Monkey Bay'!H235+Namwera!H235+Nkhudzi!H235</f>
        <v>0</v>
      </c>
      <c r="I235" s="15">
        <f>Mangochi!I235+'Monkey Bay'!I235+Namwera!I235+Nkhudzi!I235</f>
        <v>0</v>
      </c>
      <c r="J235" s="15">
        <f>Mangochi!J235+'Monkey Bay'!J235+Namwera!J235+Nkhudzi!J235</f>
        <v>0</v>
      </c>
      <c r="K235" s="15">
        <f>Mangochi!K235+'Monkey Bay'!K235+Namwera!K235+Nkhudzi!K235</f>
        <v>0</v>
      </c>
      <c r="L235" s="15">
        <f>Mangochi!L235+'Monkey Bay'!L235+Namwera!L235+Nkhudzi!L235</f>
        <v>0</v>
      </c>
      <c r="M235" s="15">
        <f>Mangochi!M235+'Monkey Bay'!M235+Namwera!M235+Nkhudzi!M235</f>
        <v>0</v>
      </c>
      <c r="N235" s="15">
        <f>Mangochi!N235+'Monkey Bay'!N235+Namwera!N235+Nkhudzi!N235</f>
        <v>0</v>
      </c>
      <c r="O235" s="15">
        <f>Mangochi!O235+'Monkey Bay'!O235+Namwera!O235+Nkhudzi!O235</f>
        <v>0</v>
      </c>
      <c r="P235" s="39">
        <f>SUM(D235:O235)</f>
        <v>32461.38</v>
      </c>
    </row>
    <row r="236" spans="1:16" x14ac:dyDescent="0.3">
      <c r="A236" s="270" t="s">
        <v>25</v>
      </c>
      <c r="B236" s="271"/>
      <c r="C236" s="11" t="s">
        <v>18</v>
      </c>
      <c r="D236" s="12">
        <f t="shared" ref="D236" si="155">SUM(D232:D235)</f>
        <v>3259084.12</v>
      </c>
      <c r="E236" s="12">
        <f t="shared" ref="E236:L236" si="156">SUM(E232:E235)</f>
        <v>3295990.46</v>
      </c>
      <c r="F236" s="12">
        <f t="shared" si="156"/>
        <v>0</v>
      </c>
      <c r="G236" s="12">
        <f t="shared" si="156"/>
        <v>0</v>
      </c>
      <c r="H236" s="12">
        <f t="shared" si="156"/>
        <v>0</v>
      </c>
      <c r="I236" s="12">
        <f t="shared" si="156"/>
        <v>0</v>
      </c>
      <c r="J236" s="12">
        <f t="shared" si="156"/>
        <v>0</v>
      </c>
      <c r="K236" s="12">
        <f t="shared" si="156"/>
        <v>0</v>
      </c>
      <c r="L236" s="12">
        <f t="shared" si="156"/>
        <v>0</v>
      </c>
      <c r="M236" s="12">
        <f t="shared" ref="M236" si="157">SUM(M232:M235)</f>
        <v>0</v>
      </c>
      <c r="N236" s="12">
        <f t="shared" ref="N236" si="158">SUM(N232:N235)</f>
        <v>0</v>
      </c>
      <c r="O236" s="12">
        <f t="shared" ref="O236" si="159">SUM(O232:O235)</f>
        <v>0</v>
      </c>
      <c r="P236" s="39">
        <f t="shared" ref="P236" si="160">SUM(P232:P235)</f>
        <v>6555074.5800000001</v>
      </c>
    </row>
    <row r="237" spans="1:16" ht="14.4" x14ac:dyDescent="0.3">
      <c r="A237" s="257" t="s">
        <v>24</v>
      </c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9"/>
    </row>
    <row r="238" spans="1:16" x14ac:dyDescent="0.3">
      <c r="A238" s="212" t="s">
        <v>23</v>
      </c>
      <c r="B238" s="213"/>
      <c r="C238" s="11" t="s">
        <v>18</v>
      </c>
      <c r="D238" s="15">
        <f>Mangochi!D238+'Monkey Bay'!D238+Namwera!D238+Nkhudzi!D238</f>
        <v>5323173</v>
      </c>
      <c r="E238" s="15">
        <f>Mangochi!E238+'Monkey Bay'!E238+Namwera!E238+Nkhudzi!E238</f>
        <v>5378539</v>
      </c>
      <c r="F238" s="15">
        <f>Mangochi!F238+'Monkey Bay'!F238+Namwera!F238+Nkhudzi!F238</f>
        <v>0</v>
      </c>
      <c r="G238" s="15">
        <f>Mangochi!G238+'Monkey Bay'!G238+Namwera!G238+Nkhudzi!G238</f>
        <v>0</v>
      </c>
      <c r="H238" s="15">
        <f>Mangochi!H238+'Monkey Bay'!H238+Namwera!H238+Nkhudzi!H238</f>
        <v>0</v>
      </c>
      <c r="I238" s="15">
        <f>Mangochi!I238+'Monkey Bay'!I238+Namwera!I238+Nkhudzi!I238</f>
        <v>0</v>
      </c>
      <c r="J238" s="15">
        <f>Mangochi!J238+'Monkey Bay'!J238+Namwera!J238+Nkhudzi!J238</f>
        <v>0</v>
      </c>
      <c r="K238" s="15">
        <f>Mangochi!K238+'Monkey Bay'!K238+Namwera!K238+Nkhudzi!K238</f>
        <v>0</v>
      </c>
      <c r="L238" s="15">
        <f>Mangochi!L238+'Monkey Bay'!L238+Namwera!L238+Nkhudzi!L238</f>
        <v>0</v>
      </c>
      <c r="M238" s="15">
        <f>Mangochi!M238+'Monkey Bay'!M238+Namwera!M238+Nkhudzi!M238</f>
        <v>0</v>
      </c>
      <c r="N238" s="15">
        <f>Mangochi!N238+'Monkey Bay'!N238+Namwera!N238+Nkhudzi!N238</f>
        <v>0</v>
      </c>
      <c r="O238" s="15">
        <f>Mangochi!O238+'Monkey Bay'!O238+Namwera!O238+Nkhudzi!O238</f>
        <v>0</v>
      </c>
      <c r="P238" s="39">
        <f>SUM(D238:O238)</f>
        <v>10701712</v>
      </c>
    </row>
    <row r="239" spans="1:16" x14ac:dyDescent="0.3">
      <c r="A239" s="212" t="s">
        <v>22</v>
      </c>
      <c r="B239" s="213"/>
      <c r="C239" s="11" t="s">
        <v>18</v>
      </c>
      <c r="D239" s="15">
        <f>Mangochi!D239+'Monkey Bay'!D239+Namwera!D239+Nkhudzi!D239</f>
        <v>0</v>
      </c>
      <c r="E239" s="15">
        <f>Mangochi!E239+'Monkey Bay'!E239+Namwera!E239+Nkhudzi!E239</f>
        <v>0</v>
      </c>
      <c r="F239" s="15">
        <f>Mangochi!F239+'Monkey Bay'!F239+Namwera!F239+Nkhudzi!F239</f>
        <v>0</v>
      </c>
      <c r="G239" s="15">
        <f>Mangochi!G239+'Monkey Bay'!G239+Namwera!G239+Nkhudzi!G239</f>
        <v>0</v>
      </c>
      <c r="H239" s="15">
        <f>Mangochi!H239+'Monkey Bay'!H239+Namwera!H239+Nkhudzi!H239</f>
        <v>0</v>
      </c>
      <c r="I239" s="15">
        <f>Mangochi!I239+'Monkey Bay'!I239+Namwera!I239+Nkhudzi!I239</f>
        <v>0</v>
      </c>
      <c r="J239" s="15">
        <f>Mangochi!J239+'Monkey Bay'!J239+Namwera!J239+Nkhudzi!J239</f>
        <v>0</v>
      </c>
      <c r="K239" s="15">
        <f>Mangochi!K239+'Monkey Bay'!K239+Namwera!K239+Nkhudzi!K239</f>
        <v>0</v>
      </c>
      <c r="L239" s="15">
        <f>Mangochi!L239+'Monkey Bay'!L239+Namwera!L239+Nkhudzi!L239</f>
        <v>0</v>
      </c>
      <c r="M239" s="15">
        <f>Mangochi!M239+'Monkey Bay'!M239+Namwera!M239+Nkhudzi!M239</f>
        <v>0</v>
      </c>
      <c r="N239" s="15">
        <f>Mangochi!N239+'Monkey Bay'!N239+Namwera!N239+Nkhudzi!N239</f>
        <v>0</v>
      </c>
      <c r="O239" s="15">
        <f>Mangochi!O239+'Monkey Bay'!O239+Namwera!O239+Nkhudzi!O239</f>
        <v>0</v>
      </c>
      <c r="P239" s="39">
        <f>SUM(D239:O239)</f>
        <v>0</v>
      </c>
    </row>
    <row r="240" spans="1:16" x14ac:dyDescent="0.3">
      <c r="A240" s="212" t="s">
        <v>21</v>
      </c>
      <c r="B240" s="213"/>
      <c r="C240" s="11" t="s">
        <v>18</v>
      </c>
      <c r="D240" s="15">
        <f>Mangochi!D240+'Monkey Bay'!D240+Namwera!D240+Nkhudzi!D240</f>
        <v>16074</v>
      </c>
      <c r="E240" s="15">
        <f>Mangochi!E240+'Monkey Bay'!E240+Namwera!E240+Nkhudzi!E240</f>
        <v>16074</v>
      </c>
      <c r="F240" s="15">
        <f>Mangochi!F240+'Monkey Bay'!F240+Namwera!F240+Nkhudzi!F240</f>
        <v>0</v>
      </c>
      <c r="G240" s="15">
        <f>Mangochi!G240+'Monkey Bay'!G240+Namwera!G240+Nkhudzi!G240</f>
        <v>0</v>
      </c>
      <c r="H240" s="15">
        <f>Mangochi!H240+'Monkey Bay'!H240+Namwera!H240+Nkhudzi!H240</f>
        <v>0</v>
      </c>
      <c r="I240" s="15">
        <f>Mangochi!I240+'Monkey Bay'!I240+Namwera!I240+Nkhudzi!I240</f>
        <v>0</v>
      </c>
      <c r="J240" s="15">
        <f>Mangochi!J240+'Monkey Bay'!J240+Namwera!J240+Nkhudzi!J240</f>
        <v>0</v>
      </c>
      <c r="K240" s="15">
        <f>Mangochi!K240+'Monkey Bay'!K240+Namwera!K240+Nkhudzi!K240</f>
        <v>0</v>
      </c>
      <c r="L240" s="15">
        <f>Mangochi!L240+'Monkey Bay'!L240+Namwera!L240+Nkhudzi!L240</f>
        <v>0</v>
      </c>
      <c r="M240" s="15">
        <f>Mangochi!M240+'Monkey Bay'!M240+Namwera!M240+Nkhudzi!M240</f>
        <v>0</v>
      </c>
      <c r="N240" s="15">
        <f>Mangochi!N240+'Monkey Bay'!N240+Namwera!N240+Nkhudzi!N240</f>
        <v>0</v>
      </c>
      <c r="O240" s="15">
        <f>Mangochi!O240+'Monkey Bay'!O240+Namwera!O240+Nkhudzi!O240</f>
        <v>0</v>
      </c>
      <c r="P240" s="39">
        <f>SUM(D240:O240)</f>
        <v>32148</v>
      </c>
    </row>
    <row r="241" spans="1:16" x14ac:dyDescent="0.3">
      <c r="A241" s="212" t="s">
        <v>20</v>
      </c>
      <c r="B241" s="213"/>
      <c r="C241" s="11" t="s">
        <v>18</v>
      </c>
      <c r="D241" s="15">
        <f>Mangochi!D241+'Monkey Bay'!D241+Namwera!D241+Nkhudzi!D241</f>
        <v>2679</v>
      </c>
      <c r="E241" s="15">
        <f>Mangochi!E241+'Monkey Bay'!E241+Namwera!E241+Nkhudzi!E241</f>
        <v>3572</v>
      </c>
      <c r="F241" s="15">
        <f>Mangochi!F241+'Monkey Bay'!F241+Namwera!F241+Nkhudzi!F241</f>
        <v>0</v>
      </c>
      <c r="G241" s="15">
        <f>Mangochi!G241+'Monkey Bay'!G241+Namwera!G241+Nkhudzi!G241</f>
        <v>0</v>
      </c>
      <c r="H241" s="15">
        <f>Mangochi!H241+'Monkey Bay'!H241+Namwera!H241+Nkhudzi!H241</f>
        <v>0</v>
      </c>
      <c r="I241" s="15">
        <f>Mangochi!I241+'Monkey Bay'!I241+Namwera!I241+Nkhudzi!I241</f>
        <v>0</v>
      </c>
      <c r="J241" s="15">
        <f>Mangochi!J241+'Monkey Bay'!J241+Namwera!J241+Nkhudzi!J241</f>
        <v>0</v>
      </c>
      <c r="K241" s="15">
        <f>Mangochi!K241+'Monkey Bay'!K241+Namwera!K241+Nkhudzi!K241</f>
        <v>0</v>
      </c>
      <c r="L241" s="15">
        <f>Mangochi!L241+'Monkey Bay'!L241+Namwera!L241+Nkhudzi!L241</f>
        <v>0</v>
      </c>
      <c r="M241" s="15">
        <f>Mangochi!M241+'Monkey Bay'!M241+Namwera!M241+Nkhudzi!M241</f>
        <v>0</v>
      </c>
      <c r="N241" s="15">
        <f>Mangochi!N241+'Monkey Bay'!N241+Namwera!N241+Nkhudzi!N241</f>
        <v>0</v>
      </c>
      <c r="O241" s="15">
        <f>Mangochi!O241+'Monkey Bay'!O241+Namwera!O241+Nkhudzi!O241</f>
        <v>0</v>
      </c>
      <c r="P241" s="39">
        <f>SUM(D241:O241)</f>
        <v>6251</v>
      </c>
    </row>
    <row r="242" spans="1:16" x14ac:dyDescent="0.3">
      <c r="A242" s="270" t="s">
        <v>19</v>
      </c>
      <c r="B242" s="271"/>
      <c r="C242" s="11" t="s">
        <v>18</v>
      </c>
      <c r="D242" s="12">
        <f t="shared" ref="D242:P242" si="161">SUM(D238:D241)</f>
        <v>5341926</v>
      </c>
      <c r="E242" s="12">
        <f t="shared" ref="E242:L242" si="162">SUM(E238:E241)</f>
        <v>5398185</v>
      </c>
      <c r="F242" s="12">
        <f t="shared" si="162"/>
        <v>0</v>
      </c>
      <c r="G242" s="12">
        <f t="shared" si="162"/>
        <v>0</v>
      </c>
      <c r="H242" s="12">
        <f t="shared" si="162"/>
        <v>0</v>
      </c>
      <c r="I242" s="12">
        <f t="shared" si="162"/>
        <v>0</v>
      </c>
      <c r="J242" s="12">
        <f t="shared" si="162"/>
        <v>0</v>
      </c>
      <c r="K242" s="12">
        <f t="shared" si="162"/>
        <v>0</v>
      </c>
      <c r="L242" s="12">
        <f t="shared" si="162"/>
        <v>0</v>
      </c>
      <c r="M242" s="12">
        <f t="shared" ref="M242" si="163">SUM(M238:M241)</f>
        <v>0</v>
      </c>
      <c r="N242" s="12">
        <f t="shared" ref="N242" si="164">SUM(N238:N241)</f>
        <v>0</v>
      </c>
      <c r="O242" s="12">
        <f t="shared" ref="O242" si="165">SUM(O238:O241)</f>
        <v>0</v>
      </c>
      <c r="P242" s="39">
        <f t="shared" si="161"/>
        <v>10740111</v>
      </c>
    </row>
    <row r="243" spans="1:16" x14ac:dyDescent="0.3">
      <c r="A243" s="270" t="s">
        <v>216</v>
      </c>
      <c r="B243" s="271"/>
      <c r="C243" s="11" t="s">
        <v>18</v>
      </c>
      <c r="D243" s="10">
        <f t="shared" ref="D243:L243" si="166">D230+D236+D242</f>
        <v>209118810.05000001</v>
      </c>
      <c r="E243" s="10">
        <f t="shared" si="166"/>
        <v>230602566.62</v>
      </c>
      <c r="F243" s="10">
        <f t="shared" si="166"/>
        <v>0</v>
      </c>
      <c r="G243" s="10">
        <f t="shared" si="166"/>
        <v>0</v>
      </c>
      <c r="H243" s="10">
        <f t="shared" si="166"/>
        <v>0</v>
      </c>
      <c r="I243" s="10">
        <f t="shared" si="166"/>
        <v>0</v>
      </c>
      <c r="J243" s="10">
        <f t="shared" si="166"/>
        <v>0</v>
      </c>
      <c r="K243" s="10">
        <f t="shared" si="166"/>
        <v>0</v>
      </c>
      <c r="L243" s="10">
        <f t="shared" si="166"/>
        <v>0</v>
      </c>
      <c r="M243" s="10">
        <f t="shared" ref="M243" si="167">M230+M236+M242</f>
        <v>0</v>
      </c>
      <c r="N243" s="10">
        <f t="shared" ref="N243" si="168">N230+N236+N242</f>
        <v>0</v>
      </c>
      <c r="O243" s="10">
        <f t="shared" ref="O243" si="169">O230+O236+O242</f>
        <v>0</v>
      </c>
      <c r="P243" s="39">
        <f t="shared" ref="P243" si="170">P216+P223+P236+P242</f>
        <v>441923152.49000001</v>
      </c>
    </row>
    <row r="244" spans="1:16" ht="14.4" x14ac:dyDescent="0.3">
      <c r="A244" s="257" t="s">
        <v>206</v>
      </c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9"/>
    </row>
    <row r="245" spans="1:16" x14ac:dyDescent="0.3">
      <c r="A245" s="290" t="s">
        <v>207</v>
      </c>
      <c r="B245" s="291"/>
      <c r="C245" s="11" t="s">
        <v>18</v>
      </c>
      <c r="D245" s="15">
        <f>Mangochi!D245+'Monkey Bay'!D245+Namwera!D245+Nkhudzi!D245</f>
        <v>107745694.06000094</v>
      </c>
      <c r="E245" s="15">
        <f>Mangochi!E245+'Monkey Bay'!E245+Namwera!E245+Nkhudzi!E245</f>
        <v>77601710.088002175</v>
      </c>
      <c r="F245" s="15">
        <f>Mangochi!F245+'Monkey Bay'!F245+Namwera!F245+Nkhudzi!F245</f>
        <v>0</v>
      </c>
      <c r="G245" s="15">
        <f>Mangochi!G245+'Monkey Bay'!G245+Namwera!G245+Nkhudzi!G245</f>
        <v>0</v>
      </c>
      <c r="H245" s="15">
        <f>Mangochi!H245+'Monkey Bay'!H245+Namwera!H245+Nkhudzi!H245</f>
        <v>0</v>
      </c>
      <c r="I245" s="15">
        <f>Mangochi!I245+'Monkey Bay'!I245+Namwera!I245+Nkhudzi!I245</f>
        <v>0</v>
      </c>
      <c r="J245" s="15">
        <f>Mangochi!J245+'Monkey Bay'!J245+Namwera!J245+Nkhudzi!J245</f>
        <v>0</v>
      </c>
      <c r="K245" s="15">
        <f>Mangochi!K245+'Monkey Bay'!K245+Namwera!K245+Nkhudzi!K245</f>
        <v>0</v>
      </c>
      <c r="L245" s="15">
        <f>Mangochi!L245+'Monkey Bay'!L245+Namwera!L245+Nkhudzi!L245</f>
        <v>0</v>
      </c>
      <c r="M245" s="15">
        <f>Mangochi!M245+'Monkey Bay'!M245+Namwera!M245+Nkhudzi!M245</f>
        <v>0</v>
      </c>
      <c r="N245" s="15">
        <f>Mangochi!N245+'Monkey Bay'!N245+Namwera!N245+Nkhudzi!N245</f>
        <v>0</v>
      </c>
      <c r="O245" s="15">
        <f>Mangochi!O245+'Monkey Bay'!O245+Namwera!O245+Nkhudzi!O245</f>
        <v>0</v>
      </c>
      <c r="P245" s="39">
        <f>O245</f>
        <v>0</v>
      </c>
    </row>
    <row r="246" spans="1:16" x14ac:dyDescent="0.3">
      <c r="A246" s="290" t="s">
        <v>208</v>
      </c>
      <c r="B246" s="291"/>
      <c r="C246" s="11" t="s">
        <v>18</v>
      </c>
      <c r="D246" s="15">
        <f>Mangochi!D246+'Monkey Bay'!D246+Namwera!D246+Nkhudzi!D246</f>
        <v>687602522.91999972</v>
      </c>
      <c r="E246" s="15">
        <f>Mangochi!E246+'Monkey Bay'!E246+Namwera!E246+Nkhudzi!E246</f>
        <v>701892621.89199996</v>
      </c>
      <c r="F246" s="15">
        <f>Mangochi!F246+'Monkey Bay'!F246+Namwera!F246+Nkhudzi!F246</f>
        <v>0</v>
      </c>
      <c r="G246" s="15">
        <f>Mangochi!G246+'Monkey Bay'!G246+Namwera!G246+Nkhudzi!G246</f>
        <v>0</v>
      </c>
      <c r="H246" s="15">
        <f>Mangochi!H246+'Monkey Bay'!H246+Namwera!H246+Nkhudzi!H246</f>
        <v>0</v>
      </c>
      <c r="I246" s="15">
        <f>Mangochi!I246+'Monkey Bay'!I246+Namwera!I246+Nkhudzi!I246</f>
        <v>0</v>
      </c>
      <c r="J246" s="15">
        <f>Mangochi!J246+'Monkey Bay'!J246+Namwera!J246+Nkhudzi!J246</f>
        <v>0</v>
      </c>
      <c r="K246" s="15">
        <f>Mangochi!K246+'Monkey Bay'!K246+Namwera!K246+Nkhudzi!K246</f>
        <v>0</v>
      </c>
      <c r="L246" s="15">
        <f>Mangochi!L246+'Monkey Bay'!L246+Namwera!L246+Nkhudzi!L246</f>
        <v>0</v>
      </c>
      <c r="M246" s="15">
        <f>Mangochi!M246+'Monkey Bay'!M246+Namwera!M246+Nkhudzi!M246</f>
        <v>0</v>
      </c>
      <c r="N246" s="15">
        <f>Mangochi!N246+'Monkey Bay'!N246+Namwera!N246+Nkhudzi!N246</f>
        <v>0</v>
      </c>
      <c r="O246" s="15">
        <f>Mangochi!O246+'Monkey Bay'!O246+Namwera!O246+Nkhudzi!O246</f>
        <v>0</v>
      </c>
      <c r="P246" s="39">
        <f>O246</f>
        <v>0</v>
      </c>
    </row>
    <row r="247" spans="1:16" x14ac:dyDescent="0.3">
      <c r="A247" s="292" t="s">
        <v>209</v>
      </c>
      <c r="B247" s="293"/>
      <c r="C247" s="11" t="s">
        <v>18</v>
      </c>
      <c r="D247" s="132">
        <f t="shared" ref="D247:L247" si="171">D245+D246</f>
        <v>795348216.98000062</v>
      </c>
      <c r="E247" s="132">
        <f t="shared" si="171"/>
        <v>779494331.98000216</v>
      </c>
      <c r="F247" s="132">
        <f t="shared" si="171"/>
        <v>0</v>
      </c>
      <c r="G247" s="132">
        <f t="shared" si="171"/>
        <v>0</v>
      </c>
      <c r="H247" s="132">
        <f t="shared" si="171"/>
        <v>0</v>
      </c>
      <c r="I247" s="132">
        <f t="shared" si="171"/>
        <v>0</v>
      </c>
      <c r="J247" s="132">
        <f t="shared" si="171"/>
        <v>0</v>
      </c>
      <c r="K247" s="132">
        <f t="shared" si="171"/>
        <v>0</v>
      </c>
      <c r="L247" s="132">
        <f t="shared" si="171"/>
        <v>0</v>
      </c>
      <c r="M247" s="132">
        <f t="shared" ref="M247" si="172">M245+M246</f>
        <v>0</v>
      </c>
      <c r="N247" s="132">
        <f t="shared" ref="N247" si="173">N245+N246</f>
        <v>0</v>
      </c>
      <c r="O247" s="132">
        <f t="shared" ref="O247" si="174">O245+O246</f>
        <v>0</v>
      </c>
      <c r="P247" s="150">
        <f t="shared" ref="P247" si="175">P245+P246</f>
        <v>0</v>
      </c>
    </row>
    <row r="248" spans="1:16" ht="14.4" x14ac:dyDescent="0.3">
      <c r="A248" s="257" t="s">
        <v>17</v>
      </c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9"/>
    </row>
    <row r="249" spans="1:16" x14ac:dyDescent="0.3">
      <c r="A249" s="231" t="s">
        <v>16</v>
      </c>
      <c r="B249" s="232"/>
      <c r="C249" s="5" t="s">
        <v>6</v>
      </c>
      <c r="D249" s="8">
        <f t="shared" ref="D249:L249" si="176">D58/D243</f>
        <v>0.53239159571492112</v>
      </c>
      <c r="E249" s="8">
        <f t="shared" si="176"/>
        <v>0.50426730047413815</v>
      </c>
      <c r="F249" s="8" t="e">
        <f t="shared" si="176"/>
        <v>#DIV/0!</v>
      </c>
      <c r="G249" s="8" t="e">
        <f t="shared" si="176"/>
        <v>#DIV/0!</v>
      </c>
      <c r="H249" s="8" t="e">
        <f t="shared" si="176"/>
        <v>#DIV/0!</v>
      </c>
      <c r="I249" s="8" t="e">
        <f t="shared" si="176"/>
        <v>#DIV/0!</v>
      </c>
      <c r="J249" s="8" t="e">
        <f t="shared" si="176"/>
        <v>#DIV/0!</v>
      </c>
      <c r="K249" s="8" t="e">
        <f t="shared" si="176"/>
        <v>#DIV/0!</v>
      </c>
      <c r="L249" s="8" t="e">
        <f t="shared" si="176"/>
        <v>#DIV/0!</v>
      </c>
      <c r="M249" s="8" t="e">
        <f t="shared" ref="M249" si="177">M58/M243</f>
        <v>#DIV/0!</v>
      </c>
      <c r="N249" s="8" t="e">
        <f t="shared" ref="N249" si="178">N58/N243</f>
        <v>#DIV/0!</v>
      </c>
      <c r="O249" s="8" t="e">
        <f t="shared" ref="O249" si="179">O58/O243</f>
        <v>#DIV/0!</v>
      </c>
      <c r="P249" s="106">
        <f>P58/P243</f>
        <v>0.51681381579927099</v>
      </c>
    </row>
    <row r="250" spans="1:16" x14ac:dyDescent="0.3">
      <c r="A250" s="231" t="s">
        <v>210</v>
      </c>
      <c r="B250" s="232"/>
      <c r="C250" s="5" t="s">
        <v>6</v>
      </c>
      <c r="D250" s="28">
        <f t="shared" ref="D250:L250" si="180">D210/(D223+D245)</f>
        <v>0.3284854334228588</v>
      </c>
      <c r="E250" s="28">
        <f t="shared" si="180"/>
        <v>0.66652649480695325</v>
      </c>
      <c r="F250" s="28" t="e">
        <f t="shared" si="180"/>
        <v>#DIV/0!</v>
      </c>
      <c r="G250" s="28" t="e">
        <f t="shared" si="180"/>
        <v>#DIV/0!</v>
      </c>
      <c r="H250" s="28" t="e">
        <f t="shared" si="180"/>
        <v>#DIV/0!</v>
      </c>
      <c r="I250" s="28" t="e">
        <f t="shared" si="180"/>
        <v>#DIV/0!</v>
      </c>
      <c r="J250" s="28" t="e">
        <f t="shared" si="180"/>
        <v>#DIV/0!</v>
      </c>
      <c r="K250" s="28" t="e">
        <f t="shared" si="180"/>
        <v>#DIV/0!</v>
      </c>
      <c r="L250" s="28" t="e">
        <f t="shared" si="180"/>
        <v>#DIV/0!</v>
      </c>
      <c r="M250" s="28" t="e">
        <f t="shared" ref="M250" si="181">M210/(M223+M245)</f>
        <v>#DIV/0!</v>
      </c>
      <c r="N250" s="28" t="e">
        <f t="shared" ref="N250" si="182">N210/(N223+N245)</f>
        <v>#DIV/0!</v>
      </c>
      <c r="O250" s="28" t="e">
        <f t="shared" ref="O250" si="183">O210/(O223+O245)</f>
        <v>#DIV/0!</v>
      </c>
      <c r="P250" s="103">
        <f>P210/(P223+P245)</f>
        <v>1.0171424878607045</v>
      </c>
    </row>
    <row r="251" spans="1:16" ht="16.2" thickBot="1" x14ac:dyDescent="0.35">
      <c r="A251" s="281" t="s">
        <v>15</v>
      </c>
      <c r="B251" s="282"/>
      <c r="C251" s="5" t="s">
        <v>6</v>
      </c>
      <c r="D251" s="7">
        <f t="shared" ref="D251:L251" si="184">D210/D223</f>
        <v>0.7662407945003975</v>
      </c>
      <c r="E251" s="7">
        <f t="shared" si="184"/>
        <v>1.2433803153351886</v>
      </c>
      <c r="F251" s="7" t="e">
        <f t="shared" si="184"/>
        <v>#DIV/0!</v>
      </c>
      <c r="G251" s="7" t="e">
        <f t="shared" si="184"/>
        <v>#DIV/0!</v>
      </c>
      <c r="H251" s="7" t="e">
        <f t="shared" si="184"/>
        <v>#DIV/0!</v>
      </c>
      <c r="I251" s="7" t="e">
        <f t="shared" si="184"/>
        <v>#DIV/0!</v>
      </c>
      <c r="J251" s="7" t="e">
        <f t="shared" si="184"/>
        <v>#DIV/0!</v>
      </c>
      <c r="K251" s="7" t="e">
        <f t="shared" si="184"/>
        <v>#DIV/0!</v>
      </c>
      <c r="L251" s="7" t="e">
        <f t="shared" si="184"/>
        <v>#DIV/0!</v>
      </c>
      <c r="M251" s="7" t="e">
        <f t="shared" ref="M251" si="185">M210/M223</f>
        <v>#DIV/0!</v>
      </c>
      <c r="N251" s="7" t="e">
        <f t="shared" ref="N251" si="186">N210/N223</f>
        <v>#DIV/0!</v>
      </c>
      <c r="O251" s="7" t="e">
        <f t="shared" ref="O251" si="187">O210/O223</f>
        <v>#DIV/0!</v>
      </c>
      <c r="P251" s="107">
        <f>P210/P223</f>
        <v>1.0171424878607045</v>
      </c>
    </row>
    <row r="252" spans="1:16" ht="14.4" x14ac:dyDescent="0.3">
      <c r="A252" s="283" t="s">
        <v>14</v>
      </c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4"/>
      <c r="P252" s="285"/>
    </row>
    <row r="253" spans="1:16" s="2" customFormat="1" ht="15" customHeight="1" x14ac:dyDescent="0.3">
      <c r="A253" s="231" t="s">
        <v>13</v>
      </c>
      <c r="B253" s="232"/>
      <c r="C253" s="5" t="s">
        <v>3</v>
      </c>
      <c r="D253" s="25">
        <f>Mangochi!D253+'Monkey Bay'!D253+Namwera!D253+Nkhudzi!D253</f>
        <v>1682</v>
      </c>
      <c r="E253" s="25">
        <f>Mangochi!E253+'Monkey Bay'!E253+Namwera!E253+Nkhudzi!E253</f>
        <v>5117</v>
      </c>
      <c r="F253" s="25">
        <f>Mangochi!F253+'Monkey Bay'!F253+Namwera!F253+Nkhudzi!F253</f>
        <v>0</v>
      </c>
      <c r="G253" s="25">
        <f>Mangochi!G253+'Monkey Bay'!G253+Namwera!G253+Nkhudzi!G253</f>
        <v>0</v>
      </c>
      <c r="H253" s="25">
        <f>Mangochi!H253+'Monkey Bay'!H253+Namwera!H253+Nkhudzi!H253</f>
        <v>0</v>
      </c>
      <c r="I253" s="25">
        <f>Mangochi!I253+'Monkey Bay'!I253+Namwera!I253+Nkhudzi!I253</f>
        <v>0</v>
      </c>
      <c r="J253" s="25">
        <f>Mangochi!J253+'Monkey Bay'!J253+Namwera!J253+Nkhudzi!J253</f>
        <v>0</v>
      </c>
      <c r="K253" s="25">
        <f>Mangochi!K253+'Monkey Bay'!K253+Namwera!K253+Nkhudzi!K253</f>
        <v>0</v>
      </c>
      <c r="L253" s="25">
        <f>Mangochi!L253+'Monkey Bay'!L253+Namwera!L253+Nkhudzi!L253</f>
        <v>0</v>
      </c>
      <c r="M253" s="25">
        <f>Mangochi!M253+'Monkey Bay'!M253+Namwera!M253+Nkhudzi!M253</f>
        <v>0</v>
      </c>
      <c r="N253" s="25">
        <f>Mangochi!N253+'Monkey Bay'!N253+Namwera!N253+Nkhudzi!N253</f>
        <v>0</v>
      </c>
      <c r="O253" s="25">
        <f>Mangochi!O253+'Monkey Bay'!O253+Namwera!O253+Nkhudzi!O253</f>
        <v>0</v>
      </c>
      <c r="P253" s="108">
        <f>SUM(D253:O253)</f>
        <v>6799</v>
      </c>
    </row>
    <row r="254" spans="1:16" s="2" customFormat="1" x14ac:dyDescent="0.3">
      <c r="A254" s="231" t="s">
        <v>12</v>
      </c>
      <c r="B254" s="232"/>
      <c r="C254" s="5" t="s">
        <v>3</v>
      </c>
      <c r="D254" s="25">
        <f>Mangochi!D254+'Monkey Bay'!D254+Namwera!D254+Nkhudzi!D254</f>
        <v>4</v>
      </c>
      <c r="E254" s="25">
        <f>Mangochi!E254+'Monkey Bay'!E254+Namwera!E254+Nkhudzi!E254</f>
        <v>4</v>
      </c>
      <c r="F254" s="25">
        <f>Mangochi!F254+'Monkey Bay'!F254+Namwera!F254+Nkhudzi!F254</f>
        <v>0</v>
      </c>
      <c r="G254" s="25">
        <f>Mangochi!G254+'Monkey Bay'!G254+Namwera!G254+Nkhudzi!G254</f>
        <v>0</v>
      </c>
      <c r="H254" s="25">
        <f>Mangochi!H254+'Monkey Bay'!H254+Namwera!H254+Nkhudzi!H254</f>
        <v>0</v>
      </c>
      <c r="I254" s="25">
        <f>Mangochi!I254+'Monkey Bay'!I254+Namwera!I254+Nkhudzi!I254</f>
        <v>0</v>
      </c>
      <c r="J254" s="25">
        <f>Mangochi!J254+'Monkey Bay'!J254+Namwera!J254+Nkhudzi!J254</f>
        <v>0</v>
      </c>
      <c r="K254" s="25">
        <f>Mangochi!K254+'Monkey Bay'!K254+Namwera!K254+Nkhudzi!K254</f>
        <v>0</v>
      </c>
      <c r="L254" s="25">
        <f>Mangochi!L254+'Monkey Bay'!L254+Namwera!L254+Nkhudzi!L254</f>
        <v>0</v>
      </c>
      <c r="M254" s="25">
        <f>Mangochi!M254+'Monkey Bay'!M254+Namwera!M254+Nkhudzi!M254</f>
        <v>0</v>
      </c>
      <c r="N254" s="25">
        <f>Mangochi!N254+'Monkey Bay'!N254+Namwera!N254+Nkhudzi!N254</f>
        <v>0</v>
      </c>
      <c r="O254" s="25">
        <f>Mangochi!O254+'Monkey Bay'!O254+Namwera!O254+Nkhudzi!O254</f>
        <v>0</v>
      </c>
      <c r="P254" s="108">
        <f>SUM(D254:O254)</f>
        <v>8</v>
      </c>
    </row>
    <row r="255" spans="1:16" ht="15.75" customHeight="1" x14ac:dyDescent="0.3">
      <c r="A255" s="231" t="s">
        <v>11</v>
      </c>
      <c r="B255" s="232"/>
      <c r="C255" s="5" t="s">
        <v>3</v>
      </c>
      <c r="D255" s="4">
        <f t="shared" ref="D255:L255" si="188">D95</f>
        <v>5106</v>
      </c>
      <c r="E255" s="4">
        <f t="shared" si="188"/>
        <v>5117</v>
      </c>
      <c r="F255" s="4">
        <f t="shared" si="188"/>
        <v>0</v>
      </c>
      <c r="G255" s="4">
        <f t="shared" si="188"/>
        <v>0</v>
      </c>
      <c r="H255" s="4">
        <f t="shared" si="188"/>
        <v>0</v>
      </c>
      <c r="I255" s="4">
        <f t="shared" si="188"/>
        <v>0</v>
      </c>
      <c r="J255" s="4">
        <f t="shared" si="188"/>
        <v>0</v>
      </c>
      <c r="K255" s="4">
        <f t="shared" si="188"/>
        <v>0</v>
      </c>
      <c r="L255" s="4">
        <f t="shared" si="188"/>
        <v>0</v>
      </c>
      <c r="M255" s="4">
        <f t="shared" ref="M255" si="189">M95</f>
        <v>0</v>
      </c>
      <c r="N255" s="4">
        <f t="shared" ref="N255" si="190">N95</f>
        <v>0</v>
      </c>
      <c r="O255" s="4">
        <f t="shared" ref="O255" si="191">O95</f>
        <v>0</v>
      </c>
      <c r="P255" s="108">
        <f>SUM(D255:O255)</f>
        <v>10223</v>
      </c>
    </row>
    <row r="256" spans="1:16" x14ac:dyDescent="0.3">
      <c r="A256" s="231" t="s">
        <v>10</v>
      </c>
      <c r="B256" s="232"/>
      <c r="C256" s="5" t="s">
        <v>3</v>
      </c>
      <c r="D256" s="4">
        <f t="shared" ref="D256:L256" si="192">D91</f>
        <v>185</v>
      </c>
      <c r="E256" s="4">
        <f t="shared" si="192"/>
        <v>202</v>
      </c>
      <c r="F256" s="4">
        <f t="shared" si="192"/>
        <v>0</v>
      </c>
      <c r="G256" s="4">
        <f t="shared" si="192"/>
        <v>0</v>
      </c>
      <c r="H256" s="4">
        <f t="shared" si="192"/>
        <v>0</v>
      </c>
      <c r="I256" s="4">
        <f t="shared" si="192"/>
        <v>0</v>
      </c>
      <c r="J256" s="4">
        <f t="shared" si="192"/>
        <v>0</v>
      </c>
      <c r="K256" s="4">
        <f t="shared" si="192"/>
        <v>0</v>
      </c>
      <c r="L256" s="4">
        <f t="shared" si="192"/>
        <v>0</v>
      </c>
      <c r="M256" s="4">
        <f t="shared" ref="M256" si="193">M91</f>
        <v>0</v>
      </c>
      <c r="N256" s="4">
        <f t="shared" ref="N256" si="194">N91</f>
        <v>0</v>
      </c>
      <c r="O256" s="4">
        <f t="shared" ref="O256" si="195">O91</f>
        <v>0</v>
      </c>
      <c r="P256" s="108">
        <f>SUM(D256:O256)</f>
        <v>387</v>
      </c>
    </row>
    <row r="257" spans="1:16" ht="15.6" customHeight="1" x14ac:dyDescent="0.3">
      <c r="A257" s="231" t="s">
        <v>9</v>
      </c>
      <c r="B257" s="232"/>
      <c r="C257" s="5" t="s">
        <v>3</v>
      </c>
      <c r="D257" s="25">
        <f>Mangochi!D257+'Monkey Bay'!D257+Namwera!D257+Nkhudzi!D257</f>
        <v>13005</v>
      </c>
      <c r="E257" s="25">
        <f>Mangochi!E257+'Monkey Bay'!E257+Namwera!E257+Nkhudzi!E257</f>
        <v>30366</v>
      </c>
      <c r="F257" s="25">
        <f>Mangochi!F257+'Monkey Bay'!F257+Namwera!F257+Nkhudzi!F257</f>
        <v>0</v>
      </c>
      <c r="G257" s="25">
        <f>Mangochi!G257+'Monkey Bay'!G257+Namwera!G257+Nkhudzi!G257</f>
        <v>0</v>
      </c>
      <c r="H257" s="25">
        <f>Mangochi!H257+'Monkey Bay'!H257+Namwera!H257+Nkhudzi!H257</f>
        <v>0</v>
      </c>
      <c r="I257" s="25">
        <f>Mangochi!I257+'Monkey Bay'!I257+Namwera!I257+Nkhudzi!I257</f>
        <v>0</v>
      </c>
      <c r="J257" s="25">
        <f>Mangochi!J257+'Monkey Bay'!J257+Namwera!J257+Nkhudzi!J257</f>
        <v>0</v>
      </c>
      <c r="K257" s="25">
        <f>Mangochi!K257+'Monkey Bay'!K257+Namwera!K257+Nkhudzi!K257</f>
        <v>0</v>
      </c>
      <c r="L257" s="25">
        <f>Mangochi!L257+'Monkey Bay'!L257+Namwera!L257+Nkhudzi!L257</f>
        <v>0</v>
      </c>
      <c r="M257" s="25">
        <f>Mangochi!M257+'Monkey Bay'!M257+Namwera!M257+Nkhudzi!M257</f>
        <v>0</v>
      </c>
      <c r="N257" s="25">
        <f>Mangochi!N257+'Monkey Bay'!N257+Namwera!N257+Nkhudzi!N257</f>
        <v>0</v>
      </c>
      <c r="O257" s="25">
        <f>Mangochi!O257+'Monkey Bay'!O257+Namwera!O257+Nkhudzi!O257</f>
        <v>0</v>
      </c>
      <c r="P257" s="108">
        <f>SUM(D257:O257)</f>
        <v>43371</v>
      </c>
    </row>
    <row r="258" spans="1:16" x14ac:dyDescent="0.3">
      <c r="A258" s="270" t="s">
        <v>8</v>
      </c>
      <c r="B258" s="271"/>
      <c r="C258" s="5" t="s">
        <v>3</v>
      </c>
      <c r="D258" s="1">
        <f>Mangochi!D258+'Monkey Bay'!D258+Namwera!D258+Nkhudzi!D258</f>
        <v>115.05928093645485</v>
      </c>
      <c r="E258" s="1">
        <f>Mangochi!E258+'Monkey Bay'!E258+Namwera!E258+Nkhudzi!E258</f>
        <v>225.89632107023411</v>
      </c>
      <c r="F258" s="1" t="e">
        <f>Mangochi!F258+'Monkey Bay'!F258+Namwera!F258+Nkhudzi!F258</f>
        <v>#DIV/0!</v>
      </c>
      <c r="G258" s="1" t="e">
        <f>Mangochi!G258+'Monkey Bay'!G258+Namwera!G258+Nkhudzi!G258</f>
        <v>#DIV/0!</v>
      </c>
      <c r="H258" s="1" t="e">
        <f>Mangochi!H258+'Monkey Bay'!H258+Namwera!H258+Nkhudzi!H258</f>
        <v>#DIV/0!</v>
      </c>
      <c r="I258" s="3" t="e">
        <f>Mangochi!I258+'Monkey Bay'!I258+Namwera!I258+Nkhudzi!I258</f>
        <v>#DIV/0!</v>
      </c>
      <c r="J258" s="3" t="e">
        <f>Mangochi!J258+'Monkey Bay'!J258+Namwera!J258+Nkhudzi!J258</f>
        <v>#DIV/0!</v>
      </c>
      <c r="K258" s="3" t="e">
        <f>Mangochi!K258+'Monkey Bay'!K258+Namwera!K258+Nkhudzi!K258</f>
        <v>#DIV/0!</v>
      </c>
      <c r="L258" s="3" t="e">
        <f>Mangochi!L258+'Monkey Bay'!L258+Namwera!L258+Nkhudzi!L258</f>
        <v>#DIV/0!</v>
      </c>
      <c r="M258" s="3" t="e">
        <f>Mangochi!M258+'Monkey Bay'!M258+Namwera!M258+Nkhudzi!M258</f>
        <v>#DIV/0!</v>
      </c>
      <c r="N258" s="3" t="e">
        <f>Mangochi!N258+'Monkey Bay'!N258+Namwera!N258+Nkhudzi!N258</f>
        <v>#DIV/0!</v>
      </c>
      <c r="O258" s="3" t="e">
        <f>Mangochi!O258+'Monkey Bay'!O258+Namwera!O258+Nkhudzi!O258</f>
        <v>#DIV/0!</v>
      </c>
      <c r="P258" s="108">
        <f t="shared" ref="P258" si="196">P257/P256</f>
        <v>112.06976744186046</v>
      </c>
    </row>
    <row r="259" spans="1:16" x14ac:dyDescent="0.3">
      <c r="A259" s="270" t="s">
        <v>7</v>
      </c>
      <c r="B259" s="271"/>
      <c r="C259" s="5" t="s">
        <v>6</v>
      </c>
      <c r="D259" s="1">
        <f t="shared" ref="D259:P259" si="197">D92/D255*100</f>
        <v>0</v>
      </c>
      <c r="E259" s="1">
        <f t="shared" ref="E259:L259" si="198">E92/E255*100</f>
        <v>0</v>
      </c>
      <c r="F259" s="1" t="e">
        <f t="shared" si="198"/>
        <v>#DIV/0!</v>
      </c>
      <c r="G259" s="1" t="e">
        <f t="shared" si="198"/>
        <v>#DIV/0!</v>
      </c>
      <c r="H259" s="147" t="e">
        <f t="shared" si="198"/>
        <v>#DIV/0!</v>
      </c>
      <c r="I259" s="530" t="e">
        <f t="shared" si="198"/>
        <v>#DIV/0!</v>
      </c>
      <c r="J259" s="6" t="e">
        <f t="shared" si="198"/>
        <v>#DIV/0!</v>
      </c>
      <c r="K259" s="6" t="e">
        <f t="shared" si="198"/>
        <v>#DIV/0!</v>
      </c>
      <c r="L259" s="147" t="e">
        <f t="shared" si="198"/>
        <v>#DIV/0!</v>
      </c>
      <c r="M259" s="6" t="e">
        <f t="shared" ref="M259" si="199">M92/M255*100</f>
        <v>#DIV/0!</v>
      </c>
      <c r="N259" s="6" t="e">
        <f t="shared" ref="N259" si="200">N92/N255*100</f>
        <v>#DIV/0!</v>
      </c>
      <c r="O259" s="6" t="e">
        <f t="shared" ref="O259" si="201">O92/O255*100</f>
        <v>#DIV/0!</v>
      </c>
      <c r="P259" s="109">
        <f t="shared" si="197"/>
        <v>0</v>
      </c>
    </row>
    <row r="260" spans="1:16" ht="14.4" x14ac:dyDescent="0.3">
      <c r="A260" s="257" t="s">
        <v>5</v>
      </c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9"/>
    </row>
    <row r="261" spans="1:16" s="2" customFormat="1" ht="15" customHeight="1" x14ac:dyDescent="0.3">
      <c r="A261" s="231" t="s">
        <v>4</v>
      </c>
      <c r="B261" s="232"/>
      <c r="C261" s="5" t="s">
        <v>3</v>
      </c>
      <c r="D261" s="25">
        <f>Mangochi!D261+'Monkey Bay'!D261+Namwera!D261+Nkhudzi!D261</f>
        <v>133</v>
      </c>
      <c r="E261" s="25">
        <f>Mangochi!E261+'Monkey Bay'!E261+Namwera!E261+Nkhudzi!E261</f>
        <v>148</v>
      </c>
      <c r="F261" s="25">
        <f>Mangochi!F261+'Monkey Bay'!F261+Namwera!F261+Nkhudzi!F261</f>
        <v>0</v>
      </c>
      <c r="G261" s="25">
        <f>Mangochi!G261+'Monkey Bay'!G261+Namwera!G261+Nkhudzi!G261</f>
        <v>0</v>
      </c>
      <c r="H261" s="25">
        <f>Mangochi!H261+'Monkey Bay'!H261+Namwera!H261+Nkhudzi!H261</f>
        <v>0</v>
      </c>
      <c r="I261" s="25">
        <f>Mangochi!I261+'Monkey Bay'!I261+Namwera!I261+Nkhudzi!I261</f>
        <v>0</v>
      </c>
      <c r="J261" s="25">
        <f>Mangochi!J261+'Monkey Bay'!J261+Namwera!J261+Nkhudzi!J261</f>
        <v>0</v>
      </c>
      <c r="K261" s="25">
        <f>Mangochi!K261+'Monkey Bay'!K261+Namwera!K261+Nkhudzi!K261</f>
        <v>0</v>
      </c>
      <c r="L261" s="25">
        <f>Mangochi!L261+'Monkey Bay'!L261+Namwera!L261+Nkhudzi!L261</f>
        <v>0</v>
      </c>
      <c r="M261" s="25">
        <f>Mangochi!M261+'Monkey Bay'!M261+Namwera!M261+Nkhudzi!M261</f>
        <v>0</v>
      </c>
      <c r="N261" s="25">
        <f>Mangochi!N261+'Monkey Bay'!N261+Namwera!N261+Nkhudzi!N261</f>
        <v>0</v>
      </c>
      <c r="O261" s="25">
        <f>Mangochi!O261+'Monkey Bay'!O261+Namwera!O261+Nkhudzi!O261</f>
        <v>0</v>
      </c>
      <c r="P261" s="39">
        <f>SUM(D261:O261)</f>
        <v>281</v>
      </c>
    </row>
    <row r="262" spans="1:16" s="2" customFormat="1" ht="15.75" customHeight="1" x14ac:dyDescent="0.3">
      <c r="A262" s="231" t="s">
        <v>2</v>
      </c>
      <c r="B262" s="232"/>
      <c r="C262" s="5" t="s">
        <v>0</v>
      </c>
      <c r="D262" s="25">
        <f>Mangochi!D262+'Monkey Bay'!D262+Namwera!D262+Nkhudzi!D262</f>
        <v>94</v>
      </c>
      <c r="E262" s="25">
        <f>Mangochi!E262+'Monkey Bay'!E262+Namwera!E262+Nkhudzi!E262</f>
        <v>20</v>
      </c>
      <c r="F262" s="25">
        <f>Mangochi!F262+'Monkey Bay'!F262+Namwera!F262+Nkhudzi!F262</f>
        <v>0</v>
      </c>
      <c r="G262" s="25">
        <f>Mangochi!G262+'Monkey Bay'!G262+Namwera!G262+Nkhudzi!G262</f>
        <v>0</v>
      </c>
      <c r="H262" s="25">
        <f>Mangochi!H262+'Monkey Bay'!H262+Namwera!H262+Nkhudzi!H262</f>
        <v>0</v>
      </c>
      <c r="I262" s="25">
        <f>Mangochi!I262+'Monkey Bay'!I262+Namwera!I262+Nkhudzi!I262</f>
        <v>0</v>
      </c>
      <c r="J262" s="25">
        <f>Mangochi!J262+'Monkey Bay'!J262+Namwera!J262+Nkhudzi!J262</f>
        <v>0</v>
      </c>
      <c r="K262" s="25">
        <f>Mangochi!K262+'Monkey Bay'!K262+Namwera!K262+Nkhudzi!K262</f>
        <v>0</v>
      </c>
      <c r="L262" s="25">
        <f>Mangochi!L262+'Monkey Bay'!L262+Namwera!L262+Nkhudzi!L262</f>
        <v>0</v>
      </c>
      <c r="M262" s="25">
        <f>Mangochi!M262+'Monkey Bay'!M262+Namwera!M262+Nkhudzi!M262</f>
        <v>0</v>
      </c>
      <c r="N262" s="25">
        <f>Mangochi!N262+'Monkey Bay'!N262+Namwera!N262+Nkhudzi!N262</f>
        <v>0</v>
      </c>
      <c r="O262" s="25">
        <f>Mangochi!O262+'Monkey Bay'!O262+Namwera!O262+Nkhudzi!O262</f>
        <v>0</v>
      </c>
      <c r="P262" s="39">
        <f>SUM(D262:O262)</f>
        <v>114</v>
      </c>
    </row>
    <row r="263" spans="1:16" ht="16.2" thickBot="1" x14ac:dyDescent="0.35">
      <c r="A263" s="275" t="s">
        <v>1</v>
      </c>
      <c r="B263" s="276"/>
      <c r="C263" s="110" t="s">
        <v>0</v>
      </c>
      <c r="D263" s="111">
        <f t="shared" ref="D263:L263" si="202">D261/D262</f>
        <v>1.4148936170212767</v>
      </c>
      <c r="E263" s="111">
        <f t="shared" si="202"/>
        <v>7.4</v>
      </c>
      <c r="F263" s="111" t="e">
        <f t="shared" si="202"/>
        <v>#DIV/0!</v>
      </c>
      <c r="G263" s="111" t="e">
        <f t="shared" si="202"/>
        <v>#DIV/0!</v>
      </c>
      <c r="H263" s="111" t="e">
        <f t="shared" si="202"/>
        <v>#DIV/0!</v>
      </c>
      <c r="I263" s="111" t="e">
        <f t="shared" si="202"/>
        <v>#DIV/0!</v>
      </c>
      <c r="J263" s="111" t="e">
        <f t="shared" si="202"/>
        <v>#DIV/0!</v>
      </c>
      <c r="K263" s="111" t="e">
        <f t="shared" si="202"/>
        <v>#DIV/0!</v>
      </c>
      <c r="L263" s="111" t="e">
        <f t="shared" si="202"/>
        <v>#DIV/0!</v>
      </c>
      <c r="M263" s="111" t="e">
        <f t="shared" ref="M263" si="203">M261/M262</f>
        <v>#DIV/0!</v>
      </c>
      <c r="N263" s="111" t="e">
        <f t="shared" ref="N263" si="204">N261/N262</f>
        <v>#DIV/0!</v>
      </c>
      <c r="O263" s="111" t="e">
        <f t="shared" ref="O263" si="205">O261/O262</f>
        <v>#DIV/0!</v>
      </c>
      <c r="P263" s="187">
        <f t="shared" ref="P263" si="206">P261/P262</f>
        <v>2.4649122807017543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  <ignoredErrors>
    <ignoredError sqref="J12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5" width="19.88671875" bestFit="1" customWidth="1"/>
    <col min="6" max="7" width="19.109375" customWidth="1"/>
    <col min="8" max="8" width="20.109375" style="50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489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490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491"/>
    </row>
    <row r="5" spans="1:17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492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493"/>
    </row>
    <row r="7" spans="1:17" ht="16.2" thickBot="1" x14ac:dyDescent="0.35">
      <c r="A7" s="216" t="s">
        <v>176</v>
      </c>
      <c r="B7" s="217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6.2" thickBot="1" x14ac:dyDescent="0.35">
      <c r="A8" s="277" t="s">
        <v>161</v>
      </c>
      <c r="B8" s="278"/>
      <c r="C8" s="278"/>
      <c r="D8" s="278"/>
      <c r="E8" s="278"/>
      <c r="F8" s="278"/>
      <c r="G8" s="278"/>
      <c r="H8" s="494"/>
    </row>
    <row r="9" spans="1:17" x14ac:dyDescent="0.3">
      <c r="A9" s="220" t="s">
        <v>178</v>
      </c>
      <c r="B9" s="221"/>
      <c r="C9" s="57" t="s">
        <v>154</v>
      </c>
      <c r="D9" s="56">
        <f>Mangochi!D9+Mangochi!E9+Mangochi!F9</f>
        <v>305608</v>
      </c>
      <c r="E9" s="56">
        <f>'Monkey Bay'!D9+'Monkey Bay'!E9+'Monkey Bay'!F9</f>
        <v>116050</v>
      </c>
      <c r="F9" s="56">
        <f>Namwera!D9+Namwera!E9+Namwera!F9</f>
        <v>8386</v>
      </c>
      <c r="G9" s="56">
        <f>Nkhudzi!D9+Nkhudzi!E9+Nkhudzi!F9</f>
        <v>73551</v>
      </c>
      <c r="H9" s="142">
        <f>SUM(D9:G9)</f>
        <v>503595</v>
      </c>
    </row>
    <row r="10" spans="1:17" ht="16.2" thickBot="1" x14ac:dyDescent="0.35">
      <c r="A10" s="257" t="s">
        <v>179</v>
      </c>
      <c r="B10" s="258"/>
      <c r="C10" s="258"/>
      <c r="D10" s="280"/>
      <c r="E10" s="280"/>
      <c r="F10" s="280"/>
      <c r="G10" s="280"/>
      <c r="H10" s="495"/>
    </row>
    <row r="11" spans="1:17" x14ac:dyDescent="0.3">
      <c r="A11" s="218" t="s">
        <v>159</v>
      </c>
      <c r="B11" s="219"/>
      <c r="C11" s="11" t="s">
        <v>154</v>
      </c>
      <c r="D11" s="25">
        <f>Mangochi!D11+Mangochi!E11+Mangochi!F11</f>
        <v>113884</v>
      </c>
      <c r="E11" s="25">
        <f>'Monkey Bay'!D11+'Monkey Bay'!E11+'Monkey Bay'!F11</f>
        <v>35792</v>
      </c>
      <c r="F11" s="25">
        <f>Namwera!D11+Namwera!E11+Namwera!F11</f>
        <v>21</v>
      </c>
      <c r="G11" s="171">
        <f>Nkhudzi!D11+Nkhudzi!E11+Nkhudzi!F11</f>
        <v>227</v>
      </c>
      <c r="H11" s="54">
        <f t="shared" ref="H11:H15" si="0">SUM(D11:G11)</f>
        <v>149924</v>
      </c>
    </row>
    <row r="12" spans="1:17" x14ac:dyDescent="0.3">
      <c r="A12" s="218" t="s">
        <v>158</v>
      </c>
      <c r="B12" s="219"/>
      <c r="C12" s="11" t="s">
        <v>154</v>
      </c>
      <c r="D12" s="25">
        <f>Mangochi!D12+Mangochi!E12+Mangochi!F12</f>
        <v>0</v>
      </c>
      <c r="E12" s="25">
        <f>'Monkey Bay'!D12+'Monkey Bay'!E12+'Monkey Bay'!F12</f>
        <v>0</v>
      </c>
      <c r="F12" s="25">
        <f>Namwera!D12+Namwera!E12+Namwera!F12</f>
        <v>0</v>
      </c>
      <c r="G12" s="25">
        <f>Nkhudzi!D12+Nkhudzi!E12+Nkhudzi!F12</f>
        <v>0</v>
      </c>
      <c r="H12" s="54">
        <f t="shared" si="0"/>
        <v>0</v>
      </c>
    </row>
    <row r="13" spans="1:17" x14ac:dyDescent="0.3">
      <c r="A13" s="218" t="s">
        <v>157</v>
      </c>
      <c r="B13" s="219"/>
      <c r="C13" s="11" t="s">
        <v>154</v>
      </c>
      <c r="D13" s="25">
        <f>Mangochi!D13+Mangochi!E13+Mangochi!F13</f>
        <v>304</v>
      </c>
      <c r="E13" s="25">
        <f>'Monkey Bay'!D13+'Monkey Bay'!E13+'Monkey Bay'!F13</f>
        <v>8915</v>
      </c>
      <c r="F13" s="25">
        <f>Namwera!D13+Namwera!E13+Namwera!F13</f>
        <v>7</v>
      </c>
      <c r="G13" s="25">
        <f>Nkhudzi!D13+Nkhudzi!E13+Nkhudzi!F13</f>
        <v>403</v>
      </c>
      <c r="H13" s="54">
        <f t="shared" si="0"/>
        <v>9629</v>
      </c>
    </row>
    <row r="14" spans="1:17" x14ac:dyDescent="0.3">
      <c r="A14" s="212" t="s">
        <v>156</v>
      </c>
      <c r="B14" s="213"/>
      <c r="C14" s="11" t="s">
        <v>154</v>
      </c>
      <c r="D14" s="25">
        <f>Mangochi!D14+Mangochi!E14+Mangochi!F14</f>
        <v>143</v>
      </c>
      <c r="E14" s="25">
        <f>'Monkey Bay'!D14+'Monkey Bay'!E14+'Monkey Bay'!F14</f>
        <v>0</v>
      </c>
      <c r="F14" s="25">
        <f>Namwera!D14+Namwera!E14+Namwera!F14</f>
        <v>0</v>
      </c>
      <c r="G14" s="25">
        <f>Nkhudzi!D14+Nkhudzi!E14+Nkhudzi!F14</f>
        <v>2</v>
      </c>
      <c r="H14" s="54">
        <f t="shared" si="0"/>
        <v>145</v>
      </c>
    </row>
    <row r="15" spans="1:17" s="62" customFormat="1" x14ac:dyDescent="0.3">
      <c r="A15" s="214" t="s">
        <v>160</v>
      </c>
      <c r="B15" s="215"/>
      <c r="C15" s="61" t="s">
        <v>154</v>
      </c>
      <c r="D15" s="33">
        <f t="shared" ref="D15:F15" si="1">SUM(D11:D14)</f>
        <v>114331</v>
      </c>
      <c r="E15" s="33">
        <f t="shared" si="1"/>
        <v>44707</v>
      </c>
      <c r="F15" s="33">
        <f t="shared" si="1"/>
        <v>28</v>
      </c>
      <c r="G15" s="33">
        <f t="shared" ref="G15" si="2">SUM(G11:G14)</f>
        <v>632</v>
      </c>
      <c r="H15" s="54">
        <f t="shared" si="0"/>
        <v>159698</v>
      </c>
    </row>
    <row r="16" spans="1:17" s="2" customFormat="1" ht="16.2" thickBot="1" x14ac:dyDescent="0.35">
      <c r="A16" s="257" t="s">
        <v>180</v>
      </c>
      <c r="B16" s="258"/>
      <c r="C16" s="258"/>
      <c r="D16" s="258"/>
      <c r="E16" s="258"/>
      <c r="F16" s="258"/>
      <c r="G16" s="258"/>
      <c r="H16" s="495"/>
    </row>
    <row r="17" spans="1:8" s="2" customFormat="1" x14ac:dyDescent="0.3">
      <c r="A17" s="218" t="s">
        <v>182</v>
      </c>
      <c r="B17" s="219"/>
      <c r="C17" s="11" t="s">
        <v>154</v>
      </c>
      <c r="D17" s="25">
        <f>Mangochi!D17+Mangochi!E17+Mangochi!F17</f>
        <v>54757.599999999999</v>
      </c>
      <c r="E17" s="25">
        <f>'Monkey Bay'!D17+'Monkey Bay'!E17+'Monkey Bay'!F17</f>
        <v>18175.100000000013</v>
      </c>
      <c r="F17" s="25">
        <f>Namwera!D17+Namwera!E17+Namwera!F17</f>
        <v>6849.7999999999993</v>
      </c>
      <c r="G17" s="171">
        <f>Nkhudzi!D17+Nkhudzi!E17+Nkhudzi!F17</f>
        <v>48893.799999999916</v>
      </c>
      <c r="H17" s="54">
        <f t="shared" ref="H17:H22" si="3">SUM(D17:G17)</f>
        <v>128676.29999999993</v>
      </c>
    </row>
    <row r="18" spans="1:8" s="2" customFormat="1" x14ac:dyDescent="0.3">
      <c r="A18" s="218" t="s">
        <v>183</v>
      </c>
      <c r="B18" s="219"/>
      <c r="C18" s="11" t="s">
        <v>154</v>
      </c>
      <c r="D18" s="25">
        <f>Mangochi!D18+Mangochi!E18+Mangochi!F18</f>
        <v>9208.5</v>
      </c>
      <c r="E18" s="25">
        <f>'Monkey Bay'!D18+'Monkey Bay'!E18+'Monkey Bay'!F18</f>
        <v>2244.6000000000004</v>
      </c>
      <c r="F18" s="25">
        <f>Namwera!D18+Namwera!E18+Namwera!F18</f>
        <v>0</v>
      </c>
      <c r="G18" s="25">
        <f>Nkhudzi!D18+Nkhudzi!E18+Nkhudzi!F18</f>
        <v>1359.6000000000001</v>
      </c>
      <c r="H18" s="54">
        <f t="shared" si="3"/>
        <v>12812.7</v>
      </c>
    </row>
    <row r="19" spans="1:8" s="2" customFormat="1" x14ac:dyDescent="0.3">
      <c r="A19" s="218" t="s">
        <v>184</v>
      </c>
      <c r="B19" s="219"/>
      <c r="C19" s="11" t="s">
        <v>154</v>
      </c>
      <c r="D19" s="25">
        <f>Mangochi!D19+Mangochi!E19+Mangochi!F19</f>
        <v>10854.9</v>
      </c>
      <c r="E19" s="25">
        <f>'Monkey Bay'!D19+'Monkey Bay'!E19+'Monkey Bay'!F19</f>
        <v>4598.5</v>
      </c>
      <c r="F19" s="25">
        <f>Namwera!D19+Namwera!E19+Namwera!F19</f>
        <v>753.90000000000009</v>
      </c>
      <c r="G19" s="25">
        <f>Nkhudzi!D19+Nkhudzi!E19+Nkhudzi!F19</f>
        <v>967.59999999999991</v>
      </c>
      <c r="H19" s="54">
        <f t="shared" si="3"/>
        <v>17174.899999999998</v>
      </c>
    </row>
    <row r="20" spans="1:8" s="2" customFormat="1" x14ac:dyDescent="0.3">
      <c r="A20" s="212" t="s">
        <v>185</v>
      </c>
      <c r="B20" s="213"/>
      <c r="C20" s="11" t="s">
        <v>154</v>
      </c>
      <c r="D20" s="25">
        <f>Mangochi!D20+Mangochi!E20+Mangochi!F20</f>
        <v>4331.5999999999958</v>
      </c>
      <c r="E20" s="25">
        <f>'Monkey Bay'!D20+'Monkey Bay'!E20+'Monkey Bay'!F20</f>
        <v>1167.8000000000002</v>
      </c>
      <c r="F20" s="25">
        <f>Namwera!D20+Namwera!E20+Namwera!F20</f>
        <v>27.799999999999997</v>
      </c>
      <c r="G20" s="25">
        <f>Nkhudzi!D20+Nkhudzi!E20+Nkhudzi!F20</f>
        <v>2284.9999999999995</v>
      </c>
      <c r="H20" s="54">
        <f t="shared" si="3"/>
        <v>7812.1999999999953</v>
      </c>
    </row>
    <row r="21" spans="1:8" s="70" customFormat="1" x14ac:dyDescent="0.3">
      <c r="A21" s="214" t="s">
        <v>186</v>
      </c>
      <c r="B21" s="215"/>
      <c r="C21" s="61" t="s">
        <v>154</v>
      </c>
      <c r="D21" s="33">
        <f>SUM(D17:D20)</f>
        <v>79152.599999999991</v>
      </c>
      <c r="E21" s="33">
        <f t="shared" ref="E21:G21" si="4">SUM(E17:E20)</f>
        <v>26186.000000000011</v>
      </c>
      <c r="F21" s="33">
        <f t="shared" si="4"/>
        <v>7631.4999999999991</v>
      </c>
      <c r="G21" s="33">
        <f t="shared" si="4"/>
        <v>53505.999999999913</v>
      </c>
      <c r="H21" s="54">
        <f t="shared" si="3"/>
        <v>166476.09999999992</v>
      </c>
    </row>
    <row r="22" spans="1:8" s="2" customFormat="1" x14ac:dyDescent="0.3">
      <c r="A22" s="211" t="s">
        <v>187</v>
      </c>
      <c r="B22" s="199"/>
      <c r="C22" s="11" t="s">
        <v>154</v>
      </c>
      <c r="D22" s="33">
        <f>D21+D15</f>
        <v>193483.59999999998</v>
      </c>
      <c r="E22" s="33">
        <f t="shared" ref="E22:G22" si="5">E21+E15</f>
        <v>70893.000000000015</v>
      </c>
      <c r="F22" s="33">
        <f t="shared" si="5"/>
        <v>7659.4999999999991</v>
      </c>
      <c r="G22" s="33">
        <f t="shared" si="5"/>
        <v>54137.999999999913</v>
      </c>
      <c r="H22" s="54">
        <f t="shared" si="3"/>
        <v>326174.09999999986</v>
      </c>
    </row>
    <row r="23" spans="1:8" x14ac:dyDescent="0.3">
      <c r="A23" s="257" t="s">
        <v>217</v>
      </c>
      <c r="B23" s="258"/>
      <c r="C23" s="258"/>
      <c r="D23" s="258"/>
      <c r="E23" s="258"/>
      <c r="F23" s="258"/>
      <c r="G23" s="258"/>
      <c r="H23" s="495"/>
    </row>
    <row r="24" spans="1:8" x14ac:dyDescent="0.3">
      <c r="A24" s="204" t="s">
        <v>181</v>
      </c>
      <c r="B24" s="36" t="s">
        <v>155</v>
      </c>
      <c r="C24" s="5" t="s">
        <v>154</v>
      </c>
      <c r="D24" s="53">
        <f>D9-D22</f>
        <v>112124.40000000002</v>
      </c>
      <c r="E24" s="53">
        <f t="shared" ref="E24:H24" si="6">E9-E22</f>
        <v>45156.999999999985</v>
      </c>
      <c r="F24" s="53">
        <f t="shared" si="6"/>
        <v>726.50000000000091</v>
      </c>
      <c r="G24" s="53">
        <f t="shared" si="6"/>
        <v>19413.000000000087</v>
      </c>
      <c r="H24" s="149">
        <f t="shared" si="6"/>
        <v>177420.90000000014</v>
      </c>
    </row>
    <row r="25" spans="1:8" x14ac:dyDescent="0.3">
      <c r="A25" s="206"/>
      <c r="B25" s="52" t="s">
        <v>153</v>
      </c>
      <c r="C25" s="51" t="s">
        <v>6</v>
      </c>
      <c r="D25" s="50">
        <f t="shared" ref="D25:H25" si="7">D24/D9</f>
        <v>0.36688961021962785</v>
      </c>
      <c r="E25" s="50">
        <f t="shared" si="7"/>
        <v>0.38911676001723383</v>
      </c>
      <c r="F25" s="50">
        <f t="shared" si="7"/>
        <v>8.6632482709277481E-2</v>
      </c>
      <c r="G25" s="50">
        <f t="shared" si="7"/>
        <v>0.26393930741934285</v>
      </c>
      <c r="H25" s="143">
        <f t="shared" si="7"/>
        <v>0.3523087004438093</v>
      </c>
    </row>
    <row r="26" spans="1:8" x14ac:dyDescent="0.3">
      <c r="A26" s="257" t="s">
        <v>152</v>
      </c>
      <c r="B26" s="258"/>
      <c r="C26" s="258"/>
      <c r="D26" s="258"/>
      <c r="E26" s="258"/>
      <c r="F26" s="258"/>
      <c r="G26" s="258"/>
      <c r="H26" s="495"/>
    </row>
    <row r="27" spans="1:8" x14ac:dyDescent="0.3">
      <c r="A27" s="202" t="s">
        <v>151</v>
      </c>
      <c r="B27" s="203"/>
      <c r="C27" s="203"/>
      <c r="D27" s="203"/>
      <c r="E27" s="203"/>
      <c r="F27" s="203"/>
      <c r="G27" s="302"/>
      <c r="H27" s="496"/>
    </row>
    <row r="28" spans="1:8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x14ac:dyDescent="0.3">
      <c r="A29" s="226" t="s">
        <v>148</v>
      </c>
      <c r="B29" s="224">
        <v>3525.29</v>
      </c>
      <c r="C29" s="5" t="s">
        <v>142</v>
      </c>
      <c r="D29" s="25">
        <f>Mangochi!D29+Mangochi!E29+Mangochi!F29</f>
        <v>1035.3900000000001</v>
      </c>
      <c r="E29" s="25">
        <f>'Monkey Bay'!D29+'Monkey Bay'!E29+'Monkey Bay'!F29</f>
        <v>230</v>
      </c>
      <c r="F29" s="25">
        <f>Namwera!D29+Namwera!E29+Namwera!F29</f>
        <v>8.5</v>
      </c>
      <c r="G29" s="4">
        <f>Nkhudzi!D29+Nkhudzi!E29+Nkhudzi!F29</f>
        <v>139.11000000000001</v>
      </c>
      <c r="H29" s="44">
        <f>SUM(D29:G29)</f>
        <v>1413</v>
      </c>
    </row>
    <row r="30" spans="1:8" x14ac:dyDescent="0.3">
      <c r="A30" s="227"/>
      <c r="B30" s="225"/>
      <c r="C30" s="41" t="s">
        <v>141</v>
      </c>
      <c r="D30" s="15">
        <f t="shared" ref="D30:H30" si="8">D29/(D9/1000)</f>
        <v>3.3879675924714014</v>
      </c>
      <c r="E30" s="15">
        <f t="shared" si="8"/>
        <v>1.981904351572598</v>
      </c>
      <c r="F30" s="15">
        <f t="shared" si="8"/>
        <v>1.013594085380396</v>
      </c>
      <c r="G30" s="15">
        <f t="shared" si="8"/>
        <v>1.8913407023697844</v>
      </c>
      <c r="H30" s="97">
        <f t="shared" si="8"/>
        <v>2.8058261102671787</v>
      </c>
    </row>
    <row r="31" spans="1:8" x14ac:dyDescent="0.3">
      <c r="A31" s="222" t="s">
        <v>147</v>
      </c>
      <c r="B31" s="224">
        <v>1060.0102199999999</v>
      </c>
      <c r="C31" s="5" t="s">
        <v>142</v>
      </c>
      <c r="D31" s="25">
        <f>Mangochi!D31+Mangochi!E31+Mangochi!F31</f>
        <v>0</v>
      </c>
      <c r="E31" s="25">
        <f>'Monkey Bay'!D31+'Monkey Bay'!E31+'Monkey Bay'!F31</f>
        <v>0</v>
      </c>
      <c r="F31" s="25">
        <f>Namwera!D31+Namwera!E31+Namwera!F31</f>
        <v>0</v>
      </c>
      <c r="G31" s="4">
        <f>Nkhudzi!D31+Nkhudzi!E31+Nkhudzi!F31</f>
        <v>0</v>
      </c>
      <c r="H31" s="44">
        <f>SUM(D31:G31)</f>
        <v>0</v>
      </c>
    </row>
    <row r="32" spans="1:8" x14ac:dyDescent="0.3">
      <c r="A32" s="223"/>
      <c r="B32" s="225"/>
      <c r="C32" s="41" t="s">
        <v>141</v>
      </c>
      <c r="D32" s="15">
        <f t="shared" ref="D32:F32" si="9">D31/(D9/1000)</f>
        <v>0</v>
      </c>
      <c r="E32" s="15">
        <f t="shared" si="9"/>
        <v>0</v>
      </c>
      <c r="F32" s="15">
        <f t="shared" si="9"/>
        <v>0</v>
      </c>
      <c r="G32" s="15" t="e">
        <f>Nkhudzi!D32+Nkhudzi!E32+Nkhudzi!F32</f>
        <v>#DIV/0!</v>
      </c>
      <c r="H32" s="97">
        <f t="shared" ref="H32" si="10">H31/(H9/1000)</f>
        <v>0</v>
      </c>
    </row>
    <row r="33" spans="1:8" x14ac:dyDescent="0.3">
      <c r="A33" s="222" t="s">
        <v>146</v>
      </c>
      <c r="B33" s="224">
        <v>1228.2886000000001</v>
      </c>
      <c r="C33" s="5" t="s">
        <v>142</v>
      </c>
      <c r="D33" s="25">
        <f>Mangochi!D33+Mangochi!E33+Mangochi!F33</f>
        <v>0</v>
      </c>
      <c r="E33" s="25">
        <f>'Monkey Bay'!D33+'Monkey Bay'!E33+'Monkey Bay'!F33</f>
        <v>0</v>
      </c>
      <c r="F33" s="25">
        <f>Namwera!D33+Namwera!E33+Namwera!F33</f>
        <v>0</v>
      </c>
      <c r="G33" s="4">
        <f>Nkhudzi!D33+Nkhudzi!E33+Nkhudzi!F33</f>
        <v>0</v>
      </c>
      <c r="H33" s="44">
        <f>SUM(D33:F33)</f>
        <v>0</v>
      </c>
    </row>
    <row r="34" spans="1:8" x14ac:dyDescent="0.3">
      <c r="A34" s="223"/>
      <c r="B34" s="225"/>
      <c r="C34" s="41" t="s">
        <v>141</v>
      </c>
      <c r="D34" s="15">
        <f t="shared" ref="D34:F38" si="11">D33/(D9/1000)</f>
        <v>0</v>
      </c>
      <c r="E34" s="15">
        <f t="shared" si="11"/>
        <v>0</v>
      </c>
      <c r="F34" s="15">
        <f t="shared" si="11"/>
        <v>0</v>
      </c>
      <c r="G34" s="15" t="e">
        <f>Nkhudzi!D34+Nkhudzi!E34+Nkhudzi!F34</f>
        <v>#DIV/0!</v>
      </c>
      <c r="H34" s="97">
        <f t="shared" ref="H34" si="12">H33/(H9/1000)</f>
        <v>0</v>
      </c>
    </row>
    <row r="35" spans="1:8" x14ac:dyDescent="0.3">
      <c r="A35" s="222" t="s">
        <v>145</v>
      </c>
      <c r="B35" s="224">
        <v>3726.7258000000002</v>
      </c>
      <c r="C35" s="5" t="s">
        <v>128</v>
      </c>
      <c r="D35" s="25">
        <f>Mangochi!D35+Mangochi!E35+Mangochi!F35</f>
        <v>0</v>
      </c>
      <c r="E35" s="25">
        <f>'Monkey Bay'!D35+'Monkey Bay'!E35+'Monkey Bay'!F35</f>
        <v>0</v>
      </c>
      <c r="F35" s="25">
        <f>Namwera!D35+Namwera!E35+Namwera!F35</f>
        <v>0</v>
      </c>
      <c r="G35" s="4">
        <f>Nkhudzi!D35+Nkhudzi!E35+Nkhudzi!F35</f>
        <v>0</v>
      </c>
      <c r="H35" s="44"/>
    </row>
    <row r="36" spans="1:8" x14ac:dyDescent="0.3">
      <c r="A36" s="223"/>
      <c r="B36" s="225"/>
      <c r="C36" s="5" t="s">
        <v>144</v>
      </c>
      <c r="D36" s="15">
        <f t="shared" si="11"/>
        <v>0</v>
      </c>
      <c r="E36" s="15">
        <f t="shared" si="11"/>
        <v>0</v>
      </c>
      <c r="F36" s="15">
        <f t="shared" si="11"/>
        <v>0</v>
      </c>
      <c r="G36" s="15">
        <f>Nkhudzi!D36+Nkhudzi!E36+Nkhudzi!F36</f>
        <v>0</v>
      </c>
      <c r="H36" s="39"/>
    </row>
    <row r="37" spans="1:8" x14ac:dyDescent="0.3">
      <c r="A37" s="222" t="s">
        <v>188</v>
      </c>
      <c r="B37" s="224">
        <v>3951.5935999999997</v>
      </c>
      <c r="C37" s="5" t="s">
        <v>128</v>
      </c>
      <c r="D37" s="25">
        <f>Mangochi!D37+Mangochi!E37+Mangochi!F37</f>
        <v>0</v>
      </c>
      <c r="E37" s="25">
        <f>'Monkey Bay'!D37+'Monkey Bay'!E37+'Monkey Bay'!F37</f>
        <v>0</v>
      </c>
      <c r="F37" s="25">
        <f>Namwera!D37+Namwera!E37+Namwera!F37</f>
        <v>0</v>
      </c>
      <c r="G37" s="4">
        <f>Nkhudzi!D37+Nkhudzi!E37+Nkhudzi!F37</f>
        <v>0</v>
      </c>
      <c r="H37" s="44">
        <f>SUM(D37:F37)</f>
        <v>0</v>
      </c>
    </row>
    <row r="38" spans="1:8" x14ac:dyDescent="0.3">
      <c r="A38" s="223"/>
      <c r="B38" s="225"/>
      <c r="C38" s="5" t="s">
        <v>144</v>
      </c>
      <c r="D38" s="15">
        <f t="shared" si="11"/>
        <v>0</v>
      </c>
      <c r="E38" s="15">
        <f t="shared" si="11"/>
        <v>0</v>
      </c>
      <c r="F38" s="15">
        <f t="shared" si="11"/>
        <v>0</v>
      </c>
      <c r="G38" s="15" t="e">
        <f>Nkhudzi!D38+Nkhudzi!E38+Nkhudzi!F38</f>
        <v>#DIV/0!</v>
      </c>
      <c r="H38" s="97">
        <f t="shared" ref="H38" si="13">H37/(H9/1000)</f>
        <v>0</v>
      </c>
    </row>
    <row r="39" spans="1:8" x14ac:dyDescent="0.3">
      <c r="A39" s="222" t="s">
        <v>143</v>
      </c>
      <c r="B39" s="224">
        <v>1950</v>
      </c>
      <c r="C39" s="5" t="s">
        <v>142</v>
      </c>
      <c r="D39" s="25">
        <f>Mangochi!D39+Mangochi!E39+Mangochi!F39</f>
        <v>0</v>
      </c>
      <c r="E39" s="25">
        <f>'Monkey Bay'!D39+'Monkey Bay'!E39+'Monkey Bay'!F39</f>
        <v>0</v>
      </c>
      <c r="F39" s="25">
        <f>Namwera!D39+Namwera!E39+Namwera!F39</f>
        <v>0</v>
      </c>
      <c r="G39" s="4">
        <f>Nkhudzi!D39+Nkhudzi!E39+Nkhudzi!F39</f>
        <v>0</v>
      </c>
      <c r="H39" s="44">
        <f>SUM(D39:F39)</f>
        <v>0</v>
      </c>
    </row>
    <row r="40" spans="1:8" x14ac:dyDescent="0.3">
      <c r="A40" s="223"/>
      <c r="B40" s="225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 t="e">
        <f>Nkhudzi!D40+Nkhudzi!E40+Nkhudzi!F40</f>
        <v>#DIV/0!</v>
      </c>
      <c r="H40" s="97">
        <f t="shared" ref="H40" si="15">H39/(H9/1000)</f>
        <v>0</v>
      </c>
    </row>
    <row r="41" spans="1:8" x14ac:dyDescent="0.3">
      <c r="A41" s="212" t="s">
        <v>140</v>
      </c>
      <c r="B41" s="213"/>
      <c r="C41" s="11" t="s">
        <v>31</v>
      </c>
      <c r="D41" s="40">
        <f>(D29*$B29)+(D31*$B31)+(D33*$B33)+(D35*$B35)+(D37*$B37)+(D39*$B39)</f>
        <v>3650050.0131000001</v>
      </c>
      <c r="E41" s="40">
        <f t="shared" ref="E41:G41" si="16">(E29*$B29)+(E31*$B31)+(E33*$B33)+(E35*$B35)+(E37*$B37)+(E39*$B39)</f>
        <v>810816.7</v>
      </c>
      <c r="F41" s="40">
        <f t="shared" si="16"/>
        <v>29964.965</v>
      </c>
      <c r="G41" s="40">
        <f t="shared" si="16"/>
        <v>490403.09190000006</v>
      </c>
      <c r="H41" s="38">
        <f>SUM(D41:G41)</f>
        <v>4981234.7700000005</v>
      </c>
    </row>
    <row r="42" spans="1:8" x14ac:dyDescent="0.3">
      <c r="A42" s="233" t="s">
        <v>139</v>
      </c>
      <c r="B42" s="234"/>
      <c r="C42" s="41" t="s">
        <v>117</v>
      </c>
      <c r="D42" s="15">
        <f t="shared" ref="D42:H42" si="17">D41/D9</f>
        <v>11.943568274063507</v>
      </c>
      <c r="E42" s="15">
        <f t="shared" si="17"/>
        <v>6.9867875915553634</v>
      </c>
      <c r="F42" s="15">
        <f t="shared" si="17"/>
        <v>3.5732130932506561</v>
      </c>
      <c r="G42" s="15">
        <f t="shared" si="17"/>
        <v>6.6675244646571779</v>
      </c>
      <c r="H42" s="43">
        <f t="shared" si="17"/>
        <v>9.8913507282637845</v>
      </c>
    </row>
    <row r="43" spans="1:8" x14ac:dyDescent="0.3">
      <c r="A43" s="228" t="s">
        <v>138</v>
      </c>
      <c r="B43" s="229"/>
      <c r="C43" s="229"/>
      <c r="D43" s="229"/>
      <c r="E43" s="229"/>
      <c r="F43" s="229"/>
      <c r="G43" s="229"/>
      <c r="H43" s="497"/>
    </row>
    <row r="44" spans="1:8" x14ac:dyDescent="0.3">
      <c r="A44" s="212" t="s">
        <v>137</v>
      </c>
      <c r="B44" s="213"/>
      <c r="C44" s="11" t="s">
        <v>136</v>
      </c>
      <c r="D44" s="25">
        <f>Mangochi!D44+Mangochi!E44+Mangochi!F44</f>
        <v>56848.160000000003</v>
      </c>
      <c r="E44" s="25">
        <f>'Monkey Bay'!D44+'Monkey Bay'!E44+'Monkey Bay'!F44</f>
        <v>50914</v>
      </c>
      <c r="F44" s="25">
        <f>Namwera!D44+Namwera!E44+Namwera!F44</f>
        <v>8410</v>
      </c>
      <c r="G44" s="4">
        <f>Nkhudzi!D44+Nkhudzi!E44+Nkhudzi!F44</f>
        <v>189524</v>
      </c>
      <c r="H44" s="38">
        <f>SUM(D44:G44)</f>
        <v>305696.16000000003</v>
      </c>
    </row>
    <row r="45" spans="1:8" x14ac:dyDescent="0.3">
      <c r="A45" s="233" t="s">
        <v>135</v>
      </c>
      <c r="B45" s="234"/>
      <c r="C45" s="41" t="s">
        <v>134</v>
      </c>
      <c r="D45" s="15">
        <f t="shared" ref="D45:H45" si="18">D44/D9</f>
        <v>0.18601659642417739</v>
      </c>
      <c r="E45" s="15">
        <f t="shared" si="18"/>
        <v>0.43872468763464023</v>
      </c>
      <c r="F45" s="15">
        <f t="shared" si="18"/>
        <v>1.0028619127116623</v>
      </c>
      <c r="G45" s="15">
        <f t="shared" si="18"/>
        <v>2.5767698603689957</v>
      </c>
      <c r="H45" s="97">
        <f t="shared" si="18"/>
        <v>0.60702779018854447</v>
      </c>
    </row>
    <row r="46" spans="1:8" x14ac:dyDescent="0.3">
      <c r="A46" s="231" t="s">
        <v>133</v>
      </c>
      <c r="B46" s="232"/>
      <c r="C46" s="5" t="s">
        <v>31</v>
      </c>
      <c r="D46" s="25">
        <f>Mangochi!D46+Mangochi!E46+Mangochi!F46</f>
        <v>9561750.2684000023</v>
      </c>
      <c r="E46" s="25">
        <f>'Monkey Bay'!D46+'Monkey Bay'!E46+'Monkey Bay'!F46</f>
        <v>8569692.2349999994</v>
      </c>
      <c r="F46" s="25">
        <f>Namwera!D46+Namwera!E46+Namwera!F46</f>
        <v>1463979.7750000001</v>
      </c>
      <c r="G46" s="4">
        <f>Nkhudzi!D46+Nkhudzi!E46+Nkhudzi!F46</f>
        <v>31742165.509999998</v>
      </c>
      <c r="H46" s="38">
        <f>SUM(D46:G46)</f>
        <v>51337587.788399994</v>
      </c>
    </row>
    <row r="47" spans="1:8" s="2" customFormat="1" x14ac:dyDescent="0.3">
      <c r="A47" s="212" t="s">
        <v>132</v>
      </c>
      <c r="B47" s="213"/>
      <c r="C47" s="11" t="s">
        <v>117</v>
      </c>
      <c r="D47" s="15">
        <f t="shared" ref="D47:H47" si="19">D46/D9</f>
        <v>31.287630783225577</v>
      </c>
      <c r="E47" s="15">
        <f t="shared" si="19"/>
        <v>73.844827531236533</v>
      </c>
      <c r="F47" s="15">
        <f t="shared" si="19"/>
        <v>174.57426365370858</v>
      </c>
      <c r="G47" s="15">
        <f t="shared" si="19"/>
        <v>431.56674294027272</v>
      </c>
      <c r="H47" s="97">
        <f t="shared" si="19"/>
        <v>101.94221107914096</v>
      </c>
    </row>
    <row r="48" spans="1:8" ht="16.2" thickBot="1" x14ac:dyDescent="0.35">
      <c r="A48" s="228" t="s">
        <v>131</v>
      </c>
      <c r="B48" s="229"/>
      <c r="C48" s="229"/>
      <c r="D48" s="229"/>
      <c r="E48" s="229"/>
      <c r="F48" s="229"/>
      <c r="G48" s="229"/>
      <c r="H48" s="497"/>
    </row>
    <row r="49" spans="1:8" x14ac:dyDescent="0.3">
      <c r="A49" s="212" t="s">
        <v>130</v>
      </c>
      <c r="B49" s="213"/>
      <c r="C49" s="5" t="s">
        <v>129</v>
      </c>
      <c r="D49" s="25">
        <f>Mangochi!D49+Mangochi!E49+Mangochi!F49</f>
        <v>4429</v>
      </c>
      <c r="E49" s="25">
        <f>'Monkey Bay'!D49+'Monkey Bay'!E49+'Monkey Bay'!F49</f>
        <v>0</v>
      </c>
      <c r="F49" s="25">
        <f>Namwera!D49+Namwera!E49+Namwera!F49</f>
        <v>0</v>
      </c>
      <c r="G49" s="171">
        <f>Nkhudzi!D49+Nkhudzi!E49+Nkhudzi!F49</f>
        <v>0</v>
      </c>
      <c r="H49" s="38">
        <f t="shared" ref="H49:H52" si="20">SUM(D49:G49)</f>
        <v>4429</v>
      </c>
    </row>
    <row r="50" spans="1:8" x14ac:dyDescent="0.3">
      <c r="A50" s="212" t="s">
        <v>189</v>
      </c>
      <c r="B50" s="213"/>
      <c r="C50" s="5" t="s">
        <v>128</v>
      </c>
      <c r="D50" s="25">
        <f>Mangochi!D50+Mangochi!E50+Mangochi!F50</f>
        <v>544.79999999999995</v>
      </c>
      <c r="E50" s="25">
        <f>'Monkey Bay'!D50+'Monkey Bay'!E50+'Monkey Bay'!F50</f>
        <v>0</v>
      </c>
      <c r="F50" s="25">
        <f>Namwera!D50+Namwera!E50+Namwera!F50</f>
        <v>0</v>
      </c>
      <c r="G50" s="25">
        <f>Nkhudzi!D50+Nkhudzi!E50+Nkhudzi!F50</f>
        <v>0</v>
      </c>
      <c r="H50" s="38">
        <f t="shared" si="20"/>
        <v>544.79999999999995</v>
      </c>
    </row>
    <row r="51" spans="1:8" x14ac:dyDescent="0.3">
      <c r="A51" s="231" t="s">
        <v>127</v>
      </c>
      <c r="B51" s="232"/>
      <c r="C51" s="5" t="s">
        <v>31</v>
      </c>
      <c r="D51" s="25">
        <f>Mangochi!D51+Mangochi!E51+Mangochi!F51</f>
        <v>3630827.6</v>
      </c>
      <c r="E51" s="25">
        <f>'Monkey Bay'!D51+'Monkey Bay'!E51+'Monkey Bay'!F51</f>
        <v>0</v>
      </c>
      <c r="F51" s="25">
        <f>Namwera!D51+Namwera!E51+Namwera!F51</f>
        <v>0</v>
      </c>
      <c r="G51" s="25">
        <f>Nkhudzi!D51+Nkhudzi!E51+Nkhudzi!F51</f>
        <v>0</v>
      </c>
      <c r="H51" s="39">
        <f t="shared" si="20"/>
        <v>3630827.6</v>
      </c>
    </row>
    <row r="52" spans="1:8" x14ac:dyDescent="0.3">
      <c r="A52" s="212" t="s">
        <v>126</v>
      </c>
      <c r="B52" s="213"/>
      <c r="C52" s="5" t="s">
        <v>31</v>
      </c>
      <c r="D52" s="25">
        <f>Mangochi!D52+Mangochi!E52+Mangochi!F52</f>
        <v>0</v>
      </c>
      <c r="E52" s="25">
        <f>'Monkey Bay'!D52+'Monkey Bay'!E52+'Monkey Bay'!F52</f>
        <v>0</v>
      </c>
      <c r="F52" s="25">
        <f>Namwera!D52+Namwera!E52+Namwera!F52</f>
        <v>0</v>
      </c>
      <c r="G52" s="25">
        <f>Nkhudzi!D52+Nkhudzi!E52+Nkhudzi!F52</f>
        <v>0</v>
      </c>
      <c r="H52" s="39">
        <f t="shared" si="20"/>
        <v>0</v>
      </c>
    </row>
    <row r="53" spans="1:8" ht="16.2" thickBot="1" x14ac:dyDescent="0.35">
      <c r="A53" s="228" t="s">
        <v>125</v>
      </c>
      <c r="B53" s="229"/>
      <c r="C53" s="229"/>
      <c r="D53" s="229"/>
      <c r="E53" s="229"/>
      <c r="F53" s="229"/>
      <c r="G53" s="229"/>
      <c r="H53" s="497"/>
    </row>
    <row r="54" spans="1:8" x14ac:dyDescent="0.3">
      <c r="A54" s="212" t="s">
        <v>124</v>
      </c>
      <c r="B54" s="213"/>
      <c r="C54" s="11" t="s">
        <v>18</v>
      </c>
      <c r="D54" s="25">
        <f>Mangochi!D54+Mangochi!E54+Mangochi!F54</f>
        <v>65632218.710000008</v>
      </c>
      <c r="E54" s="25">
        <f>'Monkey Bay'!D54+'Monkey Bay'!E54+'Monkey Bay'!F54</f>
        <v>8219217.9299999997</v>
      </c>
      <c r="F54" s="25">
        <f>Namwera!D54+Namwera!E54+Namwera!F54</f>
        <v>8496202.5799999982</v>
      </c>
      <c r="G54" s="174">
        <f>Nkhudzi!D54+Nkhudzi!E54+Nkhudzi!F54</f>
        <v>18178963.100000001</v>
      </c>
      <c r="H54" s="38">
        <f t="shared" ref="H54:H56" si="21">SUM(D54:G54)</f>
        <v>100526602.32000002</v>
      </c>
    </row>
    <row r="55" spans="1:8" x14ac:dyDescent="0.3">
      <c r="A55" s="198" t="s">
        <v>123</v>
      </c>
      <c r="B55" s="199"/>
      <c r="C55" s="11" t="s">
        <v>18</v>
      </c>
      <c r="D55" s="25">
        <f>Mangochi!D55+Mangochi!E55+Mangochi!F55</f>
        <v>9331735.4124999996</v>
      </c>
      <c r="E55" s="25">
        <f>'Monkey Bay'!D55+'Monkey Bay'!E55+'Monkey Bay'!F55</f>
        <v>3219061.7774999999</v>
      </c>
      <c r="F55" s="25">
        <f>Namwera!D55+Namwera!E55+Namwera!F55</f>
        <v>1853959.0899999999</v>
      </c>
      <c r="G55" s="25">
        <f>Nkhudzi!D55+Nkhudzi!E55+Nkhudzi!F55</f>
        <v>11666524.439999999</v>
      </c>
      <c r="H55" s="38">
        <f t="shared" si="21"/>
        <v>26071280.719999999</v>
      </c>
    </row>
    <row r="56" spans="1:8" x14ac:dyDescent="0.3">
      <c r="A56" s="212" t="s">
        <v>122</v>
      </c>
      <c r="B56" s="213"/>
      <c r="C56" s="5" t="s">
        <v>18</v>
      </c>
      <c r="D56" s="25">
        <f>Mangochi!D56+Mangochi!E56+Mangochi!F56</f>
        <v>7312980</v>
      </c>
      <c r="E56" s="25">
        <f>'Monkey Bay'!D56+'Monkey Bay'!E56+'Monkey Bay'!F56</f>
        <v>2008340</v>
      </c>
      <c r="F56" s="25">
        <f>Namwera!D56+Namwera!E56+Namwera!F56</f>
        <v>484410</v>
      </c>
      <c r="G56" s="4">
        <f>Nkhudzi!D56+Nkhudzi!E56+Nkhudzi!F56</f>
        <v>2511940</v>
      </c>
      <c r="H56" s="38">
        <f t="shared" si="21"/>
        <v>12317670</v>
      </c>
    </row>
    <row r="57" spans="1:8" x14ac:dyDescent="0.3">
      <c r="A57" s="228" t="s">
        <v>121</v>
      </c>
      <c r="B57" s="229"/>
      <c r="C57" s="229"/>
      <c r="D57" s="229"/>
      <c r="E57" s="229"/>
      <c r="F57" s="229"/>
      <c r="G57" s="229"/>
      <c r="H57" s="497"/>
    </row>
    <row r="58" spans="1:8" x14ac:dyDescent="0.3">
      <c r="A58" s="231" t="s">
        <v>120</v>
      </c>
      <c r="B58" s="232"/>
      <c r="C58" s="5" t="s">
        <v>18</v>
      </c>
      <c r="D58" s="13">
        <f>D41+D46+D51+D52+D54+D55+D56</f>
        <v>99119562.004000008</v>
      </c>
      <c r="E58" s="13">
        <f t="shared" ref="E58:G58" si="22">E41+E46+E51+E52+E54+E55+E56</f>
        <v>22827128.642499998</v>
      </c>
      <c r="F58" s="13">
        <f t="shared" si="22"/>
        <v>12328516.409999998</v>
      </c>
      <c r="G58" s="13">
        <f t="shared" si="22"/>
        <v>64589996.141899996</v>
      </c>
      <c r="H58" s="63">
        <f>SUM(D58:G58)</f>
        <v>198865203.19840002</v>
      </c>
    </row>
    <row r="59" spans="1:8" x14ac:dyDescent="0.3">
      <c r="A59" s="231" t="s">
        <v>119</v>
      </c>
      <c r="B59" s="232"/>
      <c r="C59" s="5" t="s">
        <v>117</v>
      </c>
      <c r="D59" s="15">
        <f t="shared" ref="D59:H59" si="23">D58/D9</f>
        <v>324.33562604382087</v>
      </c>
      <c r="E59" s="15">
        <f t="shared" si="23"/>
        <v>196.70080691512277</v>
      </c>
      <c r="F59" s="15">
        <f t="shared" si="23"/>
        <v>1470.1307429048411</v>
      </c>
      <c r="G59" s="15">
        <f t="shared" si="23"/>
        <v>878.16611795760764</v>
      </c>
      <c r="H59" s="97">
        <f t="shared" si="23"/>
        <v>394.89113910662343</v>
      </c>
    </row>
    <row r="60" spans="1:8" x14ac:dyDescent="0.3">
      <c r="A60" s="231" t="s">
        <v>118</v>
      </c>
      <c r="B60" s="232"/>
      <c r="C60" s="5" t="s">
        <v>117</v>
      </c>
      <c r="D60" s="15">
        <f>D58/D22</f>
        <v>512.28921729800368</v>
      </c>
      <c r="E60" s="15">
        <f t="shared" ref="E60:G60" si="24">E58/E22</f>
        <v>321.99411285317302</v>
      </c>
      <c r="F60" s="15">
        <f t="shared" si="24"/>
        <v>1609.5719576995887</v>
      </c>
      <c r="G60" s="15">
        <f t="shared" si="24"/>
        <v>1193.0621031789151</v>
      </c>
      <c r="H60" s="98">
        <f>H58/H22</f>
        <v>609.69035615764744</v>
      </c>
    </row>
    <row r="61" spans="1:8" x14ac:dyDescent="0.3">
      <c r="A61" s="212" t="s">
        <v>116</v>
      </c>
      <c r="B61" s="213"/>
      <c r="C61" s="5" t="s">
        <v>3</v>
      </c>
      <c r="D61" s="25">
        <f>Mangochi!F61</f>
        <v>0</v>
      </c>
      <c r="E61" s="25">
        <f>'Monkey Bay'!F61</f>
        <v>0</v>
      </c>
      <c r="F61" s="25">
        <f>Namwera!F61</f>
        <v>0</v>
      </c>
      <c r="G61" s="4">
        <f>Nkhudzi!F61</f>
        <v>0</v>
      </c>
      <c r="H61" s="38">
        <f>SUM(D61:G61)</f>
        <v>0</v>
      </c>
    </row>
    <row r="62" spans="1:8" ht="15.6" customHeight="1" x14ac:dyDescent="0.3">
      <c r="A62" s="231" t="s">
        <v>115</v>
      </c>
      <c r="B62" s="232"/>
      <c r="C62" s="5" t="s">
        <v>114</v>
      </c>
      <c r="D62" s="15">
        <f t="shared" ref="D62:H62" si="25">(D61*1000*31)/D9</f>
        <v>0</v>
      </c>
      <c r="E62" s="15">
        <f t="shared" si="25"/>
        <v>0</v>
      </c>
      <c r="F62" s="15">
        <f t="shared" si="25"/>
        <v>0</v>
      </c>
      <c r="G62" s="15">
        <f t="shared" si="25"/>
        <v>0</v>
      </c>
      <c r="H62" s="97">
        <f t="shared" si="25"/>
        <v>0</v>
      </c>
    </row>
    <row r="63" spans="1:8" x14ac:dyDescent="0.3">
      <c r="A63" s="235" t="s">
        <v>113</v>
      </c>
      <c r="B63" s="236"/>
      <c r="C63" s="37" t="s">
        <v>3</v>
      </c>
      <c r="D63" s="25">
        <f>Mangochi!F63</f>
        <v>0</v>
      </c>
      <c r="E63" s="25">
        <f>'Monkey Bay'!F63</f>
        <v>0</v>
      </c>
      <c r="F63" s="25">
        <f>Namwera!F63</f>
        <v>0</v>
      </c>
      <c r="G63" s="4">
        <f>Nkhudzi!F63</f>
        <v>0</v>
      </c>
      <c r="H63" s="38">
        <f>SUM(D63:G63)</f>
        <v>0</v>
      </c>
    </row>
    <row r="64" spans="1:8" x14ac:dyDescent="0.3">
      <c r="A64" s="237"/>
      <c r="B64" s="238"/>
      <c r="C64" s="238"/>
      <c r="D64" s="238"/>
      <c r="E64" s="238"/>
      <c r="F64" s="238"/>
      <c r="G64" s="238"/>
      <c r="H64" s="498"/>
    </row>
    <row r="65" spans="1:8" ht="14.4" customHeight="1" x14ac:dyDescent="0.3">
      <c r="A65" s="228" t="s">
        <v>112</v>
      </c>
      <c r="B65" s="229"/>
      <c r="C65" s="229"/>
      <c r="D65" s="229"/>
      <c r="E65" s="229"/>
      <c r="F65" s="229"/>
      <c r="G65" s="229"/>
      <c r="H65" s="497"/>
    </row>
    <row r="66" spans="1:8" x14ac:dyDescent="0.3">
      <c r="A66" s="204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Namwera!D66</f>
        <v>76</v>
      </c>
      <c r="G66" s="25">
        <f>Nkhudzi!D66</f>
        <v>2934</v>
      </c>
      <c r="H66" s="135">
        <f t="shared" ref="H66:H70" si="26">SUM(D66:G66)</f>
        <v>5065</v>
      </c>
    </row>
    <row r="67" spans="1:8" x14ac:dyDescent="0.3">
      <c r="A67" s="205"/>
      <c r="B67" s="23" t="s">
        <v>106</v>
      </c>
      <c r="C67" s="5" t="s">
        <v>3</v>
      </c>
      <c r="D67" s="25">
        <f>Mangochi!D67+Mangochi!E67+Mangochi!F67</f>
        <v>253</v>
      </c>
      <c r="E67" s="25">
        <f>'Monkey Bay'!D67+'Monkey Bay'!E67+'Monkey Bay'!F67</f>
        <v>57</v>
      </c>
      <c r="F67" s="25">
        <f>Namwera!D67+Namwera!E67+Namwera!F67</f>
        <v>17</v>
      </c>
      <c r="G67" s="25">
        <f>Nkhudzi!D67+Nkhudzi!E67+Nkhudzi!F67</f>
        <v>60</v>
      </c>
      <c r="H67" s="135">
        <f t="shared" si="26"/>
        <v>387</v>
      </c>
    </row>
    <row r="68" spans="1:8" ht="27" x14ac:dyDescent="0.3">
      <c r="A68" s="205"/>
      <c r="B68" s="23" t="s">
        <v>105</v>
      </c>
      <c r="C68" s="5" t="s">
        <v>3</v>
      </c>
      <c r="D68" s="25">
        <f>Mangochi!D68+Mangochi!E68+Mangochi!F68</f>
        <v>0</v>
      </c>
      <c r="E68" s="25">
        <f>'Monkey Bay'!D68+'Monkey Bay'!E68+'Monkey Bay'!F68</f>
        <v>0</v>
      </c>
      <c r="F68" s="25">
        <f>Namwera!D68+Namwera!E68+Namwera!F68</f>
        <v>0</v>
      </c>
      <c r="G68" s="25">
        <f>Nkhudzi!D68+Nkhudzi!E68+Nkhudzi!F68</f>
        <v>0</v>
      </c>
      <c r="H68" s="135">
        <f t="shared" si="26"/>
        <v>0</v>
      </c>
    </row>
    <row r="69" spans="1:8" s="2" customFormat="1" ht="27" x14ac:dyDescent="0.3">
      <c r="A69" s="205"/>
      <c r="B69" s="23" t="s">
        <v>104</v>
      </c>
      <c r="C69" s="11" t="s">
        <v>3</v>
      </c>
      <c r="D69" s="25">
        <f>Mangochi!D69+Mangochi!E69+Mangochi!F69</f>
        <v>184</v>
      </c>
      <c r="E69" s="25">
        <f>'Monkey Bay'!D69+'Monkey Bay'!E69+'Monkey Bay'!F69</f>
        <v>107</v>
      </c>
      <c r="F69" s="25">
        <f>Namwera!D69+Namwera!E69+Namwera!F69</f>
        <v>9</v>
      </c>
      <c r="G69" s="25">
        <f>Nkhudzi!D69+Nkhudzi!E69+Nkhudzi!F69</f>
        <v>86</v>
      </c>
      <c r="H69" s="136">
        <f t="shared" si="26"/>
        <v>386</v>
      </c>
    </row>
    <row r="70" spans="1:8" s="2" customFormat="1" x14ac:dyDescent="0.3">
      <c r="A70" s="205"/>
      <c r="B70" s="23" t="s">
        <v>190</v>
      </c>
      <c r="C70" s="11" t="s">
        <v>3</v>
      </c>
      <c r="D70" s="4">
        <f>D68+D69</f>
        <v>184</v>
      </c>
      <c r="E70" s="4">
        <f t="shared" ref="E70:F70" si="27">E68+E69</f>
        <v>107</v>
      </c>
      <c r="F70" s="4">
        <f t="shared" si="27"/>
        <v>9</v>
      </c>
      <c r="G70" s="25">
        <f>Nkhudzi!D70+Nkhudzi!E70+Nkhudzi!F70</f>
        <v>86</v>
      </c>
      <c r="H70" s="137">
        <f t="shared" si="26"/>
        <v>386</v>
      </c>
    </row>
    <row r="71" spans="1:8" x14ac:dyDescent="0.3">
      <c r="A71" s="206"/>
      <c r="B71" s="36" t="s">
        <v>81</v>
      </c>
      <c r="C71" s="5" t="s">
        <v>3</v>
      </c>
      <c r="D71" s="25">
        <f>D66+D67-D70</f>
        <v>2047</v>
      </c>
      <c r="E71" s="25">
        <f t="shared" ref="E71:G71" si="28">E66+E67-E70</f>
        <v>27</v>
      </c>
      <c r="F71" s="25">
        <f t="shared" si="28"/>
        <v>84</v>
      </c>
      <c r="G71" s="25">
        <f t="shared" si="28"/>
        <v>2908</v>
      </c>
      <c r="H71" s="138">
        <f>H66+H67-H70</f>
        <v>5066</v>
      </c>
    </row>
    <row r="72" spans="1:8" x14ac:dyDescent="0.3">
      <c r="A72" s="204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Namwera!D72</f>
        <v>0</v>
      </c>
      <c r="G72" s="25">
        <f>Nkhudzi!D72+Nkhudzi!E72+Nkhudzi!F72</f>
        <v>20</v>
      </c>
      <c r="H72" s="135">
        <f t="shared" ref="H72:H76" si="29">SUM(D72:G72)</f>
        <v>24</v>
      </c>
    </row>
    <row r="73" spans="1:8" x14ac:dyDescent="0.3">
      <c r="A73" s="205"/>
      <c r="B73" s="23" t="s">
        <v>106</v>
      </c>
      <c r="C73" s="5" t="s">
        <v>3</v>
      </c>
      <c r="D73" s="25">
        <f>Mangochi!D73+Mangochi!E73+Mangochi!F73</f>
        <v>0</v>
      </c>
      <c r="E73" s="25">
        <f>'Monkey Bay'!D73+'Monkey Bay'!E73+'Monkey Bay'!F73</f>
        <v>0</v>
      </c>
      <c r="F73" s="25">
        <f>Namwera!D73+Namwera!E73+Namwera!F73</f>
        <v>0</v>
      </c>
      <c r="G73" s="25">
        <f>Nkhudzi!D73+Nkhudzi!E73+Nkhudzi!F73</f>
        <v>0</v>
      </c>
      <c r="H73" s="135">
        <f t="shared" si="29"/>
        <v>0</v>
      </c>
    </row>
    <row r="74" spans="1:8" ht="27" x14ac:dyDescent="0.3">
      <c r="A74" s="205"/>
      <c r="B74" s="23" t="s">
        <v>105</v>
      </c>
      <c r="C74" s="5" t="s">
        <v>3</v>
      </c>
      <c r="D74" s="25">
        <f>Mangochi!D74+Mangochi!E74+Mangochi!F74</f>
        <v>0</v>
      </c>
      <c r="E74" s="25">
        <f>'Monkey Bay'!D74+'Monkey Bay'!E74+'Monkey Bay'!F74</f>
        <v>0</v>
      </c>
      <c r="F74" s="25">
        <f>Namwera!D74+Namwera!E74+Namwera!F74</f>
        <v>0</v>
      </c>
      <c r="G74" s="25">
        <f>Nkhudzi!D74+Nkhudzi!E74+Nkhudzi!F74</f>
        <v>0</v>
      </c>
      <c r="H74" s="135">
        <f t="shared" si="29"/>
        <v>0</v>
      </c>
    </row>
    <row r="75" spans="1:8" s="2" customFormat="1" ht="27" x14ac:dyDescent="0.3">
      <c r="A75" s="205"/>
      <c r="B75" s="23" t="s">
        <v>104</v>
      </c>
      <c r="C75" s="11" t="s">
        <v>3</v>
      </c>
      <c r="D75" s="25">
        <f>Mangochi!D75+Mangochi!E75+Mangochi!F75</f>
        <v>0</v>
      </c>
      <c r="E75" s="25">
        <f>'Monkey Bay'!D75+'Monkey Bay'!E75+'Monkey Bay'!F75</f>
        <v>0</v>
      </c>
      <c r="F75" s="25">
        <f>Namwera!D75+Namwera!E75+Namwera!F75</f>
        <v>0</v>
      </c>
      <c r="G75" s="25">
        <f>Nkhudzi!D75+Nkhudzi!E75+Nkhudzi!F75</f>
        <v>0</v>
      </c>
      <c r="H75" s="135">
        <f t="shared" si="29"/>
        <v>0</v>
      </c>
    </row>
    <row r="76" spans="1:8" s="2" customFormat="1" x14ac:dyDescent="0.3">
      <c r="A76" s="205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Nkhudzi!D76+Nkhudzi!E76+Nkhudzi!F76</f>
        <v>0</v>
      </c>
      <c r="H76" s="137">
        <f t="shared" si="29"/>
        <v>0</v>
      </c>
    </row>
    <row r="77" spans="1:8" x14ac:dyDescent="0.3">
      <c r="A77" s="206"/>
      <c r="B77" s="36" t="s">
        <v>81</v>
      </c>
      <c r="C77" s="5" t="s">
        <v>3</v>
      </c>
      <c r="D77" s="25">
        <f>D73+D74-D76</f>
        <v>0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0</v>
      </c>
      <c r="H77" s="138">
        <f>H72+H73-H76</f>
        <v>24</v>
      </c>
    </row>
    <row r="78" spans="1:8" ht="15.6" customHeight="1" x14ac:dyDescent="0.3">
      <c r="A78" s="204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Namwera!D78</f>
        <v>0</v>
      </c>
      <c r="G78" s="25">
        <f>Nkhudzi!D78+Nkhudzi!E78+Nkhudzi!F78</f>
        <v>30</v>
      </c>
      <c r="H78" s="135">
        <f>SUM(D78:F78)</f>
        <v>7</v>
      </c>
    </row>
    <row r="79" spans="1:8" x14ac:dyDescent="0.3">
      <c r="A79" s="205"/>
      <c r="B79" s="23" t="s">
        <v>106</v>
      </c>
      <c r="C79" s="5" t="s">
        <v>3</v>
      </c>
      <c r="D79" s="25">
        <f>Mangochi!D79+Mangochi!E79+Mangochi!F79</f>
        <v>0</v>
      </c>
      <c r="E79" s="25">
        <f>'Monkey Bay'!D79+'Monkey Bay'!E79+'Monkey Bay'!F79</f>
        <v>0</v>
      </c>
      <c r="F79" s="25">
        <f>Namwera!D79+Namwera!E79+Namwera!F79</f>
        <v>0</v>
      </c>
      <c r="G79" s="25">
        <f>Nkhudzi!D79+Nkhudzi!E79+Nkhudzi!F79</f>
        <v>0</v>
      </c>
      <c r="H79" s="135">
        <f t="shared" ref="H79:H82" si="32">SUM(D79:G79)</f>
        <v>0</v>
      </c>
    </row>
    <row r="80" spans="1:8" ht="27" x14ac:dyDescent="0.3">
      <c r="A80" s="205"/>
      <c r="B80" s="23" t="s">
        <v>105</v>
      </c>
      <c r="C80" s="5" t="s">
        <v>3</v>
      </c>
      <c r="D80" s="25">
        <f>Mangochi!D80+Mangochi!E80+Mangochi!F80</f>
        <v>0</v>
      </c>
      <c r="E80" s="25">
        <f>'Monkey Bay'!D80+'Monkey Bay'!E80+'Monkey Bay'!F80</f>
        <v>0</v>
      </c>
      <c r="F80" s="25">
        <f>Namwera!D80+Namwera!E80+Namwera!F80</f>
        <v>0</v>
      </c>
      <c r="G80" s="25">
        <f>Nkhudzi!D80+Nkhudzi!E80+Nkhudzi!F80</f>
        <v>0</v>
      </c>
      <c r="H80" s="135">
        <f t="shared" si="32"/>
        <v>0</v>
      </c>
    </row>
    <row r="81" spans="1:8" s="2" customFormat="1" ht="27" x14ac:dyDescent="0.3">
      <c r="A81" s="205"/>
      <c r="B81" s="23" t="s">
        <v>104</v>
      </c>
      <c r="C81" s="11" t="s">
        <v>3</v>
      </c>
      <c r="D81" s="25">
        <f>Mangochi!D81+Mangochi!E81+Mangochi!F81</f>
        <v>0</v>
      </c>
      <c r="E81" s="25">
        <f>'Monkey Bay'!D81+'Monkey Bay'!E81+'Monkey Bay'!F81</f>
        <v>2</v>
      </c>
      <c r="F81" s="25">
        <f>Namwera!D81+Namwera!E81+Namwera!F81</f>
        <v>0</v>
      </c>
      <c r="G81" s="25">
        <f>Nkhudzi!D81+Nkhudzi!E81+Nkhudzi!F81</f>
        <v>0</v>
      </c>
      <c r="H81" s="136">
        <f t="shared" si="32"/>
        <v>2</v>
      </c>
    </row>
    <row r="82" spans="1:8" s="2" customFormat="1" x14ac:dyDescent="0.3">
      <c r="A82" s="205"/>
      <c r="B82" s="23" t="s">
        <v>190</v>
      </c>
      <c r="C82" s="11" t="s">
        <v>3</v>
      </c>
      <c r="D82" s="4">
        <f>D81+D80</f>
        <v>0</v>
      </c>
      <c r="E82" s="4">
        <f t="shared" ref="E82:F82" si="33">E81+E80</f>
        <v>2</v>
      </c>
      <c r="F82" s="4">
        <f t="shared" si="33"/>
        <v>0</v>
      </c>
      <c r="G82" s="25">
        <f>Nkhudzi!D82+Nkhudzi!E82+Nkhudzi!F82</f>
        <v>0</v>
      </c>
      <c r="H82" s="137">
        <f t="shared" si="32"/>
        <v>2</v>
      </c>
    </row>
    <row r="83" spans="1:8" x14ac:dyDescent="0.3">
      <c r="A83" s="206"/>
      <c r="B83" s="36" t="s">
        <v>81</v>
      </c>
      <c r="C83" s="5" t="s">
        <v>3</v>
      </c>
      <c r="D83" s="25">
        <f>D78+D79-D82</f>
        <v>0</v>
      </c>
      <c r="E83" s="25">
        <f t="shared" ref="E83:F83" si="34">E78+E79-E82</f>
        <v>5</v>
      </c>
      <c r="F83" s="25">
        <f t="shared" si="34"/>
        <v>0</v>
      </c>
      <c r="G83" s="25">
        <f>Nkhudzi!D83+Nkhudzi!E83+Nkhudzi!F83</f>
        <v>30</v>
      </c>
      <c r="H83" s="138">
        <f>H78+H79-H82</f>
        <v>5</v>
      </c>
    </row>
    <row r="84" spans="1:8" x14ac:dyDescent="0.3">
      <c r="A84" s="242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Namwera!D84</f>
        <v>0</v>
      </c>
      <c r="G84" s="25">
        <f>Nkhudzi!D84+Nkhudzi!E84+Nkhudzi!F84</f>
        <v>0</v>
      </c>
      <c r="H84" s="135">
        <f t="shared" ref="H84:H88" si="35">SUM(D84:G84)</f>
        <v>10</v>
      </c>
    </row>
    <row r="85" spans="1:8" x14ac:dyDescent="0.3">
      <c r="A85" s="243"/>
      <c r="B85" s="36" t="s">
        <v>106</v>
      </c>
      <c r="C85" s="5" t="s">
        <v>3</v>
      </c>
      <c r="D85" s="25">
        <f>Mangochi!D85+Mangochi!E85+Mangochi!F85</f>
        <v>0</v>
      </c>
      <c r="E85" s="25">
        <f>'Monkey Bay'!D85+'Monkey Bay'!E85+'Monkey Bay'!F85</f>
        <v>0</v>
      </c>
      <c r="F85" s="25">
        <f>Namwera!D85+Namwera!E85+Namwera!F85</f>
        <v>0</v>
      </c>
      <c r="G85" s="25">
        <f>Nkhudzi!D85+Nkhudzi!E85+Nkhudzi!F85</f>
        <v>0</v>
      </c>
      <c r="H85" s="135">
        <f t="shared" si="35"/>
        <v>0</v>
      </c>
    </row>
    <row r="86" spans="1:8" ht="27" x14ac:dyDescent="0.3">
      <c r="A86" s="243"/>
      <c r="B86" s="36" t="s">
        <v>105</v>
      </c>
      <c r="C86" s="5" t="s">
        <v>3</v>
      </c>
      <c r="D86" s="25">
        <f>Mangochi!D86+Mangochi!E86+Mangochi!F86</f>
        <v>0</v>
      </c>
      <c r="E86" s="25">
        <f>'Monkey Bay'!D86+'Monkey Bay'!E86+'Monkey Bay'!F86</f>
        <v>0</v>
      </c>
      <c r="F86" s="25">
        <f>Namwera!D86+Namwera!E86+Namwera!F86</f>
        <v>0</v>
      </c>
      <c r="G86" s="25">
        <f>Nkhudzi!D86+Nkhudzi!E86+Nkhudzi!F86</f>
        <v>0</v>
      </c>
      <c r="H86" s="135">
        <f t="shared" si="35"/>
        <v>0</v>
      </c>
    </row>
    <row r="87" spans="1:8" s="2" customFormat="1" ht="27" x14ac:dyDescent="0.3">
      <c r="A87" s="243"/>
      <c r="B87" s="23" t="s">
        <v>104</v>
      </c>
      <c r="C87" s="11" t="s">
        <v>3</v>
      </c>
      <c r="D87" s="25">
        <f>Mangochi!D87+Mangochi!E87+Mangochi!F87</f>
        <v>1</v>
      </c>
      <c r="E87" s="25">
        <f>'Monkey Bay'!D87+'Monkey Bay'!E87+'Monkey Bay'!F87</f>
        <v>0</v>
      </c>
      <c r="F87" s="25">
        <f>Namwera!D87+Namwera!E87+Namwera!F87</f>
        <v>0</v>
      </c>
      <c r="G87" s="25">
        <f>Nkhudzi!D87+Nkhudzi!E87+Nkhudzi!F87</f>
        <v>0</v>
      </c>
      <c r="H87" s="136">
        <f t="shared" si="35"/>
        <v>1</v>
      </c>
    </row>
    <row r="88" spans="1:8" s="2" customFormat="1" x14ac:dyDescent="0.3">
      <c r="A88" s="243"/>
      <c r="B88" s="23" t="s">
        <v>190</v>
      </c>
      <c r="C88" s="11" t="s">
        <v>3</v>
      </c>
      <c r="D88" s="4">
        <f>D87+D86</f>
        <v>1</v>
      </c>
      <c r="E88" s="4">
        <f t="shared" ref="E88:F88" si="36">E87+E86</f>
        <v>0</v>
      </c>
      <c r="F88" s="4">
        <f t="shared" si="36"/>
        <v>0</v>
      </c>
      <c r="G88" s="25">
        <f>Nkhudzi!D88+Nkhudzi!E88+Nkhudzi!F88</f>
        <v>0</v>
      </c>
      <c r="H88" s="136">
        <f t="shared" si="35"/>
        <v>1</v>
      </c>
    </row>
    <row r="89" spans="1:8" x14ac:dyDescent="0.3">
      <c r="A89" s="244"/>
      <c r="B89" s="35" t="s">
        <v>81</v>
      </c>
      <c r="C89" s="5" t="s">
        <v>3</v>
      </c>
      <c r="D89" s="25">
        <f>D84+D85-D88</f>
        <v>9</v>
      </c>
      <c r="E89" s="25">
        <f t="shared" ref="E89:F89" si="37">E84+E85-E88</f>
        <v>0</v>
      </c>
      <c r="F89" s="25">
        <f t="shared" si="37"/>
        <v>0</v>
      </c>
      <c r="G89" s="25">
        <f>Nkhudzi!D89+Nkhudzi!E89+Nkhudzi!F89</f>
        <v>0</v>
      </c>
      <c r="H89" s="138">
        <f>H84+H85-H88</f>
        <v>9</v>
      </c>
    </row>
    <row r="90" spans="1:8" x14ac:dyDescent="0.3">
      <c r="A90" s="245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G93" si="38">E66+E72+E78+E84</f>
        <v>84</v>
      </c>
      <c r="F90" s="125">
        <f t="shared" si="38"/>
        <v>76</v>
      </c>
      <c r="G90" s="125">
        <f t="shared" si="38"/>
        <v>2984</v>
      </c>
      <c r="H90" s="135">
        <f t="shared" ref="H90:H94" si="39">SUM(D90:G90)</f>
        <v>5136</v>
      </c>
    </row>
    <row r="91" spans="1:8" x14ac:dyDescent="0.3">
      <c r="A91" s="246"/>
      <c r="B91" s="23" t="s">
        <v>106</v>
      </c>
      <c r="C91" s="11" t="s">
        <v>3</v>
      </c>
      <c r="D91" s="125">
        <f t="shared" ref="D91:F93" si="40">D67+D73+D79+D85</f>
        <v>253</v>
      </c>
      <c r="E91" s="125">
        <f t="shared" si="40"/>
        <v>57</v>
      </c>
      <c r="F91" s="125">
        <f t="shared" si="40"/>
        <v>17</v>
      </c>
      <c r="G91" s="125">
        <f t="shared" si="38"/>
        <v>60</v>
      </c>
      <c r="H91" s="135">
        <f t="shared" si="39"/>
        <v>387</v>
      </c>
    </row>
    <row r="92" spans="1:8" ht="27" x14ac:dyDescent="0.3">
      <c r="A92" s="246"/>
      <c r="B92" s="23" t="s">
        <v>105</v>
      </c>
      <c r="C92" s="11" t="s">
        <v>3</v>
      </c>
      <c r="D92" s="125">
        <f t="shared" si="40"/>
        <v>0</v>
      </c>
      <c r="E92" s="125">
        <f t="shared" si="40"/>
        <v>0</v>
      </c>
      <c r="F92" s="125">
        <f t="shared" si="40"/>
        <v>0</v>
      </c>
      <c r="G92" s="125">
        <f t="shared" si="38"/>
        <v>0</v>
      </c>
      <c r="H92" s="135">
        <f t="shared" si="39"/>
        <v>0</v>
      </c>
    </row>
    <row r="93" spans="1:8" s="2" customFormat="1" ht="27" x14ac:dyDescent="0.3">
      <c r="A93" s="246"/>
      <c r="B93" s="23" t="s">
        <v>104</v>
      </c>
      <c r="C93" s="11"/>
      <c r="D93" s="125">
        <f t="shared" si="40"/>
        <v>185</v>
      </c>
      <c r="E93" s="125">
        <f t="shared" si="40"/>
        <v>109</v>
      </c>
      <c r="F93" s="125">
        <f t="shared" si="40"/>
        <v>9</v>
      </c>
      <c r="G93" s="125">
        <f t="shared" si="38"/>
        <v>86</v>
      </c>
      <c r="H93" s="135">
        <f t="shared" si="39"/>
        <v>389</v>
      </c>
    </row>
    <row r="94" spans="1:8" s="2" customFormat="1" x14ac:dyDescent="0.3">
      <c r="A94" s="246"/>
      <c r="B94" s="23" t="s">
        <v>190</v>
      </c>
      <c r="C94" s="11" t="s">
        <v>3</v>
      </c>
      <c r="D94" s="126">
        <f>D93+D92</f>
        <v>185</v>
      </c>
      <c r="E94" s="126">
        <f t="shared" ref="E94:G94" si="41">E93+E92</f>
        <v>109</v>
      </c>
      <c r="F94" s="126">
        <f t="shared" si="41"/>
        <v>9</v>
      </c>
      <c r="G94" s="126">
        <f t="shared" si="41"/>
        <v>86</v>
      </c>
      <c r="H94" s="139">
        <f t="shared" si="39"/>
        <v>389</v>
      </c>
    </row>
    <row r="95" spans="1:8" ht="16.2" thickBot="1" x14ac:dyDescent="0.35">
      <c r="A95" s="247"/>
      <c r="B95" s="23" t="s">
        <v>81</v>
      </c>
      <c r="C95" s="11" t="s">
        <v>3</v>
      </c>
      <c r="D95" s="127">
        <f>D90+D91-D94</f>
        <v>2060</v>
      </c>
      <c r="E95" s="127">
        <f t="shared" ref="E95:G95" si="42">E90+E91-E94</f>
        <v>32</v>
      </c>
      <c r="F95" s="127">
        <f t="shared" si="42"/>
        <v>84</v>
      </c>
      <c r="G95" s="127">
        <f t="shared" si="42"/>
        <v>2958</v>
      </c>
      <c r="H95" s="140">
        <f>H90+H91-H94</f>
        <v>5134</v>
      </c>
    </row>
    <row r="96" spans="1:8" ht="16.2" customHeight="1" thickBot="1" x14ac:dyDescent="0.35">
      <c r="A96" s="251"/>
      <c r="B96" s="252"/>
      <c r="C96" s="252"/>
      <c r="D96" s="252"/>
      <c r="E96" s="252"/>
      <c r="F96" s="252"/>
      <c r="G96" s="252"/>
      <c r="H96" s="499"/>
    </row>
    <row r="97" spans="1:8" s="2" customFormat="1" ht="15.75" customHeight="1" thickBot="1" x14ac:dyDescent="0.35">
      <c r="A97" s="248" t="s">
        <v>191</v>
      </c>
      <c r="B97" s="249"/>
      <c r="C97" s="249"/>
      <c r="D97" s="249"/>
      <c r="E97" s="249"/>
      <c r="F97" s="249"/>
      <c r="G97" s="249"/>
      <c r="H97" s="500"/>
    </row>
    <row r="98" spans="1:8" x14ac:dyDescent="0.3">
      <c r="A98" s="85" t="s">
        <v>192</v>
      </c>
      <c r="B98" s="68"/>
      <c r="C98" s="11" t="s">
        <v>3</v>
      </c>
      <c r="D98" s="25">
        <f>Mangochi!D98+Mangochi!E98+Mangochi!F98</f>
        <v>185</v>
      </c>
      <c r="E98" s="25">
        <f>'Monkey Bay'!D98+'Monkey Bay'!E98+'Monkey Bay'!F98</f>
        <v>109</v>
      </c>
      <c r="F98" s="25">
        <f>Namwera!D98+Namwera!E98+Namwera!F98</f>
        <v>9</v>
      </c>
      <c r="G98" s="171">
        <f>Nkhudzi!D98+Nkhudzi!E98+Nkhudzi!F98</f>
        <v>86</v>
      </c>
      <c r="H98" s="102">
        <f t="shared" ref="H98" si="43">SUM(D98:G98)</f>
        <v>389</v>
      </c>
    </row>
    <row r="99" spans="1:8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6.2" thickBot="1" x14ac:dyDescent="0.35">
      <c r="A100" s="253" t="s">
        <v>103</v>
      </c>
      <c r="B100" s="254"/>
      <c r="C100" s="254"/>
      <c r="D100" s="254"/>
      <c r="E100" s="254"/>
      <c r="F100" s="254"/>
      <c r="G100" s="254"/>
      <c r="H100" s="501"/>
    </row>
    <row r="101" spans="1:8" x14ac:dyDescent="0.3">
      <c r="A101" s="212" t="s">
        <v>102</v>
      </c>
      <c r="B101" s="213"/>
      <c r="C101" s="11" t="s">
        <v>3</v>
      </c>
      <c r="D101" s="25">
        <f>Mangochi!F101</f>
        <v>0</v>
      </c>
      <c r="E101" s="25">
        <f>'Monkey Bay'!F101</f>
        <v>0</v>
      </c>
      <c r="F101" s="25">
        <f>Namwera!F101</f>
        <v>0</v>
      </c>
      <c r="G101" s="174">
        <f>Nkhudzi!F101</f>
        <v>0</v>
      </c>
      <c r="H101" s="54">
        <f t="shared" ref="H101:H104" si="44">SUM(D101:G101)</f>
        <v>0</v>
      </c>
    </row>
    <row r="102" spans="1:8" x14ac:dyDescent="0.3">
      <c r="A102" s="212" t="s">
        <v>101</v>
      </c>
      <c r="B102" s="213"/>
      <c r="C102" s="11" t="s">
        <v>3</v>
      </c>
      <c r="D102" s="25">
        <f>Mangochi!F102</f>
        <v>0</v>
      </c>
      <c r="E102" s="25">
        <f>'Monkey Bay'!F102</f>
        <v>0</v>
      </c>
      <c r="F102" s="25">
        <f>Namwera!F102</f>
        <v>0</v>
      </c>
      <c r="G102" s="25">
        <f>Nkhudzi!F102</f>
        <v>0</v>
      </c>
      <c r="H102" s="54">
        <f t="shared" si="44"/>
        <v>0</v>
      </c>
    </row>
    <row r="103" spans="1:8" ht="15.6" customHeight="1" x14ac:dyDescent="0.3">
      <c r="A103" s="218" t="s">
        <v>100</v>
      </c>
      <c r="B103" s="219"/>
      <c r="C103" s="11" t="s">
        <v>3</v>
      </c>
      <c r="D103" s="25">
        <f>Mangochi!F103</f>
        <v>0</v>
      </c>
      <c r="E103" s="25">
        <f>'Monkey Bay'!F103</f>
        <v>0</v>
      </c>
      <c r="F103" s="25">
        <f>Namwera!F103</f>
        <v>0</v>
      </c>
      <c r="G103" s="25">
        <f>Nkhudzi!F103</f>
        <v>0</v>
      </c>
      <c r="H103" s="54">
        <f t="shared" si="44"/>
        <v>0</v>
      </c>
    </row>
    <row r="104" spans="1:8" x14ac:dyDescent="0.3">
      <c r="A104" s="218" t="s">
        <v>99</v>
      </c>
      <c r="B104" s="219"/>
      <c r="C104" s="11" t="s">
        <v>3</v>
      </c>
      <c r="D104" s="25">
        <f>Mangochi!F104</f>
        <v>0</v>
      </c>
      <c r="E104" s="25">
        <f>'Monkey Bay'!F104</f>
        <v>0</v>
      </c>
      <c r="F104" s="25">
        <f>Namwera!F104</f>
        <v>0</v>
      </c>
      <c r="G104" s="25">
        <f>Nkhudzi!F104</f>
        <v>0</v>
      </c>
      <c r="H104" s="54">
        <f t="shared" si="44"/>
        <v>0</v>
      </c>
    </row>
    <row r="105" spans="1:8" x14ac:dyDescent="0.3">
      <c r="A105" s="240" t="s">
        <v>98</v>
      </c>
      <c r="B105" s="241"/>
      <c r="C105" s="11" t="s">
        <v>3</v>
      </c>
      <c r="D105" s="32">
        <f>SUM(D101:D104)</f>
        <v>0</v>
      </c>
      <c r="E105" s="32">
        <f t="shared" ref="E105:H105" si="45">SUM(E101:E104)</f>
        <v>0</v>
      </c>
      <c r="F105" s="32">
        <f t="shared" si="45"/>
        <v>0</v>
      </c>
      <c r="G105" s="32">
        <f t="shared" si="45"/>
        <v>0</v>
      </c>
      <c r="H105" s="54">
        <f t="shared" si="45"/>
        <v>0</v>
      </c>
    </row>
    <row r="106" spans="1:8" s="2" customFormat="1" ht="15.6" customHeight="1" thickBot="1" x14ac:dyDescent="0.35">
      <c r="A106" s="272" t="s">
        <v>212</v>
      </c>
      <c r="B106" s="273"/>
      <c r="C106" s="273"/>
      <c r="D106" s="273"/>
      <c r="E106" s="273"/>
      <c r="F106" s="273"/>
      <c r="G106" s="273"/>
      <c r="H106" s="502"/>
    </row>
    <row r="107" spans="1:8" x14ac:dyDescent="0.3">
      <c r="A107" s="212" t="s">
        <v>195</v>
      </c>
      <c r="B107" s="213"/>
      <c r="C107" s="11" t="s">
        <v>3</v>
      </c>
      <c r="D107" s="25">
        <f>Mangochi!F107</f>
        <v>0</v>
      </c>
      <c r="E107" s="25">
        <f>'Monkey Bay'!F107</f>
        <v>0</v>
      </c>
      <c r="F107" s="25">
        <f>Namwera!F107</f>
        <v>0</v>
      </c>
      <c r="G107" s="174">
        <f>Nkhudzi!F107</f>
        <v>0</v>
      </c>
      <c r="H107" s="54">
        <f t="shared" ref="H107:H110" si="46">SUM(D107:G107)</f>
        <v>0</v>
      </c>
    </row>
    <row r="108" spans="1:8" x14ac:dyDescent="0.3">
      <c r="A108" s="212" t="s">
        <v>196</v>
      </c>
      <c r="B108" s="213"/>
      <c r="C108" s="11" t="s">
        <v>3</v>
      </c>
      <c r="D108" s="25">
        <f>Mangochi!F108</f>
        <v>0</v>
      </c>
      <c r="E108" s="25">
        <f>'Monkey Bay'!F108</f>
        <v>0</v>
      </c>
      <c r="F108" s="25">
        <f>Namwera!F108</f>
        <v>0</v>
      </c>
      <c r="G108" s="25">
        <f>Nkhudzi!F108</f>
        <v>0</v>
      </c>
      <c r="H108" s="54">
        <f t="shared" si="46"/>
        <v>0</v>
      </c>
    </row>
    <row r="109" spans="1:8" x14ac:dyDescent="0.3">
      <c r="A109" s="212" t="s">
        <v>197</v>
      </c>
      <c r="B109" s="213"/>
      <c r="C109" s="11" t="s">
        <v>3</v>
      </c>
      <c r="D109" s="25">
        <f>Mangochi!F109</f>
        <v>0</v>
      </c>
      <c r="E109" s="25">
        <f>'Monkey Bay'!F109</f>
        <v>0</v>
      </c>
      <c r="F109" s="25">
        <f>Namwera!F109</f>
        <v>0</v>
      </c>
      <c r="G109" s="25">
        <f>Nkhudzi!F109</f>
        <v>0</v>
      </c>
      <c r="H109" s="54">
        <f t="shared" si="46"/>
        <v>0</v>
      </c>
    </row>
    <row r="110" spans="1:8" x14ac:dyDescent="0.3">
      <c r="A110" s="212" t="s">
        <v>198</v>
      </c>
      <c r="B110" s="213"/>
      <c r="C110" s="11" t="s">
        <v>3</v>
      </c>
      <c r="D110" s="25">
        <f>Mangochi!F110</f>
        <v>0</v>
      </c>
      <c r="E110" s="25">
        <f>'Monkey Bay'!F110</f>
        <v>0</v>
      </c>
      <c r="F110" s="25">
        <f>Namwera!F110</f>
        <v>0</v>
      </c>
      <c r="G110" s="25">
        <f>Nkhudzi!F110</f>
        <v>0</v>
      </c>
      <c r="H110" s="54">
        <f t="shared" si="46"/>
        <v>0</v>
      </c>
    </row>
    <row r="111" spans="1:8" x14ac:dyDescent="0.3">
      <c r="A111" s="214" t="s">
        <v>97</v>
      </c>
      <c r="B111" s="215"/>
      <c r="C111" s="11" t="s">
        <v>3</v>
      </c>
      <c r="D111" s="32">
        <f>SUM(D107:D110)</f>
        <v>0</v>
      </c>
      <c r="E111" s="32">
        <f t="shared" ref="E111:H111" si="47">SUM(E107:E110)</f>
        <v>0</v>
      </c>
      <c r="F111" s="32">
        <f t="shared" si="47"/>
        <v>0</v>
      </c>
      <c r="G111" s="32">
        <f t="shared" si="47"/>
        <v>0</v>
      </c>
      <c r="H111" s="54">
        <f t="shared" si="47"/>
        <v>0</v>
      </c>
    </row>
    <row r="112" spans="1:8" s="2" customFormat="1" ht="15.6" customHeight="1" thickBot="1" x14ac:dyDescent="0.35">
      <c r="A112" s="253" t="s">
        <v>212</v>
      </c>
      <c r="B112" s="254"/>
      <c r="C112" s="254"/>
      <c r="D112" s="254"/>
      <c r="E112" s="254"/>
      <c r="F112" s="254"/>
      <c r="G112" s="254"/>
      <c r="H112" s="501"/>
    </row>
    <row r="113" spans="1:8" x14ac:dyDescent="0.3">
      <c r="A113" s="212" t="s">
        <v>199</v>
      </c>
      <c r="B113" s="213"/>
      <c r="C113" s="11" t="s">
        <v>3</v>
      </c>
      <c r="D113" s="25">
        <f>Mangochi!F113</f>
        <v>0</v>
      </c>
      <c r="E113" s="25">
        <f>'Monkey Bay'!F113</f>
        <v>0</v>
      </c>
      <c r="F113" s="25">
        <f>Namwera!F113</f>
        <v>0</v>
      </c>
      <c r="G113" s="174">
        <f>Nkhudzi!F113</f>
        <v>0</v>
      </c>
      <c r="H113" s="54">
        <f t="shared" ref="H113:H116" si="48">SUM(D113:G113)</f>
        <v>0</v>
      </c>
    </row>
    <row r="114" spans="1:8" x14ac:dyDescent="0.3">
      <c r="A114" s="212" t="s">
        <v>200</v>
      </c>
      <c r="B114" s="213"/>
      <c r="C114" s="11" t="s">
        <v>3</v>
      </c>
      <c r="D114" s="25">
        <f>Mangochi!F114</f>
        <v>0</v>
      </c>
      <c r="E114" s="25">
        <f>'Monkey Bay'!F114</f>
        <v>0</v>
      </c>
      <c r="F114" s="25">
        <f>Namwera!F114</f>
        <v>0</v>
      </c>
      <c r="G114" s="25">
        <f>Nkhudzi!F114</f>
        <v>0</v>
      </c>
      <c r="H114" s="54">
        <f t="shared" si="48"/>
        <v>0</v>
      </c>
    </row>
    <row r="115" spans="1:8" x14ac:dyDescent="0.3">
      <c r="A115" s="212" t="s">
        <v>201</v>
      </c>
      <c r="B115" s="213"/>
      <c r="C115" s="11" t="s">
        <v>3</v>
      </c>
      <c r="D115" s="25">
        <f>Mangochi!F115</f>
        <v>0</v>
      </c>
      <c r="E115" s="25">
        <f>'Monkey Bay'!F115</f>
        <v>0</v>
      </c>
      <c r="F115" s="25">
        <f>Namwera!F115</f>
        <v>0</v>
      </c>
      <c r="G115" s="25">
        <f>Nkhudzi!F115</f>
        <v>0</v>
      </c>
      <c r="H115" s="54">
        <f t="shared" si="48"/>
        <v>0</v>
      </c>
    </row>
    <row r="116" spans="1:8" x14ac:dyDescent="0.3">
      <c r="A116" s="212" t="s">
        <v>202</v>
      </c>
      <c r="B116" s="213"/>
      <c r="C116" s="11" t="s">
        <v>3</v>
      </c>
      <c r="D116" s="25">
        <f>Mangochi!F116</f>
        <v>0</v>
      </c>
      <c r="E116" s="25">
        <f>'Monkey Bay'!F116</f>
        <v>0</v>
      </c>
      <c r="F116" s="25">
        <f>Namwera!F116</f>
        <v>0</v>
      </c>
      <c r="G116" s="25">
        <f>Nkhudzi!F116</f>
        <v>0</v>
      </c>
      <c r="H116" s="54">
        <f t="shared" si="48"/>
        <v>0</v>
      </c>
    </row>
    <row r="117" spans="1:8" x14ac:dyDescent="0.3">
      <c r="A117" s="214" t="s">
        <v>96</v>
      </c>
      <c r="B117" s="215"/>
      <c r="C117" s="11" t="s">
        <v>3</v>
      </c>
      <c r="D117" s="32">
        <f>SUM(D113:D116)</f>
        <v>0</v>
      </c>
      <c r="E117" s="32">
        <f t="shared" ref="E117:H117" si="49">SUM(E113:E116)</f>
        <v>0</v>
      </c>
      <c r="F117" s="32">
        <f t="shared" si="49"/>
        <v>0</v>
      </c>
      <c r="G117" s="32">
        <f t="shared" si="49"/>
        <v>0</v>
      </c>
      <c r="H117" s="54">
        <f t="shared" si="49"/>
        <v>0</v>
      </c>
    </row>
    <row r="118" spans="1:8" s="2" customFormat="1" x14ac:dyDescent="0.3">
      <c r="A118" s="200" t="s">
        <v>193</v>
      </c>
      <c r="B118" s="201"/>
      <c r="C118" s="11" t="s">
        <v>3</v>
      </c>
      <c r="D118" s="32">
        <f>D117+D111</f>
        <v>0</v>
      </c>
      <c r="E118" s="32">
        <f t="shared" ref="E118:G118" si="50">E117+E111</f>
        <v>0</v>
      </c>
      <c r="F118" s="32">
        <f t="shared" si="50"/>
        <v>0</v>
      </c>
      <c r="G118" s="32">
        <f t="shared" si="50"/>
        <v>0</v>
      </c>
      <c r="H118" s="54">
        <f t="shared" ref="H118" si="51">H117+H112</f>
        <v>0</v>
      </c>
    </row>
    <row r="119" spans="1:8" x14ac:dyDescent="0.3">
      <c r="A119" s="214" t="s">
        <v>194</v>
      </c>
      <c r="B119" s="215"/>
      <c r="C119" s="11" t="s">
        <v>3</v>
      </c>
      <c r="D119" s="32">
        <f>D118+D105</f>
        <v>0</v>
      </c>
      <c r="E119" s="32">
        <f t="shared" ref="E119:G119" si="52">E118+E105</f>
        <v>0</v>
      </c>
      <c r="F119" s="32">
        <f t="shared" si="52"/>
        <v>0</v>
      </c>
      <c r="G119" s="32">
        <f t="shared" si="52"/>
        <v>0</v>
      </c>
      <c r="H119" s="54">
        <f t="shared" ref="H119" si="53">H118+H106</f>
        <v>0</v>
      </c>
    </row>
    <row r="120" spans="1:8" x14ac:dyDescent="0.3">
      <c r="A120" s="257" t="s">
        <v>203</v>
      </c>
      <c r="B120" s="258"/>
      <c r="C120" s="258"/>
      <c r="D120" s="258"/>
      <c r="E120" s="258"/>
      <c r="F120" s="258"/>
      <c r="G120" s="280"/>
      <c r="H120" s="495"/>
    </row>
    <row r="121" spans="1:8" x14ac:dyDescent="0.3">
      <c r="A121" s="212" t="s">
        <v>95</v>
      </c>
      <c r="B121" s="213"/>
      <c r="C121" s="5" t="s">
        <v>3</v>
      </c>
      <c r="D121" s="25">
        <f>Mangochi!F121</f>
        <v>0</v>
      </c>
      <c r="E121" s="25">
        <f>'Monkey Bay'!F121</f>
        <v>0</v>
      </c>
      <c r="F121" s="25">
        <f>Namwera!F121</f>
        <v>0</v>
      </c>
      <c r="G121" s="25">
        <f>Nkhudzi!F121</f>
        <v>0</v>
      </c>
      <c r="H121" s="54">
        <f>SUM(D121:G121)</f>
        <v>0</v>
      </c>
    </row>
    <row r="122" spans="1:8" x14ac:dyDescent="0.3">
      <c r="A122" s="212" t="s">
        <v>94</v>
      </c>
      <c r="B122" s="213"/>
      <c r="C122" s="5" t="s">
        <v>3</v>
      </c>
      <c r="D122" s="25">
        <f>Mangochi!F122</f>
        <v>0</v>
      </c>
      <c r="E122" s="25">
        <f>'Monkey Bay'!F122</f>
        <v>0</v>
      </c>
      <c r="F122" s="25">
        <f>Namwera!F122</f>
        <v>0</v>
      </c>
      <c r="G122" s="529">
        <f>Nkhudzi!F122</f>
        <v>0</v>
      </c>
      <c r="H122" s="54">
        <f>SUM(D122:G122)</f>
        <v>0</v>
      </c>
    </row>
    <row r="123" spans="1:8" x14ac:dyDescent="0.3">
      <c r="A123" s="260" t="s">
        <v>93</v>
      </c>
      <c r="B123" s="261"/>
      <c r="C123" s="29" t="s">
        <v>6</v>
      </c>
      <c r="D123" s="28" t="e">
        <f t="shared" ref="D123:H123" si="54">D122/D121</f>
        <v>#DIV/0!</v>
      </c>
      <c r="E123" s="28" t="e">
        <f t="shared" si="54"/>
        <v>#DIV/0!</v>
      </c>
      <c r="F123" s="28" t="e">
        <f t="shared" si="54"/>
        <v>#DIV/0!</v>
      </c>
      <c r="G123" s="28" t="e">
        <f t="shared" si="54"/>
        <v>#DIV/0!</v>
      </c>
      <c r="H123" s="103" t="e">
        <f t="shared" si="54"/>
        <v>#DIV/0!</v>
      </c>
    </row>
    <row r="124" spans="1:8" x14ac:dyDescent="0.3">
      <c r="A124" s="283" t="s">
        <v>92</v>
      </c>
      <c r="B124" s="284"/>
      <c r="C124" s="284"/>
      <c r="D124" s="284"/>
      <c r="E124" s="284"/>
      <c r="F124" s="284"/>
      <c r="G124" s="284"/>
      <c r="H124" s="503"/>
    </row>
    <row r="125" spans="1:8" x14ac:dyDescent="0.3">
      <c r="A125" s="222" t="s">
        <v>91</v>
      </c>
      <c r="B125" s="23" t="s">
        <v>85</v>
      </c>
      <c r="C125" s="11" t="s">
        <v>3</v>
      </c>
      <c r="D125" s="25">
        <f>Mangochi!D125</f>
        <v>1</v>
      </c>
      <c r="E125" s="25">
        <f>'Monkey Bay'!D125</f>
        <v>0</v>
      </c>
      <c r="F125" s="25">
        <f>Namwera!D125</f>
        <v>0</v>
      </c>
      <c r="G125" s="25">
        <f>Nkhudzi!F125</f>
        <v>0</v>
      </c>
      <c r="H125" s="31">
        <f>D125</f>
        <v>1</v>
      </c>
    </row>
    <row r="126" spans="1:8" x14ac:dyDescent="0.3">
      <c r="A126" s="256"/>
      <c r="B126" s="23" t="s">
        <v>84</v>
      </c>
      <c r="C126" s="11" t="s">
        <v>3</v>
      </c>
      <c r="D126" s="25">
        <f>Mangochi!D126+Mangochi!E126+Mangochi!F126</f>
        <v>0</v>
      </c>
      <c r="E126" s="25">
        <f>'Monkey Bay'!D126+'Monkey Bay'!E126+'Monkey Bay'!F126</f>
        <v>0</v>
      </c>
      <c r="F126" s="25">
        <f>Namwera!D126+Namwera!E126+Namwera!F126</f>
        <v>0</v>
      </c>
      <c r="G126" s="25">
        <f>Nkhudzi!D126+Nkhudzi!E126+Nkhudzi!F126</f>
        <v>0</v>
      </c>
      <c r="H126" s="54">
        <f>SUM(D126:F126)</f>
        <v>0</v>
      </c>
    </row>
    <row r="127" spans="1:8" x14ac:dyDescent="0.3">
      <c r="A127" s="256"/>
      <c r="B127" s="79" t="s">
        <v>88</v>
      </c>
      <c r="C127" s="11" t="s">
        <v>3</v>
      </c>
      <c r="D127" s="25">
        <f>Mangochi!D127+Mangochi!E127+Mangochi!F127</f>
        <v>0</v>
      </c>
      <c r="E127" s="25">
        <f>'Monkey Bay'!D127+'Monkey Bay'!E127+'Monkey Bay'!F127</f>
        <v>0</v>
      </c>
      <c r="F127" s="25">
        <f>Namwera!D127+Namwera!E127+Namwera!F127</f>
        <v>0</v>
      </c>
      <c r="G127" s="25">
        <f>Nkhudzi!D127+Nkhudzi!E127+Nkhudzi!F127</f>
        <v>0</v>
      </c>
      <c r="H127" s="54">
        <f>SUM(D127:F127)</f>
        <v>0</v>
      </c>
    </row>
    <row r="128" spans="1:8" x14ac:dyDescent="0.3">
      <c r="A128" s="256"/>
      <c r="B128" s="23" t="s">
        <v>82</v>
      </c>
      <c r="C128" s="11" t="s">
        <v>3</v>
      </c>
      <c r="D128" s="25">
        <f>Mangochi!D128+Mangochi!E128+Mangochi!F128</f>
        <v>0</v>
      </c>
      <c r="E128" s="25">
        <f>'Monkey Bay'!D128+'Monkey Bay'!E128+'Monkey Bay'!F128</f>
        <v>0</v>
      </c>
      <c r="F128" s="25">
        <f>Namwera!D128+Namwera!E128+Namwera!F128</f>
        <v>0</v>
      </c>
      <c r="G128" s="25">
        <f>Nkhudzi!D128+Nkhudzi!E128+Nkhudzi!F128</f>
        <v>0</v>
      </c>
      <c r="H128" s="54">
        <f>SUM(D128:F128)</f>
        <v>0</v>
      </c>
    </row>
    <row r="129" spans="1:8" x14ac:dyDescent="0.3">
      <c r="A129" s="223"/>
      <c r="B129" s="23" t="s">
        <v>81</v>
      </c>
      <c r="C129" s="11" t="s">
        <v>3</v>
      </c>
      <c r="D129" s="129">
        <f t="shared" ref="D129:G129" si="55">D125+D126-D127-D128</f>
        <v>1</v>
      </c>
      <c r="E129" s="129">
        <f t="shared" si="55"/>
        <v>0</v>
      </c>
      <c r="F129" s="129">
        <f t="shared" si="55"/>
        <v>0</v>
      </c>
      <c r="G129" s="130">
        <f t="shared" si="55"/>
        <v>0</v>
      </c>
      <c r="H129" s="31">
        <f>H125+H126-H127-H128</f>
        <v>1</v>
      </c>
    </row>
    <row r="130" spans="1:8" x14ac:dyDescent="0.3">
      <c r="A130" s="222" t="s">
        <v>90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Nkhudzi!F130</f>
        <v>0</v>
      </c>
      <c r="H130" s="31">
        <f>D130</f>
        <v>0</v>
      </c>
    </row>
    <row r="131" spans="1:8" x14ac:dyDescent="0.3">
      <c r="A131" s="256"/>
      <c r="B131" s="23" t="s">
        <v>84</v>
      </c>
      <c r="C131" s="11" t="s">
        <v>3</v>
      </c>
      <c r="D131" s="25">
        <f>Mangochi!D131+Mangochi!E131+Mangochi!F131</f>
        <v>0</v>
      </c>
      <c r="E131" s="25">
        <f>'Monkey Bay'!D131+'Monkey Bay'!E131+'Monkey Bay'!F131</f>
        <v>0</v>
      </c>
      <c r="F131" s="25">
        <f>Namwera!D131+Namwera!E131+Namwera!F131</f>
        <v>0</v>
      </c>
      <c r="G131" s="25">
        <f>Nkhudzi!D131+Nkhudzi!E131+Nkhudzi!F131</f>
        <v>0</v>
      </c>
      <c r="H131" s="54">
        <f>SUM(D131:F131)</f>
        <v>0</v>
      </c>
    </row>
    <row r="132" spans="1:8" x14ac:dyDescent="0.3">
      <c r="A132" s="256"/>
      <c r="B132" s="79" t="s">
        <v>88</v>
      </c>
      <c r="C132" s="11" t="s">
        <v>3</v>
      </c>
      <c r="D132" s="25">
        <f>Mangochi!D132+Mangochi!E132+Mangochi!F132</f>
        <v>0</v>
      </c>
      <c r="E132" s="25">
        <f>'Monkey Bay'!D132+'Monkey Bay'!E132+'Monkey Bay'!F132</f>
        <v>0</v>
      </c>
      <c r="F132" s="25">
        <f>Namwera!D132+Namwera!E132+Namwera!F132</f>
        <v>0</v>
      </c>
      <c r="G132" s="25">
        <f>Nkhudzi!D132+Nkhudzi!E132+Nkhudzi!F132</f>
        <v>0</v>
      </c>
      <c r="H132" s="54">
        <f>SUM(D132:F132)</f>
        <v>0</v>
      </c>
    </row>
    <row r="133" spans="1:8" x14ac:dyDescent="0.3">
      <c r="A133" s="256"/>
      <c r="B133" s="23" t="s">
        <v>82</v>
      </c>
      <c r="C133" s="11" t="s">
        <v>3</v>
      </c>
      <c r="D133" s="25">
        <f>Mangochi!D133+Mangochi!E133+Mangochi!F133</f>
        <v>0</v>
      </c>
      <c r="E133" s="25">
        <f>'Monkey Bay'!D133+'Monkey Bay'!E133+'Monkey Bay'!F133</f>
        <v>0</v>
      </c>
      <c r="F133" s="25">
        <f>Namwera!D133+Namwera!E133+Namwera!F133</f>
        <v>0</v>
      </c>
      <c r="G133" s="25">
        <f>Nkhudzi!D133+Nkhudzi!E133+Nkhudzi!F133</f>
        <v>0</v>
      </c>
      <c r="H133" s="54">
        <f>SUM(D133:F133)</f>
        <v>0</v>
      </c>
    </row>
    <row r="134" spans="1:8" x14ac:dyDescent="0.3">
      <c r="A134" s="223"/>
      <c r="B134" s="23" t="s">
        <v>81</v>
      </c>
      <c r="C134" s="11" t="s">
        <v>3</v>
      </c>
      <c r="D134" s="129">
        <f t="shared" ref="D134:G134" si="56">D130+D131-D132-D133</f>
        <v>0</v>
      </c>
      <c r="E134" s="129">
        <f t="shared" si="56"/>
        <v>0</v>
      </c>
      <c r="F134" s="129">
        <f t="shared" si="56"/>
        <v>0</v>
      </c>
      <c r="G134" s="130">
        <f t="shared" si="56"/>
        <v>0</v>
      </c>
      <c r="H134" s="31">
        <f>H130+H131-H132-H133</f>
        <v>0</v>
      </c>
    </row>
    <row r="135" spans="1:8" x14ac:dyDescent="0.3">
      <c r="A135" s="222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Nkhudzi!F135</f>
        <v>0</v>
      </c>
      <c r="H135" s="31">
        <f>D135</f>
        <v>0</v>
      </c>
    </row>
    <row r="136" spans="1:8" x14ac:dyDescent="0.3">
      <c r="A136" s="256"/>
      <c r="B136" s="23" t="s">
        <v>84</v>
      </c>
      <c r="C136" s="11" t="s">
        <v>3</v>
      </c>
      <c r="D136" s="25">
        <f>Mangochi!D136+Mangochi!E136+Mangochi!F136</f>
        <v>0</v>
      </c>
      <c r="E136" s="25">
        <f>'Monkey Bay'!D136+'Monkey Bay'!E136+'Monkey Bay'!F136</f>
        <v>0</v>
      </c>
      <c r="F136" s="25">
        <f>Namwera!D136+Namwera!E136+Namwera!F136</f>
        <v>0</v>
      </c>
      <c r="G136" s="25">
        <f>Nkhudzi!D136+Nkhudzi!E136+Nkhudzi!F136</f>
        <v>0</v>
      </c>
      <c r="H136" s="54">
        <f>SUM(D136:F136)</f>
        <v>0</v>
      </c>
    </row>
    <row r="137" spans="1:8" x14ac:dyDescent="0.3">
      <c r="A137" s="256"/>
      <c r="B137" s="79" t="s">
        <v>88</v>
      </c>
      <c r="C137" s="11" t="s">
        <v>3</v>
      </c>
      <c r="D137" s="25">
        <f>Mangochi!D137+Mangochi!E137+Mangochi!F137</f>
        <v>0</v>
      </c>
      <c r="E137" s="25">
        <f>'Monkey Bay'!D137+'Monkey Bay'!E137+'Monkey Bay'!F137</f>
        <v>0</v>
      </c>
      <c r="F137" s="25">
        <f>Namwera!D137+Namwera!E137+Namwera!F137</f>
        <v>0</v>
      </c>
      <c r="G137" s="25">
        <f>Nkhudzi!D137+Nkhudzi!E137+Nkhudzi!F137</f>
        <v>0</v>
      </c>
      <c r="H137" s="54">
        <f>SUM(D137:F137)</f>
        <v>0</v>
      </c>
    </row>
    <row r="138" spans="1:8" x14ac:dyDescent="0.3">
      <c r="A138" s="256"/>
      <c r="B138" s="23" t="s">
        <v>82</v>
      </c>
      <c r="C138" s="11" t="s">
        <v>3</v>
      </c>
      <c r="D138" s="25">
        <f>Mangochi!D138+Mangochi!E138+Mangochi!F138</f>
        <v>0</v>
      </c>
      <c r="E138" s="25">
        <f>'Monkey Bay'!D138+'Monkey Bay'!E138+'Monkey Bay'!F138</f>
        <v>0</v>
      </c>
      <c r="F138" s="25">
        <f>Namwera!D138+Namwera!E138+Namwera!F138</f>
        <v>0</v>
      </c>
      <c r="G138" s="25">
        <f>Nkhudzi!D138+Nkhudzi!E138+Nkhudzi!F138</f>
        <v>0</v>
      </c>
      <c r="H138" s="54">
        <f>SUM(D138:F138)</f>
        <v>0</v>
      </c>
    </row>
    <row r="139" spans="1:8" x14ac:dyDescent="0.3">
      <c r="A139" s="223"/>
      <c r="B139" s="23" t="s">
        <v>81</v>
      </c>
      <c r="C139" s="11" t="s">
        <v>3</v>
      </c>
      <c r="D139" s="129">
        <f t="shared" ref="D139:G139" si="57">D135+D136-D137-D138</f>
        <v>0</v>
      </c>
      <c r="E139" s="129">
        <f t="shared" si="57"/>
        <v>0</v>
      </c>
      <c r="F139" s="129">
        <f t="shared" si="57"/>
        <v>0</v>
      </c>
      <c r="G139" s="130">
        <f t="shared" si="57"/>
        <v>0</v>
      </c>
      <c r="H139" s="31">
        <f>H135+H136-H137-H138</f>
        <v>0</v>
      </c>
    </row>
    <row r="140" spans="1:8" x14ac:dyDescent="0.3">
      <c r="A140" s="222" t="s">
        <v>87</v>
      </c>
      <c r="B140" s="23" t="s">
        <v>85</v>
      </c>
      <c r="C140" s="11" t="s">
        <v>3</v>
      </c>
      <c r="D140" s="25">
        <f>Mangochi!D140</f>
        <v>420</v>
      </c>
      <c r="E140" s="25">
        <f>'Monkey Bay'!D140</f>
        <v>8</v>
      </c>
      <c r="F140" s="25">
        <f>Namwera!D140</f>
        <v>5</v>
      </c>
      <c r="G140" s="25">
        <f>Nkhudzi!F140</f>
        <v>0</v>
      </c>
      <c r="H140" s="31">
        <f>D140</f>
        <v>420</v>
      </c>
    </row>
    <row r="141" spans="1:8" x14ac:dyDescent="0.3">
      <c r="A141" s="256"/>
      <c r="B141" s="23" t="s">
        <v>84</v>
      </c>
      <c r="C141" s="11" t="s">
        <v>3</v>
      </c>
      <c r="D141" s="25">
        <f>Mangochi!D141+Mangochi!E141+Mangochi!F141</f>
        <v>277</v>
      </c>
      <c r="E141" s="25">
        <f>'Monkey Bay'!D141+'Monkey Bay'!E141+'Monkey Bay'!F141</f>
        <v>22</v>
      </c>
      <c r="F141" s="25">
        <f>Namwera!D141+Namwera!E141+Namwera!F141</f>
        <v>7</v>
      </c>
      <c r="G141" s="25">
        <f>Nkhudzi!D141+Nkhudzi!E141+Nkhudzi!F141</f>
        <v>9</v>
      </c>
      <c r="H141" s="54">
        <f>SUM(D141:F141)</f>
        <v>306</v>
      </c>
    </row>
    <row r="142" spans="1:8" x14ac:dyDescent="0.3">
      <c r="A142" s="256"/>
      <c r="B142" s="23" t="s">
        <v>83</v>
      </c>
      <c r="C142" s="11" t="s">
        <v>3</v>
      </c>
      <c r="D142" s="25">
        <f>Mangochi!D142+Mangochi!E142+Mangochi!F142</f>
        <v>0</v>
      </c>
      <c r="E142" s="25">
        <f>'Monkey Bay'!D142+'Monkey Bay'!E142+'Monkey Bay'!F142</f>
        <v>0</v>
      </c>
      <c r="F142" s="25">
        <f>Namwera!D142+Namwera!E142+Namwera!F142</f>
        <v>11</v>
      </c>
      <c r="G142" s="25">
        <f>Nkhudzi!D142+Nkhudzi!E142+Nkhudzi!F142</f>
        <v>6</v>
      </c>
      <c r="H142" s="54">
        <f>SUM(D142:F142)</f>
        <v>11</v>
      </c>
    </row>
    <row r="143" spans="1:8" x14ac:dyDescent="0.3">
      <c r="A143" s="256"/>
      <c r="B143" s="23" t="s">
        <v>82</v>
      </c>
      <c r="C143" s="11" t="s">
        <v>3</v>
      </c>
      <c r="D143" s="25">
        <f>Mangochi!D143+Mangochi!E143+Mangochi!F143</f>
        <v>59</v>
      </c>
      <c r="E143" s="25">
        <f>'Monkey Bay'!D143+'Monkey Bay'!E143+'Monkey Bay'!F143</f>
        <v>0</v>
      </c>
      <c r="F143" s="25">
        <f>Namwera!D143+Namwera!E143+Namwera!F143</f>
        <v>0</v>
      </c>
      <c r="G143" s="25">
        <f>Nkhudzi!D143+Nkhudzi!E143+Nkhudzi!F143</f>
        <v>12</v>
      </c>
      <c r="H143" s="54">
        <f>SUM(D143:F143)</f>
        <v>59</v>
      </c>
    </row>
    <row r="144" spans="1:8" x14ac:dyDescent="0.3">
      <c r="A144" s="223"/>
      <c r="B144" s="23" t="s">
        <v>81</v>
      </c>
      <c r="C144" s="11" t="s">
        <v>3</v>
      </c>
      <c r="D144" s="129">
        <f t="shared" ref="D144:G144" si="58">D140+D141-D142-D143</f>
        <v>638</v>
      </c>
      <c r="E144" s="129">
        <f t="shared" si="58"/>
        <v>30</v>
      </c>
      <c r="F144" s="129">
        <f t="shared" si="58"/>
        <v>1</v>
      </c>
      <c r="G144" s="130">
        <f t="shared" si="58"/>
        <v>-9</v>
      </c>
      <c r="H144" s="31">
        <f>H140+H141-H142-H143</f>
        <v>656</v>
      </c>
    </row>
    <row r="145" spans="1:8" s="2" customFormat="1" x14ac:dyDescent="0.3">
      <c r="A145" s="222" t="s">
        <v>86</v>
      </c>
      <c r="B145" s="23" t="s">
        <v>85</v>
      </c>
      <c r="C145" s="11" t="s">
        <v>3</v>
      </c>
      <c r="D145" s="130">
        <f>D125+D130+D135+D140</f>
        <v>421</v>
      </c>
      <c r="E145" s="130">
        <f t="shared" ref="E145:H149" si="59">E125+E130+E135+E140</f>
        <v>8</v>
      </c>
      <c r="F145" s="130">
        <f t="shared" si="59"/>
        <v>5</v>
      </c>
      <c r="G145" s="128">
        <f t="shared" si="59"/>
        <v>0</v>
      </c>
      <c r="H145" s="54">
        <f t="shared" si="59"/>
        <v>421</v>
      </c>
    </row>
    <row r="146" spans="1:8" x14ac:dyDescent="0.3">
      <c r="A146" s="256"/>
      <c r="B146" s="23" t="s">
        <v>84</v>
      </c>
      <c r="C146" s="11" t="s">
        <v>3</v>
      </c>
      <c r="D146" s="130">
        <f t="shared" ref="D146:F148" si="60">D126+D131+D136+D141</f>
        <v>277</v>
      </c>
      <c r="E146" s="130">
        <f t="shared" si="60"/>
        <v>22</v>
      </c>
      <c r="F146" s="130">
        <f t="shared" si="60"/>
        <v>7</v>
      </c>
      <c r="G146" s="128">
        <f t="shared" si="59"/>
        <v>9</v>
      </c>
      <c r="H146" s="54">
        <f t="shared" si="59"/>
        <v>306</v>
      </c>
    </row>
    <row r="147" spans="1:8" x14ac:dyDescent="0.3">
      <c r="A147" s="256"/>
      <c r="B147" s="23" t="s">
        <v>83</v>
      </c>
      <c r="C147" s="11" t="s">
        <v>3</v>
      </c>
      <c r="D147" s="130">
        <f t="shared" si="60"/>
        <v>0</v>
      </c>
      <c r="E147" s="130">
        <f t="shared" si="60"/>
        <v>0</v>
      </c>
      <c r="F147" s="130">
        <f t="shared" si="60"/>
        <v>11</v>
      </c>
      <c r="G147" s="128">
        <f t="shared" si="59"/>
        <v>6</v>
      </c>
      <c r="H147" s="54">
        <f t="shared" si="59"/>
        <v>11</v>
      </c>
    </row>
    <row r="148" spans="1:8" x14ac:dyDescent="0.3">
      <c r="A148" s="256"/>
      <c r="B148" s="23" t="s">
        <v>82</v>
      </c>
      <c r="C148" s="11" t="s">
        <v>3</v>
      </c>
      <c r="D148" s="130">
        <f t="shared" si="60"/>
        <v>59</v>
      </c>
      <c r="E148" s="130">
        <f t="shared" si="60"/>
        <v>0</v>
      </c>
      <c r="F148" s="130">
        <f t="shared" si="60"/>
        <v>0</v>
      </c>
      <c r="G148" s="128">
        <f t="shared" si="59"/>
        <v>12</v>
      </c>
      <c r="H148" s="54">
        <f t="shared" si="59"/>
        <v>59</v>
      </c>
    </row>
    <row r="149" spans="1:8" x14ac:dyDescent="0.3">
      <c r="A149" s="223"/>
      <c r="B149" s="23" t="s">
        <v>81</v>
      </c>
      <c r="C149" s="11" t="s">
        <v>3</v>
      </c>
      <c r="D149" s="129">
        <f>D145+D146-D147-D148</f>
        <v>639</v>
      </c>
      <c r="E149" s="129">
        <f t="shared" ref="E149:G149" si="61">E145+E146-E147-E148</f>
        <v>30</v>
      </c>
      <c r="F149" s="129">
        <f t="shared" si="61"/>
        <v>1</v>
      </c>
      <c r="G149" s="130">
        <f t="shared" si="61"/>
        <v>-9</v>
      </c>
      <c r="H149" s="54">
        <f t="shared" si="59"/>
        <v>657</v>
      </c>
    </row>
    <row r="150" spans="1:8" x14ac:dyDescent="0.3">
      <c r="A150" s="257" t="s">
        <v>80</v>
      </c>
      <c r="B150" s="258"/>
      <c r="C150" s="258"/>
      <c r="D150" s="258"/>
      <c r="E150" s="258"/>
      <c r="F150" s="258"/>
      <c r="G150" s="258"/>
      <c r="H150" s="495"/>
    </row>
    <row r="151" spans="1:8" ht="15.6" customHeight="1" x14ac:dyDescent="0.3">
      <c r="A151" s="286" t="s">
        <v>79</v>
      </c>
      <c r="B151" s="287"/>
      <c r="C151" s="287"/>
      <c r="D151" s="287"/>
      <c r="E151" s="287"/>
      <c r="F151" s="287"/>
      <c r="G151" s="287"/>
      <c r="H151" s="504"/>
    </row>
    <row r="152" spans="1:8" x14ac:dyDescent="0.3">
      <c r="A152" s="267" t="s">
        <v>78</v>
      </c>
      <c r="B152" s="86" t="s">
        <v>63</v>
      </c>
      <c r="C152" s="11"/>
      <c r="D152" s="131"/>
      <c r="E152" s="131"/>
      <c r="F152" s="131"/>
      <c r="G152" s="172"/>
      <c r="H152" s="38"/>
    </row>
    <row r="153" spans="1:8" x14ac:dyDescent="0.3">
      <c r="A153" s="268"/>
      <c r="B153" s="19" t="s">
        <v>73</v>
      </c>
      <c r="C153" s="11" t="s">
        <v>57</v>
      </c>
      <c r="D153" s="131">
        <f>Mangochi!D153+Mangochi!E153+Mangochi!F153</f>
        <v>184</v>
      </c>
      <c r="E153" s="131">
        <f>'Monkey Bay'!D153+'Monkey Bay'!E153+'Monkey Bay'!F153</f>
        <v>9</v>
      </c>
      <c r="F153" s="131">
        <f>Namwera!D153+Namwera!E153+Namwera!F153</f>
        <v>42</v>
      </c>
      <c r="G153" s="25">
        <f>Nkhudzi!D153+Nkhudzi!E153+Nkhudzi!F153</f>
        <v>117</v>
      </c>
      <c r="H153" s="71">
        <f t="shared" ref="H153:H192" si="62">SUM(D153:G153)</f>
        <v>352</v>
      </c>
    </row>
    <row r="154" spans="1:8" x14ac:dyDescent="0.3">
      <c r="A154" s="268"/>
      <c r="B154" s="19" t="s">
        <v>72</v>
      </c>
      <c r="C154" s="11" t="s">
        <v>57</v>
      </c>
      <c r="D154" s="131">
        <f>Mangochi!D154+Mangochi!E154+Mangochi!F154</f>
        <v>103</v>
      </c>
      <c r="E154" s="131">
        <f>'Monkey Bay'!D154+'Monkey Bay'!E154+'Monkey Bay'!F154</f>
        <v>12</v>
      </c>
      <c r="F154" s="131">
        <f>Namwera!D154+Namwera!E154+Namwera!F154</f>
        <v>21</v>
      </c>
      <c r="G154" s="25">
        <f>Nkhudzi!D154+Nkhudzi!E154+Nkhudzi!F154</f>
        <v>53</v>
      </c>
      <c r="H154" s="71">
        <f t="shared" si="62"/>
        <v>189</v>
      </c>
    </row>
    <row r="155" spans="1:8" x14ac:dyDescent="0.3">
      <c r="A155" s="268"/>
      <c r="B155" s="19" t="s">
        <v>53</v>
      </c>
      <c r="C155" s="11" t="s">
        <v>57</v>
      </c>
      <c r="D155" s="131">
        <f>Mangochi!D155+Mangochi!E155+Mangochi!F155</f>
        <v>44</v>
      </c>
      <c r="E155" s="131">
        <f>'Monkey Bay'!D155+'Monkey Bay'!E155+'Monkey Bay'!F155</f>
        <v>2</v>
      </c>
      <c r="F155" s="131">
        <f>Namwera!D155+Namwera!E155+Namwera!F155</f>
        <v>8</v>
      </c>
      <c r="G155" s="25">
        <f>Nkhudzi!D155+Nkhudzi!E155+Nkhudzi!F155</f>
        <v>17</v>
      </c>
      <c r="H155" s="71">
        <f t="shared" si="62"/>
        <v>71</v>
      </c>
    </row>
    <row r="156" spans="1:8" x14ac:dyDescent="0.3">
      <c r="A156" s="268"/>
      <c r="B156" s="19" t="s">
        <v>71</v>
      </c>
      <c r="C156" s="11" t="s">
        <v>57</v>
      </c>
      <c r="D156" s="131">
        <f>Mangochi!D156+Mangochi!E156+Mangochi!F156</f>
        <v>27</v>
      </c>
      <c r="E156" s="131">
        <f>'Monkey Bay'!D156+'Monkey Bay'!E156+'Monkey Bay'!F156</f>
        <v>4</v>
      </c>
      <c r="F156" s="131">
        <f>Namwera!D156+Namwera!E156+Namwera!F156</f>
        <v>3</v>
      </c>
      <c r="G156" s="25">
        <f>Nkhudzi!D156+Nkhudzi!E156+Nkhudzi!F156</f>
        <v>9</v>
      </c>
      <c r="H156" s="71">
        <f t="shared" si="62"/>
        <v>43</v>
      </c>
    </row>
    <row r="157" spans="1:8" x14ac:dyDescent="0.3">
      <c r="A157" s="268"/>
      <c r="B157" s="19" t="s">
        <v>52</v>
      </c>
      <c r="C157" s="11" t="s">
        <v>57</v>
      </c>
      <c r="D157" s="131">
        <f>Mangochi!D157+Mangochi!E157+Mangochi!F157</f>
        <v>11</v>
      </c>
      <c r="E157" s="131">
        <f>'Monkey Bay'!D157+'Monkey Bay'!E157+'Monkey Bay'!F157</f>
        <v>8</v>
      </c>
      <c r="F157" s="131">
        <f>Namwera!D157+Namwera!E157+Namwera!F157</f>
        <v>1</v>
      </c>
      <c r="G157" s="25">
        <f>Nkhudzi!D157+Nkhudzi!E157+Nkhudzi!F157</f>
        <v>1</v>
      </c>
      <c r="H157" s="71">
        <f t="shared" si="62"/>
        <v>21</v>
      </c>
    </row>
    <row r="158" spans="1:8" x14ac:dyDescent="0.3">
      <c r="A158" s="268"/>
      <c r="B158" s="19" t="s">
        <v>51</v>
      </c>
      <c r="C158" s="11" t="s">
        <v>57</v>
      </c>
      <c r="D158" s="131">
        <f>Mangochi!D158+Mangochi!E158+Mangochi!F158</f>
        <v>9</v>
      </c>
      <c r="E158" s="131">
        <f>'Monkey Bay'!D158+'Monkey Bay'!E158+'Monkey Bay'!F158</f>
        <v>8</v>
      </c>
      <c r="F158" s="131">
        <f>Namwera!D158+Namwera!E158+Namwera!F158</f>
        <v>1</v>
      </c>
      <c r="G158" s="25">
        <f>Nkhudzi!D158+Nkhudzi!E158+Nkhudzi!F158</f>
        <v>5</v>
      </c>
      <c r="H158" s="71">
        <f t="shared" si="62"/>
        <v>23</v>
      </c>
    </row>
    <row r="159" spans="1:8" x14ac:dyDescent="0.3">
      <c r="A159" s="268"/>
      <c r="B159" s="19" t="s">
        <v>62</v>
      </c>
      <c r="C159" s="11" t="s">
        <v>57</v>
      </c>
      <c r="D159" s="131">
        <f>Mangochi!D159+Mangochi!E159+Mangochi!F159</f>
        <v>0</v>
      </c>
      <c r="E159" s="131">
        <f>'Monkey Bay'!D159+'Monkey Bay'!E159+'Monkey Bay'!F159</f>
        <v>0</v>
      </c>
      <c r="F159" s="131">
        <f>Namwera!D159+Namwera!E159+Namwera!F159</f>
        <v>0</v>
      </c>
      <c r="G159" s="25">
        <f>Nkhudzi!D159+Nkhudzi!E159+Nkhudzi!F159</f>
        <v>3</v>
      </c>
      <c r="H159" s="71">
        <f t="shared" si="62"/>
        <v>3</v>
      </c>
    </row>
    <row r="160" spans="1:8" x14ac:dyDescent="0.3">
      <c r="A160" s="268"/>
      <c r="B160" s="19" t="s">
        <v>50</v>
      </c>
      <c r="C160" s="11" t="s">
        <v>57</v>
      </c>
      <c r="D160" s="131">
        <f>Mangochi!D160+Mangochi!E160+Mangochi!F160</f>
        <v>4</v>
      </c>
      <c r="E160" s="131">
        <f>'Monkey Bay'!D160+'Monkey Bay'!E160+'Monkey Bay'!F160</f>
        <v>8</v>
      </c>
      <c r="F160" s="131">
        <f>Namwera!D160+Namwera!E160+Namwera!F160</f>
        <v>0</v>
      </c>
      <c r="G160" s="25">
        <f>Nkhudzi!D160+Nkhudzi!E160+Nkhudzi!F160</f>
        <v>2</v>
      </c>
      <c r="H160" s="71">
        <f t="shared" si="62"/>
        <v>14</v>
      </c>
    </row>
    <row r="161" spans="1:8" x14ac:dyDescent="0.3">
      <c r="A161" s="268"/>
      <c r="B161" s="19" t="s">
        <v>49</v>
      </c>
      <c r="C161" s="11" t="s">
        <v>57</v>
      </c>
      <c r="D161" s="131">
        <f>Mangochi!D161+Mangochi!E161+Mangochi!F161</f>
        <v>0</v>
      </c>
      <c r="E161" s="131">
        <f>'Monkey Bay'!D161+'Monkey Bay'!E161+'Monkey Bay'!F161</f>
        <v>0</v>
      </c>
      <c r="F161" s="131">
        <f>Namwera!D161+Namwera!E161+Namwera!F161</f>
        <v>3</v>
      </c>
      <c r="G161" s="25">
        <f>Nkhudzi!D161+Nkhudzi!E161+Nkhudzi!F161</f>
        <v>0</v>
      </c>
      <c r="H161" s="71">
        <f t="shared" si="62"/>
        <v>3</v>
      </c>
    </row>
    <row r="162" spans="1:8" x14ac:dyDescent="0.3">
      <c r="A162" s="268"/>
      <c r="B162" s="19" t="s">
        <v>77</v>
      </c>
      <c r="C162" s="11" t="s">
        <v>57</v>
      </c>
      <c r="D162" s="131">
        <f>Mangochi!D162+Mangochi!E162+Mangochi!F162</f>
        <v>3</v>
      </c>
      <c r="E162" s="131">
        <f>'Monkey Bay'!D162+'Monkey Bay'!E162+'Monkey Bay'!F162</f>
        <v>0</v>
      </c>
      <c r="F162" s="131">
        <f>Namwera!D162+Namwera!E162+Namwera!F162</f>
        <v>0</v>
      </c>
      <c r="G162" s="25">
        <f>Nkhudzi!D162+Nkhudzi!E162+Nkhudzi!F162</f>
        <v>1</v>
      </c>
      <c r="H162" s="71">
        <f t="shared" si="62"/>
        <v>4</v>
      </c>
    </row>
    <row r="163" spans="1:8" x14ac:dyDescent="0.3">
      <c r="A163" s="268"/>
      <c r="B163" s="19" t="s">
        <v>69</v>
      </c>
      <c r="C163" s="11" t="s">
        <v>57</v>
      </c>
      <c r="D163" s="131">
        <f>Mangochi!D163+Mangochi!E163+Mangochi!F163</f>
        <v>0</v>
      </c>
      <c r="E163" s="131">
        <f>'Monkey Bay'!D163+'Monkey Bay'!E163+'Monkey Bay'!F163</f>
        <v>0</v>
      </c>
      <c r="F163" s="131">
        <f>Namwera!D163+Namwera!E163+Namwera!F163</f>
        <v>0</v>
      </c>
      <c r="G163" s="25">
        <f>Nkhudzi!D163+Nkhudzi!E163+Nkhudzi!F163</f>
        <v>1</v>
      </c>
      <c r="H163" s="71">
        <f t="shared" si="62"/>
        <v>1</v>
      </c>
    </row>
    <row r="164" spans="1:8" x14ac:dyDescent="0.3">
      <c r="A164" s="268"/>
      <c r="B164" s="19" t="s">
        <v>68</v>
      </c>
      <c r="C164" s="11" t="s">
        <v>57</v>
      </c>
      <c r="D164" s="131">
        <f>Mangochi!D164+Mangochi!E164+Mangochi!F164</f>
        <v>0</v>
      </c>
      <c r="E164" s="131">
        <f>'Monkey Bay'!D164+'Monkey Bay'!E164+'Monkey Bay'!F164</f>
        <v>0</v>
      </c>
      <c r="F164" s="131">
        <f>Namwera!D164+Namwera!E164+Namwera!F164</f>
        <v>0</v>
      </c>
      <c r="G164" s="25">
        <f>Nkhudzi!D164+Nkhudzi!E164+Nkhudzi!F164</f>
        <v>1</v>
      </c>
      <c r="H164" s="71">
        <f t="shared" si="62"/>
        <v>1</v>
      </c>
    </row>
    <row r="165" spans="1:8" x14ac:dyDescent="0.3">
      <c r="A165" s="269"/>
      <c r="B165" s="19" t="s">
        <v>76</v>
      </c>
      <c r="C165" s="11" t="s">
        <v>57</v>
      </c>
      <c r="D165" s="131">
        <f>Mangochi!D165+Mangochi!E165+Mangochi!F165</f>
        <v>0</v>
      </c>
      <c r="E165" s="131">
        <f>'Monkey Bay'!D165+'Monkey Bay'!E165+'Monkey Bay'!F165</f>
        <v>0</v>
      </c>
      <c r="F165" s="131">
        <f>Namwera!D165+Namwera!E165+Namwera!F165</f>
        <v>0</v>
      </c>
      <c r="G165" s="25">
        <f>Nkhudzi!D165+Nkhudzi!E165+Nkhudzi!F165</f>
        <v>0</v>
      </c>
      <c r="H165" s="71">
        <f t="shared" si="62"/>
        <v>0</v>
      </c>
    </row>
    <row r="166" spans="1:8" x14ac:dyDescent="0.3">
      <c r="A166" s="267" t="s">
        <v>75</v>
      </c>
      <c r="B166" s="21" t="s">
        <v>63</v>
      </c>
      <c r="C166" s="11"/>
      <c r="D166" s="124"/>
      <c r="E166" s="124"/>
      <c r="F166" s="124"/>
      <c r="G166" s="4">
        <f>Nkhudzi!D166+Nkhudzi!E166+Nkhudzi!F166</f>
        <v>0</v>
      </c>
      <c r="H166" s="71">
        <f t="shared" si="62"/>
        <v>0</v>
      </c>
    </row>
    <row r="167" spans="1:8" x14ac:dyDescent="0.3">
      <c r="A167" s="268"/>
      <c r="B167" s="19" t="s">
        <v>74</v>
      </c>
      <c r="C167" s="11" t="s">
        <v>57</v>
      </c>
      <c r="D167" s="131">
        <f>Mangochi!D167+Mangochi!E167+Mangochi!F167</f>
        <v>7</v>
      </c>
      <c r="E167" s="131">
        <f>'Monkey Bay'!D167+'Monkey Bay'!E167+'Monkey Bay'!F167</f>
        <v>0</v>
      </c>
      <c r="F167" s="131">
        <f>Namwera!D167+Namwera!E167+Namwera!F167</f>
        <v>0</v>
      </c>
      <c r="G167" s="25">
        <f>Nkhudzi!D167+Nkhudzi!E167+Nkhudzi!F167</f>
        <v>0</v>
      </c>
      <c r="H167" s="71">
        <f t="shared" si="62"/>
        <v>7</v>
      </c>
    </row>
    <row r="168" spans="1:8" x14ac:dyDescent="0.3">
      <c r="A168" s="268"/>
      <c r="B168" s="19" t="s">
        <v>73</v>
      </c>
      <c r="C168" s="11" t="s">
        <v>57</v>
      </c>
      <c r="D168" s="131">
        <f>Mangochi!D168+Mangochi!E168+Mangochi!F168</f>
        <v>4</v>
      </c>
      <c r="E168" s="131">
        <f>'Monkey Bay'!D168+'Monkey Bay'!E168+'Monkey Bay'!F168</f>
        <v>0</v>
      </c>
      <c r="F168" s="131">
        <f>Namwera!D168+Namwera!E168+Namwera!F168</f>
        <v>0</v>
      </c>
      <c r="G168" s="25">
        <f>Nkhudzi!D168+Nkhudzi!E168+Nkhudzi!F168</f>
        <v>0</v>
      </c>
      <c r="H168" s="71">
        <f t="shared" si="62"/>
        <v>4</v>
      </c>
    </row>
    <row r="169" spans="1:8" x14ac:dyDescent="0.3">
      <c r="A169" s="268"/>
      <c r="B169" s="19" t="s">
        <v>72</v>
      </c>
      <c r="C169" s="11" t="s">
        <v>57</v>
      </c>
      <c r="D169" s="131">
        <f>Mangochi!D169+Mangochi!E169+Mangochi!F169</f>
        <v>0</v>
      </c>
      <c r="E169" s="131">
        <f>'Monkey Bay'!D169+'Monkey Bay'!E169+'Monkey Bay'!F169</f>
        <v>0</v>
      </c>
      <c r="F169" s="131">
        <f>Namwera!D169+Namwera!E169+Namwera!F169</f>
        <v>0</v>
      </c>
      <c r="G169" s="25">
        <f>Nkhudzi!D169+Nkhudzi!E169+Nkhudzi!F169</f>
        <v>0</v>
      </c>
      <c r="H169" s="71">
        <f t="shared" si="62"/>
        <v>0</v>
      </c>
    </row>
    <row r="170" spans="1:8" x14ac:dyDescent="0.3">
      <c r="A170" s="268"/>
      <c r="B170" s="19" t="s">
        <v>71</v>
      </c>
      <c r="C170" s="11" t="s">
        <v>57</v>
      </c>
      <c r="D170" s="131">
        <f>Mangochi!D170+Mangochi!E170+Mangochi!F170</f>
        <v>0</v>
      </c>
      <c r="E170" s="131">
        <f>'Monkey Bay'!D170+'Monkey Bay'!E170+'Monkey Bay'!F170</f>
        <v>0</v>
      </c>
      <c r="F170" s="131">
        <f>Namwera!D170+Namwera!E170+Namwera!F170</f>
        <v>0</v>
      </c>
      <c r="G170" s="25">
        <f>Nkhudzi!D170+Nkhudzi!E170+Nkhudzi!F170</f>
        <v>0</v>
      </c>
      <c r="H170" s="71">
        <f t="shared" si="62"/>
        <v>0</v>
      </c>
    </row>
    <row r="171" spans="1:8" x14ac:dyDescent="0.3">
      <c r="A171" s="268"/>
      <c r="B171" s="19" t="s">
        <v>52</v>
      </c>
      <c r="C171" s="11" t="s">
        <v>57</v>
      </c>
      <c r="D171" s="131">
        <f>Mangochi!D171+Mangochi!E171+Mangochi!F171</f>
        <v>0</v>
      </c>
      <c r="E171" s="131">
        <f>'Monkey Bay'!D171+'Monkey Bay'!E171+'Monkey Bay'!F171</f>
        <v>0</v>
      </c>
      <c r="F171" s="131">
        <f>Namwera!D171+Namwera!E171+Namwera!F171</f>
        <v>0</v>
      </c>
      <c r="G171" s="25">
        <f>Nkhudzi!D171+Nkhudzi!E171+Nkhudzi!F171</f>
        <v>0</v>
      </c>
      <c r="H171" s="71">
        <f t="shared" si="62"/>
        <v>0</v>
      </c>
    </row>
    <row r="172" spans="1:8" x14ac:dyDescent="0.3">
      <c r="A172" s="268"/>
      <c r="B172" s="19" t="s">
        <v>62</v>
      </c>
      <c r="C172" s="11" t="s">
        <v>57</v>
      </c>
      <c r="D172" s="131">
        <f>Mangochi!D172+Mangochi!E172+Mangochi!F172</f>
        <v>0</v>
      </c>
      <c r="E172" s="131">
        <f>'Monkey Bay'!D172+'Monkey Bay'!E172+'Monkey Bay'!F172</f>
        <v>0</v>
      </c>
      <c r="F172" s="131">
        <f>Namwera!D172+Namwera!E172+Namwera!F172</f>
        <v>0</v>
      </c>
      <c r="G172" s="25">
        <f>Nkhudzi!D172+Nkhudzi!E172+Nkhudzi!F172</f>
        <v>0</v>
      </c>
      <c r="H172" s="71">
        <f t="shared" si="62"/>
        <v>0</v>
      </c>
    </row>
    <row r="173" spans="1:8" x14ac:dyDescent="0.3">
      <c r="A173" s="268"/>
      <c r="B173" s="19" t="s">
        <v>61</v>
      </c>
      <c r="C173" s="11" t="s">
        <v>57</v>
      </c>
      <c r="D173" s="131">
        <f>Mangochi!D173+Mangochi!E173+Mangochi!F173</f>
        <v>0</v>
      </c>
      <c r="E173" s="131">
        <f>'Monkey Bay'!D173+'Monkey Bay'!E173+'Monkey Bay'!F173</f>
        <v>0</v>
      </c>
      <c r="F173" s="131">
        <f>Namwera!D173+Namwera!E173+Namwera!F173</f>
        <v>0</v>
      </c>
      <c r="G173" s="25">
        <f>Nkhudzi!D173+Nkhudzi!E173+Nkhudzi!F173</f>
        <v>0</v>
      </c>
      <c r="H173" s="71">
        <f t="shared" si="62"/>
        <v>0</v>
      </c>
    </row>
    <row r="174" spans="1:8" x14ac:dyDescent="0.3">
      <c r="A174" s="268"/>
      <c r="B174" s="19" t="s">
        <v>60</v>
      </c>
      <c r="C174" s="11" t="s">
        <v>57</v>
      </c>
      <c r="D174" s="131">
        <f>Mangochi!D174+Mangochi!E174+Mangochi!F174</f>
        <v>0</v>
      </c>
      <c r="E174" s="131">
        <f>'Monkey Bay'!D174+'Monkey Bay'!E174+'Monkey Bay'!F174</f>
        <v>0</v>
      </c>
      <c r="F174" s="131">
        <f>Namwera!D174+Namwera!E174+Namwera!F174</f>
        <v>0</v>
      </c>
      <c r="G174" s="25">
        <f>Nkhudzi!D174+Nkhudzi!E174+Nkhudzi!F174</f>
        <v>0</v>
      </c>
      <c r="H174" s="71">
        <f t="shared" si="62"/>
        <v>0</v>
      </c>
    </row>
    <row r="175" spans="1:8" x14ac:dyDescent="0.3">
      <c r="A175" s="269"/>
      <c r="B175" s="19" t="s">
        <v>69</v>
      </c>
      <c r="C175" s="11" t="s">
        <v>57</v>
      </c>
      <c r="D175" s="131">
        <f>Mangochi!D175+Mangochi!E175+Mangochi!F175</f>
        <v>0</v>
      </c>
      <c r="E175" s="131">
        <f>'Monkey Bay'!D175+'Monkey Bay'!E175+'Monkey Bay'!F175</f>
        <v>0</v>
      </c>
      <c r="F175" s="131">
        <f>Namwera!D175+Namwera!E175+Namwera!F175</f>
        <v>0</v>
      </c>
      <c r="G175" s="25">
        <f>Nkhudzi!D175+Nkhudzi!E175+Nkhudzi!F175</f>
        <v>0</v>
      </c>
      <c r="H175" s="71">
        <f t="shared" si="62"/>
        <v>0</v>
      </c>
    </row>
    <row r="176" spans="1:8" x14ac:dyDescent="0.3">
      <c r="A176" s="267" t="s">
        <v>70</v>
      </c>
      <c r="B176" s="21" t="s">
        <v>63</v>
      </c>
      <c r="C176" s="11"/>
      <c r="D176" s="124"/>
      <c r="E176" s="124"/>
      <c r="F176" s="124"/>
      <c r="G176" s="4">
        <f>Nkhudzi!D176+Nkhudzi!E176+Nkhudzi!F176</f>
        <v>0</v>
      </c>
      <c r="H176" s="71">
        <f t="shared" si="62"/>
        <v>0</v>
      </c>
    </row>
    <row r="177" spans="1:8" x14ac:dyDescent="0.3">
      <c r="A177" s="268"/>
      <c r="B177" s="19" t="s">
        <v>60</v>
      </c>
      <c r="C177" s="11" t="s">
        <v>57</v>
      </c>
      <c r="D177" s="131">
        <f>Mangochi!D177+Mangochi!E177+Mangochi!F177</f>
        <v>0</v>
      </c>
      <c r="E177" s="131">
        <f>'Monkey Bay'!D177+'Monkey Bay'!E177+'Monkey Bay'!F177</f>
        <v>0</v>
      </c>
      <c r="F177" s="131">
        <f>Namwera!D177+Namwera!E177+Namwera!F177</f>
        <v>0</v>
      </c>
      <c r="G177" s="25">
        <f>Nkhudzi!D177+Nkhudzi!E177+Nkhudzi!F177</f>
        <v>0</v>
      </c>
      <c r="H177" s="71">
        <f t="shared" si="62"/>
        <v>0</v>
      </c>
    </row>
    <row r="178" spans="1:8" x14ac:dyDescent="0.3">
      <c r="A178" s="268"/>
      <c r="B178" s="19" t="s">
        <v>69</v>
      </c>
      <c r="C178" s="11" t="s">
        <v>57</v>
      </c>
      <c r="D178" s="131">
        <f>Mangochi!D178+Mangochi!E178+Mangochi!F178</f>
        <v>0</v>
      </c>
      <c r="E178" s="131">
        <f>'Monkey Bay'!D178+'Monkey Bay'!E178+'Monkey Bay'!F178</f>
        <v>0</v>
      </c>
      <c r="F178" s="131">
        <f>Namwera!D178+Namwera!E178+Namwera!F178</f>
        <v>0</v>
      </c>
      <c r="G178" s="25">
        <f>Nkhudzi!D178+Nkhudzi!E178+Nkhudzi!F178</f>
        <v>0</v>
      </c>
      <c r="H178" s="71">
        <f t="shared" si="62"/>
        <v>0</v>
      </c>
    </row>
    <row r="179" spans="1:8" x14ac:dyDescent="0.3">
      <c r="A179" s="268"/>
      <c r="B179" s="19" t="s">
        <v>68</v>
      </c>
      <c r="C179" s="11" t="s">
        <v>57</v>
      </c>
      <c r="D179" s="131">
        <f>Mangochi!D179+Mangochi!E179+Mangochi!F179</f>
        <v>0</v>
      </c>
      <c r="E179" s="131">
        <f>'Monkey Bay'!D179+'Monkey Bay'!E179+'Monkey Bay'!F179</f>
        <v>0</v>
      </c>
      <c r="F179" s="131">
        <f>Namwera!D179+Namwera!E179+Namwera!F179</f>
        <v>0</v>
      </c>
      <c r="G179" s="25">
        <f>Nkhudzi!D179+Nkhudzi!E179+Nkhudzi!F179</f>
        <v>0</v>
      </c>
      <c r="H179" s="71">
        <f t="shared" si="62"/>
        <v>0</v>
      </c>
    </row>
    <row r="180" spans="1:8" x14ac:dyDescent="0.3">
      <c r="A180" s="268"/>
      <c r="B180" s="19" t="s">
        <v>67</v>
      </c>
      <c r="C180" s="11" t="s">
        <v>57</v>
      </c>
      <c r="D180" s="131">
        <f>Mangochi!D180+Mangochi!E180+Mangochi!F180</f>
        <v>0</v>
      </c>
      <c r="E180" s="131">
        <f>'Monkey Bay'!D180+'Monkey Bay'!E180+'Monkey Bay'!F180</f>
        <v>0</v>
      </c>
      <c r="F180" s="131">
        <f>Namwera!D180+Namwera!E180+Namwera!F180</f>
        <v>0</v>
      </c>
      <c r="G180" s="25">
        <f>Nkhudzi!D180+Nkhudzi!E180+Nkhudzi!F180</f>
        <v>0</v>
      </c>
      <c r="H180" s="71">
        <f t="shared" si="62"/>
        <v>0</v>
      </c>
    </row>
    <row r="181" spans="1:8" x14ac:dyDescent="0.3">
      <c r="A181" s="268"/>
      <c r="B181" s="19" t="s">
        <v>66</v>
      </c>
      <c r="C181" s="11" t="s">
        <v>57</v>
      </c>
      <c r="D181" s="131">
        <f>Mangochi!D181+Mangochi!E181+Mangochi!F181</f>
        <v>0</v>
      </c>
      <c r="E181" s="131">
        <f>'Monkey Bay'!D181+'Monkey Bay'!E181+'Monkey Bay'!F181</f>
        <v>0</v>
      </c>
      <c r="F181" s="131">
        <f>Namwera!D181+Namwera!E181+Namwera!F181</f>
        <v>0</v>
      </c>
      <c r="G181" s="25">
        <f>Nkhudzi!D181+Nkhudzi!E181+Nkhudzi!F181</f>
        <v>0</v>
      </c>
      <c r="H181" s="71">
        <f t="shared" si="62"/>
        <v>0</v>
      </c>
    </row>
    <row r="182" spans="1:8" x14ac:dyDescent="0.3">
      <c r="A182" s="269"/>
      <c r="B182" s="19" t="s">
        <v>65</v>
      </c>
      <c r="C182" s="11" t="s">
        <v>57</v>
      </c>
      <c r="D182" s="131">
        <f>Mangochi!D182+Mangochi!E182+Mangochi!F182</f>
        <v>0</v>
      </c>
      <c r="E182" s="131">
        <f>'Monkey Bay'!D182+'Monkey Bay'!E182+'Monkey Bay'!F182</f>
        <v>0</v>
      </c>
      <c r="F182" s="131">
        <f>Namwera!D182+Namwera!E182+Namwera!F182</f>
        <v>0</v>
      </c>
      <c r="G182" s="25">
        <f>Nkhudzi!D182+Nkhudzi!E182+Nkhudzi!F182</f>
        <v>0</v>
      </c>
      <c r="H182" s="71">
        <f t="shared" si="62"/>
        <v>0</v>
      </c>
    </row>
    <row r="183" spans="1:8" x14ac:dyDescent="0.3">
      <c r="A183" s="267" t="s">
        <v>211</v>
      </c>
      <c r="B183" s="21" t="s">
        <v>63</v>
      </c>
      <c r="C183" s="11"/>
      <c r="D183" s="124"/>
      <c r="E183" s="124"/>
      <c r="F183" s="124"/>
      <c r="G183" s="4">
        <f>Nkhudzi!D183+Nkhudzi!E183+Nkhudzi!F183</f>
        <v>0</v>
      </c>
      <c r="H183" s="71">
        <f t="shared" si="62"/>
        <v>0</v>
      </c>
    </row>
    <row r="184" spans="1:8" x14ac:dyDescent="0.3">
      <c r="A184" s="268"/>
      <c r="B184" s="19" t="s">
        <v>73</v>
      </c>
      <c r="C184" s="11" t="s">
        <v>57</v>
      </c>
      <c r="D184" s="131">
        <f>Mangochi!D184+Mangochi!E184+Mangochi!F184</f>
        <v>0</v>
      </c>
      <c r="E184" s="131">
        <f>Mangochi!E184+Mangochi!F184+Mangochi!G184</f>
        <v>0</v>
      </c>
      <c r="F184" s="131">
        <f>Mangochi!F184+Mangochi!G184+Mangochi!H184</f>
        <v>0</v>
      </c>
      <c r="G184" s="25">
        <f>Nkhudzi!D184+Nkhudzi!E184+Nkhudzi!F184</f>
        <v>0</v>
      </c>
      <c r="H184" s="71">
        <f t="shared" si="62"/>
        <v>0</v>
      </c>
    </row>
    <row r="185" spans="1:8" x14ac:dyDescent="0.3">
      <c r="A185" s="268"/>
      <c r="B185" s="19" t="s">
        <v>72</v>
      </c>
      <c r="C185" s="11" t="s">
        <v>57</v>
      </c>
      <c r="D185" s="131">
        <f>Mangochi!D185+Mangochi!E185+Mangochi!F185</f>
        <v>0</v>
      </c>
      <c r="E185" s="131">
        <f>Mangochi!E185+Mangochi!F185+Mangochi!G185</f>
        <v>0</v>
      </c>
      <c r="F185" s="131">
        <f>Mangochi!F185+Mangochi!G185+Mangochi!H185</f>
        <v>0</v>
      </c>
      <c r="G185" s="25">
        <f>Nkhudzi!D185+Nkhudzi!E185+Nkhudzi!F185</f>
        <v>0</v>
      </c>
      <c r="H185" s="71">
        <f t="shared" si="62"/>
        <v>0</v>
      </c>
    </row>
    <row r="186" spans="1:8" x14ac:dyDescent="0.3">
      <c r="A186" s="268"/>
      <c r="B186" s="19" t="s">
        <v>53</v>
      </c>
      <c r="C186" s="11" t="s">
        <v>57</v>
      </c>
      <c r="D186" s="131">
        <f>Mangochi!D186+Mangochi!E186+Mangochi!F186</f>
        <v>0</v>
      </c>
      <c r="E186" s="131">
        <f>Mangochi!E186+Mangochi!F186+Mangochi!G186</f>
        <v>0</v>
      </c>
      <c r="F186" s="131">
        <f>Mangochi!F186+Mangochi!G186+Mangochi!H186</f>
        <v>0</v>
      </c>
      <c r="G186" s="25">
        <f>Nkhudzi!D186+Nkhudzi!E186+Nkhudzi!F186</f>
        <v>0</v>
      </c>
      <c r="H186" s="71">
        <f t="shared" si="62"/>
        <v>0</v>
      </c>
    </row>
    <row r="187" spans="1:8" x14ac:dyDescent="0.3">
      <c r="A187" s="269"/>
      <c r="B187" s="19" t="s">
        <v>52</v>
      </c>
      <c r="C187" s="11" t="s">
        <v>57</v>
      </c>
      <c r="D187" s="131">
        <f>Mangochi!D187+Mangochi!E187+Mangochi!F187</f>
        <v>0</v>
      </c>
      <c r="E187" s="131">
        <f>Mangochi!E187+Mangochi!F187+Mangochi!G187</f>
        <v>0</v>
      </c>
      <c r="F187" s="131">
        <f>Mangochi!F187+Mangochi!G187+Mangochi!H187</f>
        <v>0</v>
      </c>
      <c r="G187" s="25">
        <f>Nkhudzi!D187+Nkhudzi!E187+Nkhudzi!F187</f>
        <v>0</v>
      </c>
      <c r="H187" s="71">
        <f t="shared" si="62"/>
        <v>0</v>
      </c>
    </row>
    <row r="188" spans="1:8" x14ac:dyDescent="0.3">
      <c r="A188" s="267" t="s">
        <v>64</v>
      </c>
      <c r="B188" s="21" t="s">
        <v>63</v>
      </c>
      <c r="C188" s="11"/>
      <c r="D188" s="124"/>
      <c r="E188" s="124"/>
      <c r="F188" s="124"/>
      <c r="G188" s="4">
        <f>Nkhudzi!D188+Nkhudzi!E188+Nkhudzi!F188</f>
        <v>0</v>
      </c>
      <c r="H188" s="71">
        <f t="shared" si="62"/>
        <v>0</v>
      </c>
    </row>
    <row r="189" spans="1:8" x14ac:dyDescent="0.3">
      <c r="A189" s="268"/>
      <c r="B189" s="20" t="s">
        <v>52</v>
      </c>
      <c r="C189" s="11" t="s">
        <v>57</v>
      </c>
      <c r="D189" s="131">
        <f>Mangochi!D189+Mangochi!E189+Mangochi!F189</f>
        <v>0</v>
      </c>
      <c r="E189" s="131">
        <f>'Monkey Bay'!D189+'Monkey Bay'!E189+'Monkey Bay'!F189</f>
        <v>0</v>
      </c>
      <c r="F189" s="131">
        <f>Namwera!D189+Namwera!E189+Namwera!F189</f>
        <v>0</v>
      </c>
      <c r="G189" s="25">
        <f>Nkhudzi!D189+Nkhudzi!E189+Nkhudzi!F189</f>
        <v>0</v>
      </c>
      <c r="H189" s="71">
        <f t="shared" si="62"/>
        <v>0</v>
      </c>
    </row>
    <row r="190" spans="1:8" x14ac:dyDescent="0.3">
      <c r="A190" s="268"/>
      <c r="B190" s="19" t="s">
        <v>62</v>
      </c>
      <c r="C190" s="11" t="s">
        <v>57</v>
      </c>
      <c r="D190" s="131">
        <f>Mangochi!D190+Mangochi!E190+Mangochi!F190</f>
        <v>0</v>
      </c>
      <c r="E190" s="131">
        <f>'Monkey Bay'!D190+'Monkey Bay'!E190+'Monkey Bay'!F190</f>
        <v>0</v>
      </c>
      <c r="F190" s="131">
        <f>Namwera!D190+Namwera!E190+Namwera!F190</f>
        <v>0</v>
      </c>
      <c r="G190" s="25">
        <f>Nkhudzi!D190+Nkhudzi!E190+Nkhudzi!F190</f>
        <v>0</v>
      </c>
      <c r="H190" s="71">
        <f t="shared" si="62"/>
        <v>0</v>
      </c>
    </row>
    <row r="191" spans="1:8" x14ac:dyDescent="0.3">
      <c r="A191" s="268"/>
      <c r="B191" s="19" t="s">
        <v>61</v>
      </c>
      <c r="C191" s="11" t="s">
        <v>57</v>
      </c>
      <c r="D191" s="131">
        <f>Mangochi!D191+Mangochi!E191+Mangochi!F191</f>
        <v>0</v>
      </c>
      <c r="E191" s="131">
        <f>'Monkey Bay'!D191+'Monkey Bay'!E191+'Monkey Bay'!F191</f>
        <v>0</v>
      </c>
      <c r="F191" s="131">
        <f>Namwera!D191+Namwera!E191+Namwera!F191</f>
        <v>0</v>
      </c>
      <c r="G191" s="25">
        <f>Nkhudzi!D191+Nkhudzi!E191+Nkhudzi!F191</f>
        <v>0</v>
      </c>
      <c r="H191" s="71">
        <f t="shared" si="62"/>
        <v>0</v>
      </c>
    </row>
    <row r="192" spans="1:8" x14ac:dyDescent="0.3">
      <c r="A192" s="269"/>
      <c r="B192" s="19" t="s">
        <v>60</v>
      </c>
      <c r="C192" s="11" t="s">
        <v>57</v>
      </c>
      <c r="D192" s="131">
        <f>Mangochi!D192+Mangochi!E192+Mangochi!F192</f>
        <v>2</v>
      </c>
      <c r="E192" s="131">
        <f>'Monkey Bay'!D192+'Monkey Bay'!E192+'Monkey Bay'!F192</f>
        <v>0</v>
      </c>
      <c r="F192" s="131">
        <f>Namwera!D192+Namwera!E192+Namwera!F192</f>
        <v>0</v>
      </c>
      <c r="G192" s="25">
        <f>Nkhudzi!D192+Nkhudzi!E192+Nkhudzi!F192</f>
        <v>0</v>
      </c>
      <c r="H192" s="71">
        <f t="shared" si="62"/>
        <v>2</v>
      </c>
    </row>
    <row r="193" spans="1:8" x14ac:dyDescent="0.3">
      <c r="A193" s="288" t="s">
        <v>59</v>
      </c>
      <c r="B193" s="289"/>
      <c r="C193" s="11"/>
      <c r="D193" s="130">
        <f>SUM(D153:D192)</f>
        <v>398</v>
      </c>
      <c r="E193" s="130">
        <f t="shared" ref="E193:H193" si="63">SUM(E153:E192)</f>
        <v>51</v>
      </c>
      <c r="F193" s="130">
        <f t="shared" si="63"/>
        <v>79</v>
      </c>
      <c r="G193" s="10">
        <f t="shared" si="63"/>
        <v>210</v>
      </c>
      <c r="H193" s="54">
        <f t="shared" si="63"/>
        <v>738</v>
      </c>
    </row>
    <row r="194" spans="1:8" x14ac:dyDescent="0.3">
      <c r="A194" s="262" t="s">
        <v>58</v>
      </c>
      <c r="B194" s="263"/>
      <c r="C194" s="11" t="s">
        <v>57</v>
      </c>
      <c r="D194" s="131">
        <f>Mangochi!D194+Mangochi!E194+Mangochi!F194</f>
        <v>14</v>
      </c>
      <c r="E194" s="131">
        <f>'Monkey Bay'!D194+'Monkey Bay'!E194+'Monkey Bay'!F194</f>
        <v>12</v>
      </c>
      <c r="F194" s="131">
        <f>Namwera!D194+Namwera!E194+Namwera!F194</f>
        <v>4</v>
      </c>
      <c r="G194" s="25">
        <f>Nkhudzi!D194+Nkhudzi!E194+Nkhudzi!F194</f>
        <v>16</v>
      </c>
      <c r="H194" s="152">
        <f t="shared" ref="H194:H195" si="64">SUM(D194:G194)</f>
        <v>46</v>
      </c>
    </row>
    <row r="195" spans="1:8" x14ac:dyDescent="0.3">
      <c r="A195" s="264"/>
      <c r="B195" s="265"/>
      <c r="C195" s="16" t="s">
        <v>55</v>
      </c>
      <c r="D195" s="131">
        <f>Mangochi!D195+Mangochi!E195+Mangochi!F195</f>
        <v>1310.5</v>
      </c>
      <c r="E195" s="131">
        <f>'Monkey Bay'!D195+'Monkey Bay'!E195+'Monkey Bay'!F195</f>
        <v>1192</v>
      </c>
      <c r="F195" s="131">
        <f>Namwera!D195+Namwera!E195+Namwera!F195</f>
        <v>1152</v>
      </c>
      <c r="G195" s="25">
        <f>Nkhudzi!D195+Nkhudzi!E195+Nkhudzi!F195</f>
        <v>435</v>
      </c>
      <c r="H195" s="152">
        <f t="shared" si="64"/>
        <v>4089.5</v>
      </c>
    </row>
    <row r="196" spans="1:8" x14ac:dyDescent="0.3">
      <c r="A196" s="207" t="s">
        <v>204</v>
      </c>
      <c r="B196" s="208"/>
      <c r="C196" s="16" t="s">
        <v>55</v>
      </c>
      <c r="D196" s="131">
        <f>Mangochi!F196</f>
        <v>0</v>
      </c>
      <c r="E196" s="131">
        <f>'Monkey Bay'!F196</f>
        <v>0</v>
      </c>
      <c r="F196" s="131">
        <f>Namwera!F196</f>
        <v>0</v>
      </c>
      <c r="G196" s="25">
        <f>Nkhudzi!D196+Nkhudzi!E196+Nkhudzi!F196</f>
        <v>48</v>
      </c>
      <c r="H196" s="152"/>
    </row>
    <row r="197" spans="1:8" x14ac:dyDescent="0.3">
      <c r="A197" s="212" t="s">
        <v>56</v>
      </c>
      <c r="B197" s="213"/>
      <c r="C197" s="16" t="s">
        <v>55</v>
      </c>
      <c r="D197" s="153">
        <f>Mangochi!D197+Mangochi!E197+Mangochi!F197</f>
        <v>75</v>
      </c>
      <c r="E197" s="153">
        <f>'Monkey Bay'!D197+'Monkey Bay'!E197+'Monkey Bay'!F197</f>
        <v>276</v>
      </c>
      <c r="F197" s="153">
        <f>Namwera!D197+Namwera!E197+Namwera!F197</f>
        <v>312</v>
      </c>
      <c r="G197" s="25">
        <f>Nkhudzi!D197+Nkhudzi!E197+Nkhudzi!F197</f>
        <v>132</v>
      </c>
      <c r="H197" s="152">
        <f t="shared" ref="H197" si="65">SUM(D197:G197)</f>
        <v>795</v>
      </c>
    </row>
    <row r="198" spans="1:8" x14ac:dyDescent="0.3">
      <c r="A198" s="257" t="s">
        <v>205</v>
      </c>
      <c r="B198" s="258"/>
      <c r="C198" s="258"/>
      <c r="D198" s="258"/>
      <c r="E198" s="258"/>
      <c r="F198" s="258"/>
      <c r="G198" s="258"/>
      <c r="H198" s="495"/>
    </row>
    <row r="199" spans="1:8" x14ac:dyDescent="0.3">
      <c r="A199" s="262" t="s">
        <v>54</v>
      </c>
      <c r="B199" s="199" t="s">
        <v>53</v>
      </c>
      <c r="C199" s="11" t="s">
        <v>47</v>
      </c>
      <c r="D199" s="131">
        <f>Mangochi!D199+Mangochi!E199+Mangochi!F199</f>
        <v>0</v>
      </c>
      <c r="E199" s="131">
        <f>'Monkey Bay'!D199+'Monkey Bay'!E199+'Monkey Bay'!F199</f>
        <v>0</v>
      </c>
      <c r="F199" s="131">
        <f>Namwera!D199+Namwera!E199+Namwera!F199</f>
        <v>0</v>
      </c>
      <c r="G199" s="25">
        <f>Nkhudzi!D199+Nkhudzi!E199+Nkhudzi!F199</f>
        <v>0</v>
      </c>
      <c r="H199" s="38">
        <f t="shared" ref="H199:H203" si="66">SUM(D199:G199)</f>
        <v>0</v>
      </c>
    </row>
    <row r="200" spans="1:8" x14ac:dyDescent="0.3">
      <c r="A200" s="266"/>
      <c r="B200" s="199" t="s">
        <v>52</v>
      </c>
      <c r="C200" s="11" t="s">
        <v>47</v>
      </c>
      <c r="D200" s="131">
        <f>Mangochi!D200+Mangochi!E200+Mangochi!F200</f>
        <v>0</v>
      </c>
      <c r="E200" s="131">
        <f>'Monkey Bay'!D200+'Monkey Bay'!E200+'Monkey Bay'!F200</f>
        <v>0</v>
      </c>
      <c r="F200" s="131">
        <f>Namwera!D200+Namwera!E200+Namwera!F200</f>
        <v>0</v>
      </c>
      <c r="G200" s="25">
        <f>Nkhudzi!D200+Nkhudzi!E200+Nkhudzi!F200</f>
        <v>0</v>
      </c>
      <c r="H200" s="38">
        <f t="shared" si="66"/>
        <v>0</v>
      </c>
    </row>
    <row r="201" spans="1:8" x14ac:dyDescent="0.3">
      <c r="A201" s="266"/>
      <c r="B201" s="199" t="s">
        <v>51</v>
      </c>
      <c r="C201" s="11" t="s">
        <v>47</v>
      </c>
      <c r="D201" s="131">
        <f>Mangochi!D201+Mangochi!E201+Mangochi!F201</f>
        <v>0</v>
      </c>
      <c r="E201" s="131">
        <f>'Monkey Bay'!D201+'Monkey Bay'!E201+'Monkey Bay'!F201</f>
        <v>0</v>
      </c>
      <c r="F201" s="131">
        <f>Namwera!D201+Namwera!E201+Namwera!F201</f>
        <v>0</v>
      </c>
      <c r="G201" s="25">
        <f>Nkhudzi!D201+Nkhudzi!E201+Nkhudzi!F201</f>
        <v>0</v>
      </c>
      <c r="H201" s="38">
        <f t="shared" si="66"/>
        <v>0</v>
      </c>
    </row>
    <row r="202" spans="1:8" x14ac:dyDescent="0.3">
      <c r="A202" s="266"/>
      <c r="B202" s="199" t="s">
        <v>50</v>
      </c>
      <c r="C202" s="11" t="s">
        <v>47</v>
      </c>
      <c r="D202" s="131">
        <f>Mangochi!D202+Mangochi!E202+Mangochi!F202</f>
        <v>0</v>
      </c>
      <c r="E202" s="131">
        <f>'Monkey Bay'!D202+'Monkey Bay'!E202+'Monkey Bay'!F202</f>
        <v>0</v>
      </c>
      <c r="F202" s="131">
        <f>Namwera!D202+Namwera!E202+Namwera!F202</f>
        <v>150</v>
      </c>
      <c r="G202" s="25">
        <f>Nkhudzi!D202+Nkhudzi!E202+Nkhudzi!F202</f>
        <v>0</v>
      </c>
      <c r="H202" s="38">
        <f t="shared" si="66"/>
        <v>150</v>
      </c>
    </row>
    <row r="203" spans="1:8" x14ac:dyDescent="0.3">
      <c r="A203" s="264"/>
      <c r="B203" s="199" t="s">
        <v>49</v>
      </c>
      <c r="C203" s="11" t="s">
        <v>47</v>
      </c>
      <c r="D203" s="131">
        <f>Mangochi!D203+Mangochi!E203+Mangochi!F203</f>
        <v>0</v>
      </c>
      <c r="E203" s="131">
        <f>'Monkey Bay'!D203+'Monkey Bay'!E203+'Monkey Bay'!F203</f>
        <v>0</v>
      </c>
      <c r="F203" s="131">
        <f>Namwera!D203+Namwera!E203+Namwera!F203</f>
        <v>0</v>
      </c>
      <c r="G203" s="25">
        <f>Nkhudzi!D203+Nkhudzi!E203+Nkhudzi!F203</f>
        <v>0</v>
      </c>
      <c r="H203" s="38">
        <f t="shared" si="66"/>
        <v>0</v>
      </c>
    </row>
    <row r="204" spans="1:8" x14ac:dyDescent="0.3">
      <c r="A204" s="80" t="s">
        <v>48</v>
      </c>
      <c r="B204" s="199"/>
      <c r="C204" s="11" t="s">
        <v>47</v>
      </c>
      <c r="D204" s="15">
        <f t="shared" ref="D204:F204" si="67">SUM(D199:D203)</f>
        <v>0</v>
      </c>
      <c r="E204" s="15">
        <f t="shared" si="67"/>
        <v>0</v>
      </c>
      <c r="F204" s="15">
        <f t="shared" si="67"/>
        <v>150</v>
      </c>
      <c r="G204" s="15">
        <f t="shared" ref="G204" si="68">SUM(G199:G203)</f>
        <v>0</v>
      </c>
      <c r="H204" s="105">
        <f t="shared" ref="H204" si="69">SUM(D204:F204)</f>
        <v>150</v>
      </c>
    </row>
    <row r="205" spans="1:8" s="2" customFormat="1" x14ac:dyDescent="0.3">
      <c r="A205" s="257" t="s">
        <v>46</v>
      </c>
      <c r="B205" s="258"/>
      <c r="C205" s="258"/>
      <c r="D205" s="258"/>
      <c r="E205" s="258"/>
      <c r="F205" s="258"/>
      <c r="G205" s="258"/>
      <c r="H205" s="495"/>
    </row>
    <row r="206" spans="1:8" x14ac:dyDescent="0.3">
      <c r="A206" s="212" t="s">
        <v>43</v>
      </c>
      <c r="B206" s="213"/>
      <c r="C206" s="11" t="s">
        <v>31</v>
      </c>
      <c r="D206" s="15">
        <f>Mangochi!D206+Mangochi!E206+Mangochi!F206</f>
        <v>138079353</v>
      </c>
      <c r="E206" s="15">
        <f>'Monkey Bay'!D206+'Monkey Bay'!E206+'Monkey Bay'!F206</f>
        <v>34392603</v>
      </c>
      <c r="F206" s="15">
        <f>Namwera!D206+Namwera!E206+Namwera!F206</f>
        <v>0</v>
      </c>
      <c r="G206" s="15">
        <f>Nkhudzi!D206+Nkhudzi!E206+Nkhudzi!F206</f>
        <v>0</v>
      </c>
      <c r="H206" s="38">
        <f t="shared" ref="H206:H209" si="70">SUM(D206:G206)</f>
        <v>172471956</v>
      </c>
    </row>
    <row r="207" spans="1:8" x14ac:dyDescent="0.3">
      <c r="A207" s="212" t="s">
        <v>42</v>
      </c>
      <c r="B207" s="213"/>
      <c r="C207" s="11" t="s">
        <v>31</v>
      </c>
      <c r="D207" s="15">
        <f>Mangochi!D207+Mangochi!E207+Mangochi!F207</f>
        <v>0</v>
      </c>
      <c r="E207" s="15">
        <f>'Monkey Bay'!D207+'Monkey Bay'!E207+'Monkey Bay'!F207</f>
        <v>0</v>
      </c>
      <c r="F207" s="15">
        <f>Namwera!D207+Namwera!E207+Namwera!F207</f>
        <v>0</v>
      </c>
      <c r="G207" s="15">
        <f>Nkhudzi!D207+Nkhudzi!E207+Nkhudzi!F207</f>
        <v>0</v>
      </c>
      <c r="H207" s="38">
        <f t="shared" si="70"/>
        <v>0</v>
      </c>
    </row>
    <row r="208" spans="1:8" x14ac:dyDescent="0.3">
      <c r="A208" s="218" t="s">
        <v>41</v>
      </c>
      <c r="B208" s="219"/>
      <c r="C208" s="11" t="s">
        <v>31</v>
      </c>
      <c r="D208" s="15">
        <f>Mangochi!D208+Mangochi!E208+Mangochi!F208</f>
        <v>644967.22</v>
      </c>
      <c r="E208" s="15">
        <f>'Monkey Bay'!D208+'Monkey Bay'!E208+'Monkey Bay'!F208</f>
        <v>0</v>
      </c>
      <c r="F208" s="15">
        <f>Namwera!D208+Namwera!E208+Namwera!F208</f>
        <v>0</v>
      </c>
      <c r="G208" s="15">
        <f>Nkhudzi!D208+Nkhudzi!E208+Nkhudzi!F208</f>
        <v>0</v>
      </c>
      <c r="H208" s="38">
        <f t="shared" si="70"/>
        <v>644967.22</v>
      </c>
    </row>
    <row r="209" spans="1:8" x14ac:dyDescent="0.3">
      <c r="A209" s="212" t="s">
        <v>40</v>
      </c>
      <c r="B209" s="213"/>
      <c r="C209" s="11" t="s">
        <v>31</v>
      </c>
      <c r="D209" s="15">
        <f>Mangochi!D209+Mangochi!E209+Mangochi!F209</f>
        <v>296984.44</v>
      </c>
      <c r="E209" s="15">
        <f>'Monkey Bay'!D209+'Monkey Bay'!E209+'Monkey Bay'!F209</f>
        <v>25000</v>
      </c>
      <c r="F209" s="15">
        <f>Namwera!D209+Namwera!E209+Namwera!F209</f>
        <v>0</v>
      </c>
      <c r="G209" s="15">
        <f>Nkhudzi!D209+Nkhudzi!E209+Nkhudzi!F209</f>
        <v>0</v>
      </c>
      <c r="H209" s="38">
        <f t="shared" si="70"/>
        <v>321984.44</v>
      </c>
    </row>
    <row r="210" spans="1:8" x14ac:dyDescent="0.3">
      <c r="A210" s="270" t="s">
        <v>45</v>
      </c>
      <c r="B210" s="271"/>
      <c r="C210" s="11" t="s">
        <v>31</v>
      </c>
      <c r="D210" s="10">
        <f t="shared" ref="D210:F210" si="71">SUM(D206:D209)</f>
        <v>139021304.66</v>
      </c>
      <c r="E210" s="10">
        <f t="shared" si="71"/>
        <v>34417603</v>
      </c>
      <c r="F210" s="10">
        <f t="shared" si="71"/>
        <v>0</v>
      </c>
      <c r="G210" s="10">
        <f t="shared" ref="G210" si="72">SUM(G206:G209)</f>
        <v>0</v>
      </c>
      <c r="H210" s="38">
        <f>SUM(D210:F210)</f>
        <v>173438907.66</v>
      </c>
    </row>
    <row r="211" spans="1:8" s="2" customFormat="1" x14ac:dyDescent="0.3">
      <c r="A211" s="257" t="s">
        <v>44</v>
      </c>
      <c r="B211" s="258"/>
      <c r="C211" s="258"/>
      <c r="D211" s="258"/>
      <c r="E211" s="258"/>
      <c r="F211" s="258"/>
      <c r="G211" s="258"/>
      <c r="H211" s="495"/>
    </row>
    <row r="212" spans="1:8" x14ac:dyDescent="0.3">
      <c r="A212" s="212" t="s">
        <v>43</v>
      </c>
      <c r="B212" s="213"/>
      <c r="C212" s="11" t="s">
        <v>31</v>
      </c>
      <c r="D212" s="15">
        <f>Mangochi!D212+Mangochi!E212+Mangochi!F212</f>
        <v>68172134</v>
      </c>
      <c r="E212" s="15">
        <f>'Monkey Bay'!D212+'Monkey Bay'!E212+'Monkey Bay'!F212</f>
        <v>22723262</v>
      </c>
      <c r="F212" s="15">
        <f>Namwera!D212+Namwera!E212+Namwera!F212</f>
        <v>10393423</v>
      </c>
      <c r="G212" s="15">
        <f>Nkhudzi!D212+Nkhudzi!E212+Nkhudzi!F212</f>
        <v>60993836</v>
      </c>
      <c r="H212" s="39">
        <f t="shared" ref="H212:H215" si="73">SUM(D212:G212)</f>
        <v>162282655</v>
      </c>
    </row>
    <row r="213" spans="1:8" x14ac:dyDescent="0.3">
      <c r="A213" s="212" t="s">
        <v>42</v>
      </c>
      <c r="B213" s="213"/>
      <c r="C213" s="11" t="s">
        <v>31</v>
      </c>
      <c r="D213" s="15">
        <f>Mangochi!D213+Mangochi!E213+Mangochi!F213</f>
        <v>1956780</v>
      </c>
      <c r="E213" s="15">
        <f>'Monkey Bay'!D213+'Monkey Bay'!E213+'Monkey Bay'!F213</f>
        <v>476930</v>
      </c>
      <c r="F213" s="15">
        <f>Namwera!D213+Namwera!E213+Namwera!F213</f>
        <v>0</v>
      </c>
      <c r="G213" s="15">
        <f>Nkhudzi!D213+Nkhudzi!E213+Nkhudzi!F213</f>
        <v>288800</v>
      </c>
      <c r="H213" s="39">
        <f t="shared" si="73"/>
        <v>2722510</v>
      </c>
    </row>
    <row r="214" spans="1:8" x14ac:dyDescent="0.3">
      <c r="A214" s="218" t="s">
        <v>41</v>
      </c>
      <c r="B214" s="219"/>
      <c r="C214" s="11" t="s">
        <v>31</v>
      </c>
      <c r="D214" s="15">
        <f>Mangochi!D214+Mangochi!E214+Mangochi!F214</f>
        <v>20453908</v>
      </c>
      <c r="E214" s="15">
        <f>'Monkey Bay'!D214+'Monkey Bay'!E214+'Monkey Bay'!F214</f>
        <v>5560835</v>
      </c>
      <c r="F214" s="15">
        <f>Namwera!D214+Namwera!E214+Namwera!F214</f>
        <v>131900</v>
      </c>
      <c r="G214" s="15">
        <f>Nkhudzi!D214+Nkhudzi!E214+Nkhudzi!F214</f>
        <v>10809220</v>
      </c>
      <c r="H214" s="39">
        <f t="shared" si="73"/>
        <v>36955863</v>
      </c>
    </row>
    <row r="215" spans="1:8" x14ac:dyDescent="0.3">
      <c r="A215" s="212" t="s">
        <v>40</v>
      </c>
      <c r="B215" s="213"/>
      <c r="C215" s="11" t="s">
        <v>31</v>
      </c>
      <c r="D215" s="15">
        <f>Mangochi!D215+Mangochi!E215+Mangochi!F215</f>
        <v>32996257</v>
      </c>
      <c r="E215" s="15">
        <f>'Monkey Bay'!D215+'Monkey Bay'!E215+'Monkey Bay'!F215</f>
        <v>13920250</v>
      </c>
      <c r="F215" s="15">
        <f>Namwera!D215+Namwera!E215+Namwera!F215</f>
        <v>2291200</v>
      </c>
      <c r="G215" s="15">
        <f>Nkhudzi!D215+Nkhudzi!E215+Nkhudzi!F215</f>
        <v>2943390</v>
      </c>
      <c r="H215" s="39">
        <f t="shared" si="73"/>
        <v>52151097</v>
      </c>
    </row>
    <row r="216" spans="1:8" x14ac:dyDescent="0.3">
      <c r="A216" s="270" t="s">
        <v>39</v>
      </c>
      <c r="B216" s="271"/>
      <c r="C216" s="11" t="s">
        <v>31</v>
      </c>
      <c r="D216" s="10">
        <f t="shared" ref="D216:F216" si="74">SUM(D212:D215)</f>
        <v>123579079</v>
      </c>
      <c r="E216" s="10">
        <f t="shared" si="74"/>
        <v>42681277</v>
      </c>
      <c r="F216" s="10">
        <f t="shared" si="74"/>
        <v>12816523</v>
      </c>
      <c r="G216" s="10">
        <f t="shared" ref="G216" si="75">SUM(G212:G215)</f>
        <v>75035246</v>
      </c>
      <c r="H216" s="39">
        <f>SUM(D216:F216)</f>
        <v>179076879</v>
      </c>
    </row>
    <row r="217" spans="1:8" s="2" customFormat="1" x14ac:dyDescent="0.3">
      <c r="A217" s="209" t="s">
        <v>38</v>
      </c>
      <c r="B217" s="210"/>
      <c r="C217" s="11" t="s">
        <v>31</v>
      </c>
      <c r="D217" s="10">
        <f>D210+D216</f>
        <v>262600383.66</v>
      </c>
      <c r="E217" s="10">
        <f t="shared" ref="E217:H217" si="76">E210+E216</f>
        <v>77098880</v>
      </c>
      <c r="F217" s="10">
        <f t="shared" si="76"/>
        <v>12816523</v>
      </c>
      <c r="G217" s="10">
        <f t="shared" si="76"/>
        <v>75035246</v>
      </c>
      <c r="H217" s="39">
        <f t="shared" si="76"/>
        <v>352515786.65999997</v>
      </c>
    </row>
    <row r="218" spans="1:8" s="2" customFormat="1" x14ac:dyDescent="0.3">
      <c r="A218" s="257" t="s">
        <v>37</v>
      </c>
      <c r="B218" s="258"/>
      <c r="C218" s="258"/>
      <c r="D218" s="258"/>
      <c r="E218" s="258"/>
      <c r="F218" s="258"/>
      <c r="G218" s="258"/>
      <c r="H218" s="495"/>
    </row>
    <row r="219" spans="1:8" x14ac:dyDescent="0.3">
      <c r="A219" s="212" t="s">
        <v>35</v>
      </c>
      <c r="B219" s="213"/>
      <c r="C219" s="11" t="s">
        <v>31</v>
      </c>
      <c r="D219" s="15">
        <f>Mangochi!D219+Mangochi!E219+Mangochi!F219</f>
        <v>103871615</v>
      </c>
      <c r="E219" s="15">
        <f>'Monkey Bay'!D219+'Monkey Bay'!E219+'Monkey Bay'!F219</f>
        <v>32803912</v>
      </c>
      <c r="F219" s="15">
        <f>Namwera!D219+Namwera!E219+Namwera!F219</f>
        <v>27149.520000000004</v>
      </c>
      <c r="G219" s="15">
        <f>Nkhudzi!D219+Nkhudzi!E219+Nkhudzi!F219</f>
        <v>213268.82</v>
      </c>
      <c r="H219" s="39">
        <f t="shared" ref="H219:H222" si="77">SUM(D219:G219)</f>
        <v>136915945.34</v>
      </c>
    </row>
    <row r="220" spans="1:8" x14ac:dyDescent="0.3">
      <c r="A220" s="212" t="s">
        <v>34</v>
      </c>
      <c r="B220" s="213"/>
      <c r="C220" s="11" t="s">
        <v>31</v>
      </c>
      <c r="D220" s="15">
        <f>Mangochi!D220+Mangochi!E220+Mangochi!F220</f>
        <v>0</v>
      </c>
      <c r="E220" s="15">
        <f>'Monkey Bay'!D220+'Monkey Bay'!E220+'Monkey Bay'!F220</f>
        <v>0</v>
      </c>
      <c r="F220" s="15">
        <f>Namwera!D220+Namwera!E220+Namwera!F220</f>
        <v>0</v>
      </c>
      <c r="G220" s="15">
        <f>Nkhudzi!D220+Nkhudzi!E220+Nkhudzi!F220</f>
        <v>0</v>
      </c>
      <c r="H220" s="39">
        <f t="shared" si="77"/>
        <v>0</v>
      </c>
    </row>
    <row r="221" spans="1:8" x14ac:dyDescent="0.3">
      <c r="A221" s="212" t="s">
        <v>33</v>
      </c>
      <c r="B221" s="213"/>
      <c r="C221" s="11" t="s">
        <v>31</v>
      </c>
      <c r="D221" s="15">
        <f>Mangochi!D221+Mangochi!E221+Mangochi!F221</f>
        <v>969483.47</v>
      </c>
      <c r="E221" s="15">
        <f>'Monkey Bay'!D221+'Monkey Bay'!E221+'Monkey Bay'!F221</f>
        <v>30630014.32</v>
      </c>
      <c r="F221" s="15">
        <f>Namwera!D221+Namwera!E221+Namwera!F221</f>
        <v>16821.98</v>
      </c>
      <c r="G221" s="15">
        <f>Nkhudzi!D221+Nkhudzi!E221+Nkhudzi!F221</f>
        <v>1337506.21</v>
      </c>
      <c r="H221" s="39">
        <f t="shared" si="77"/>
        <v>32953825.98</v>
      </c>
    </row>
    <row r="222" spans="1:8" x14ac:dyDescent="0.3">
      <c r="A222" s="212" t="s">
        <v>32</v>
      </c>
      <c r="B222" s="213"/>
      <c r="C222" s="11" t="s">
        <v>31</v>
      </c>
      <c r="D222" s="15">
        <f>Mangochi!D222+Mangochi!E222+Mangochi!F222</f>
        <v>629248.61</v>
      </c>
      <c r="E222" s="15">
        <f>'Monkey Bay'!D222+'Monkey Bay'!E222+'Monkey Bay'!F222</f>
        <v>0</v>
      </c>
      <c r="F222" s="15">
        <f>Namwera!D222+Namwera!E222+Namwera!F222</f>
        <v>0</v>
      </c>
      <c r="G222" s="15">
        <f>Nkhudzi!D222+Nkhudzi!E222+Nkhudzi!F222</f>
        <v>16821.98</v>
      </c>
      <c r="H222" s="39">
        <f t="shared" si="77"/>
        <v>646070.59</v>
      </c>
    </row>
    <row r="223" spans="1:8" x14ac:dyDescent="0.3">
      <c r="A223" s="270" t="s">
        <v>36</v>
      </c>
      <c r="B223" s="271"/>
      <c r="C223" s="11" t="s">
        <v>31</v>
      </c>
      <c r="D223" s="12">
        <f t="shared" ref="D223:F223" si="78">SUM(D219:D222)</f>
        <v>105470347.08</v>
      </c>
      <c r="E223" s="10">
        <f t="shared" si="78"/>
        <v>63433926.32</v>
      </c>
      <c r="F223" s="10">
        <f t="shared" si="78"/>
        <v>43971.5</v>
      </c>
      <c r="G223" s="10">
        <f t="shared" ref="G223" si="79">SUM(G219:G222)</f>
        <v>1567597.01</v>
      </c>
      <c r="H223" s="39">
        <f>SUM(D223:F223)</f>
        <v>168948244.90000001</v>
      </c>
    </row>
    <row r="224" spans="1:8" x14ac:dyDescent="0.3">
      <c r="A224" s="257" t="s">
        <v>213</v>
      </c>
      <c r="B224" s="258"/>
      <c r="C224" s="258"/>
      <c r="D224" s="258"/>
      <c r="E224" s="258"/>
      <c r="F224" s="258"/>
      <c r="G224" s="258"/>
      <c r="H224" s="495"/>
    </row>
    <row r="225" spans="1:8" x14ac:dyDescent="0.3">
      <c r="A225" s="212" t="s">
        <v>35</v>
      </c>
      <c r="B225" s="213"/>
      <c r="C225" s="11" t="s">
        <v>31</v>
      </c>
      <c r="D225" s="15">
        <f>Mangochi!D225+Mangochi!E225+Mangochi!F225</f>
        <v>68244962.879999995</v>
      </c>
      <c r="E225" s="15">
        <f>'Monkey Bay'!D225+'Monkey Bay'!E225+'Monkey Bay'!F225</f>
        <v>22674753.380000003</v>
      </c>
      <c r="F225" s="15">
        <f>Namwera!D225+Namwera!E225+Namwera!F225</f>
        <v>8541326.9200000018</v>
      </c>
      <c r="G225" s="15">
        <f>Nkhudzi!D225+Nkhudzi!E225+Nkhudzi!F225</f>
        <v>60592456</v>
      </c>
      <c r="H225" s="38">
        <f t="shared" ref="H225:H230" si="80">SUM(D225:G225)</f>
        <v>160053499.18000001</v>
      </c>
    </row>
    <row r="226" spans="1:8" x14ac:dyDescent="0.3">
      <c r="A226" s="212" t="s">
        <v>34</v>
      </c>
      <c r="B226" s="213"/>
      <c r="C226" s="11" t="s">
        <v>31</v>
      </c>
      <c r="D226" s="15">
        <f>Mangochi!D226+Mangochi!E226+Mangochi!F226</f>
        <v>1956780</v>
      </c>
      <c r="E226" s="15">
        <f>'Monkey Bay'!D226+'Monkey Bay'!E226+'Monkey Bay'!F226</f>
        <v>476930</v>
      </c>
      <c r="F226" s="15">
        <f>Namwera!D226+Namwera!E226+Namwera!F226</f>
        <v>0</v>
      </c>
      <c r="G226" s="15">
        <f>Nkhudzi!D226+Nkhudzi!E226+Nkhudzi!F226</f>
        <v>288800</v>
      </c>
      <c r="H226" s="38">
        <f t="shared" si="80"/>
        <v>2722510</v>
      </c>
    </row>
    <row r="227" spans="1:8" x14ac:dyDescent="0.3">
      <c r="A227" s="212" t="s">
        <v>33</v>
      </c>
      <c r="B227" s="213"/>
      <c r="C227" s="11" t="s">
        <v>31</v>
      </c>
      <c r="D227" s="15">
        <f>Mangochi!D227+Mangochi!E227+Mangochi!F227</f>
        <v>32984257</v>
      </c>
      <c r="E227" s="15">
        <f>'Monkey Bay'!D227+'Monkey Bay'!E227+'Monkey Bay'!F227</f>
        <v>13976950</v>
      </c>
      <c r="F227" s="15">
        <f>Namwera!D227+Namwera!E227+Namwera!F227</f>
        <v>2291200</v>
      </c>
      <c r="G227" s="15">
        <f>Nkhudzi!D227+Nkhudzi!E227+Nkhudzi!F227</f>
        <v>2943390</v>
      </c>
      <c r="H227" s="38">
        <f t="shared" si="80"/>
        <v>52195797</v>
      </c>
    </row>
    <row r="228" spans="1:8" x14ac:dyDescent="0.3">
      <c r="A228" s="212" t="s">
        <v>32</v>
      </c>
      <c r="B228" s="213"/>
      <c r="C228" s="11" t="s">
        <v>31</v>
      </c>
      <c r="D228" s="15">
        <f>Mangochi!D228+Mangochi!E228+Mangochi!F228</f>
        <v>20486178</v>
      </c>
      <c r="E228" s="15">
        <f>'Monkey Bay'!D228+'Monkey Bay'!E228+'Monkey Bay'!F228</f>
        <v>5511245</v>
      </c>
      <c r="F228" s="15">
        <f>Namwera!D228+Namwera!E228+Namwera!F228</f>
        <v>131900</v>
      </c>
      <c r="G228" s="15">
        <f>Nkhudzi!D228+Nkhudzi!E228+Nkhudzi!F228</f>
        <v>10809220</v>
      </c>
      <c r="H228" s="38">
        <f t="shared" si="80"/>
        <v>36938543</v>
      </c>
    </row>
    <row r="229" spans="1:8" x14ac:dyDescent="0.3">
      <c r="A229" s="270" t="s">
        <v>214</v>
      </c>
      <c r="B229" s="271"/>
      <c r="C229" s="11" t="s">
        <v>31</v>
      </c>
      <c r="D229" s="12">
        <f t="shared" ref="D229:F229" si="81">SUM(D225:D228)</f>
        <v>123672177.88</v>
      </c>
      <c r="E229" s="10">
        <f t="shared" si="81"/>
        <v>42639878.380000003</v>
      </c>
      <c r="F229" s="10">
        <f t="shared" si="81"/>
        <v>10964426.920000002</v>
      </c>
      <c r="G229" s="10">
        <f t="shared" ref="G229" si="82">SUM(G225:G228)</f>
        <v>74633866</v>
      </c>
      <c r="H229" s="38">
        <f t="shared" si="80"/>
        <v>251910349.18000001</v>
      </c>
    </row>
    <row r="230" spans="1:8" x14ac:dyDescent="0.3">
      <c r="A230" s="209" t="s">
        <v>215</v>
      </c>
      <c r="B230" s="114"/>
      <c r="C230" s="11" t="s">
        <v>31</v>
      </c>
      <c r="D230" s="12">
        <f>D223+D229</f>
        <v>229142524.95999998</v>
      </c>
      <c r="E230" s="12">
        <f t="shared" ref="E230:G230" si="83">E223+E229</f>
        <v>106073804.7</v>
      </c>
      <c r="F230" s="12">
        <f t="shared" si="83"/>
        <v>11008398.420000002</v>
      </c>
      <c r="G230" s="12">
        <f t="shared" si="83"/>
        <v>76201463.010000005</v>
      </c>
      <c r="H230" s="38">
        <f t="shared" si="80"/>
        <v>422426191.08999997</v>
      </c>
    </row>
    <row r="231" spans="1:8" x14ac:dyDescent="0.3">
      <c r="A231" s="257" t="s">
        <v>30</v>
      </c>
      <c r="B231" s="258"/>
      <c r="C231" s="258"/>
      <c r="D231" s="258"/>
      <c r="E231" s="258"/>
      <c r="F231" s="258"/>
      <c r="G231" s="258"/>
      <c r="H231" s="495"/>
    </row>
    <row r="232" spans="1:8" x14ac:dyDescent="0.3">
      <c r="A232" s="212" t="s">
        <v>29</v>
      </c>
      <c r="B232" s="213"/>
      <c r="C232" s="11" t="s">
        <v>18</v>
      </c>
      <c r="D232" s="15">
        <f>Mangochi!D232+Mangochi!E232+Mangochi!F232</f>
        <v>4883471</v>
      </c>
      <c r="E232" s="15">
        <f>'Monkey Bay'!D232+'Monkey Bay'!E232+'Monkey Bay'!F232</f>
        <v>1506712</v>
      </c>
      <c r="F232" s="15">
        <f>Namwera!D232+Namwera!E232+Namwera!F232</f>
        <v>3720</v>
      </c>
      <c r="G232" s="15">
        <f>Nkhudzi!D232+Nkhudzi!E232+Nkhudzi!F232</f>
        <v>6539.16</v>
      </c>
      <c r="H232" s="39">
        <f t="shared" ref="H232:H235" si="84">SUM(D232:G232)</f>
        <v>6400442.1600000001</v>
      </c>
    </row>
    <row r="233" spans="1:8" x14ac:dyDescent="0.3">
      <c r="A233" s="212" t="s">
        <v>28</v>
      </c>
      <c r="B233" s="213"/>
      <c r="C233" s="11" t="s">
        <v>18</v>
      </c>
      <c r="D233" s="15">
        <f>Mangochi!D233+Mangochi!E233+Mangochi!F233</f>
        <v>0</v>
      </c>
      <c r="E233" s="15">
        <f>'Monkey Bay'!D233+'Monkey Bay'!E233+'Monkey Bay'!F233</f>
        <v>0</v>
      </c>
      <c r="F233" s="15">
        <f>Namwera!D233+Namwera!E233+Namwera!F233</f>
        <v>0</v>
      </c>
      <c r="G233" s="15">
        <f>Nkhudzi!D233+Nkhudzi!E233+Nkhudzi!F233</f>
        <v>0</v>
      </c>
      <c r="H233" s="39">
        <f t="shared" si="84"/>
        <v>0</v>
      </c>
    </row>
    <row r="234" spans="1:8" x14ac:dyDescent="0.3">
      <c r="A234" s="212" t="s">
        <v>27</v>
      </c>
      <c r="B234" s="213"/>
      <c r="C234" s="11" t="s">
        <v>18</v>
      </c>
      <c r="D234" s="15">
        <f>Mangochi!D234+Mangochi!E234+Mangochi!F234</f>
        <v>27149.119999999999</v>
      </c>
      <c r="E234" s="15">
        <f>'Monkey Bay'!D234+'Monkey Bay'!E234+'Monkey Bay'!F234</f>
        <v>67872.800000000003</v>
      </c>
      <c r="F234" s="15">
        <f>Namwera!D234+Namwera!E234+Namwera!F234</f>
        <v>6787.28</v>
      </c>
      <c r="G234" s="15">
        <f>Nkhudzi!D234+Nkhudzi!E234+Nkhudzi!F234</f>
        <v>20361.84</v>
      </c>
      <c r="H234" s="39">
        <f t="shared" si="84"/>
        <v>122171.04</v>
      </c>
    </row>
    <row r="235" spans="1:8" x14ac:dyDescent="0.3">
      <c r="A235" s="212" t="s">
        <v>26</v>
      </c>
      <c r="B235" s="213"/>
      <c r="C235" s="11" t="s">
        <v>18</v>
      </c>
      <c r="D235" s="15">
        <f>Mangochi!D235+Mangochi!E235+Mangochi!F235</f>
        <v>23186.7</v>
      </c>
      <c r="E235" s="15">
        <f>'Monkey Bay'!D235+'Monkey Bay'!E235+'Monkey Bay'!F235</f>
        <v>0</v>
      </c>
      <c r="F235" s="15">
        <f>Namwera!D235+Namwera!E235+Namwera!F235</f>
        <v>0</v>
      </c>
      <c r="G235" s="15">
        <f>Nkhudzi!D235+Nkhudzi!E235+Nkhudzi!F235</f>
        <v>9274.68</v>
      </c>
      <c r="H235" s="39">
        <f t="shared" si="84"/>
        <v>32461.38</v>
      </c>
    </row>
    <row r="236" spans="1:8" x14ac:dyDescent="0.3">
      <c r="A236" s="270" t="s">
        <v>25</v>
      </c>
      <c r="B236" s="271"/>
      <c r="C236" s="11" t="s">
        <v>18</v>
      </c>
      <c r="D236" s="12">
        <f t="shared" ref="D236:F236" si="85">SUM(D232:D235)</f>
        <v>4933806.82</v>
      </c>
      <c r="E236" s="12">
        <f t="shared" si="85"/>
        <v>1574584.8</v>
      </c>
      <c r="F236" s="12">
        <f t="shared" si="85"/>
        <v>10507.279999999999</v>
      </c>
      <c r="G236" s="12"/>
      <c r="H236" s="39">
        <f t="shared" ref="H236" si="86">SUM(H232:H235)</f>
        <v>6555074.5800000001</v>
      </c>
    </row>
    <row r="237" spans="1:8" x14ac:dyDescent="0.3">
      <c r="A237" s="257" t="s">
        <v>24</v>
      </c>
      <c r="B237" s="258"/>
      <c r="C237" s="258"/>
      <c r="D237" s="258"/>
      <c r="E237" s="258"/>
      <c r="F237" s="258"/>
      <c r="G237" s="258"/>
      <c r="H237" s="495"/>
    </row>
    <row r="238" spans="1:8" x14ac:dyDescent="0.3">
      <c r="A238" s="212" t="s">
        <v>23</v>
      </c>
      <c r="B238" s="213"/>
      <c r="C238" s="11" t="s">
        <v>18</v>
      </c>
      <c r="D238" s="15">
        <f>Mangochi!D238+Mangochi!E238+Mangochi!F238</f>
        <v>8028963</v>
      </c>
      <c r="E238" s="15">
        <f>'Monkey Bay'!D238+'Monkey Bay'!E238+'Monkey Bay'!F238</f>
        <v>2656675</v>
      </c>
      <c r="F238" s="15">
        <f>Namwera!D238+Namwera!E238+Namwera!F238</f>
        <v>5358</v>
      </c>
      <c r="G238" s="15">
        <f>Nkhudzi!D238+Nkhudzi!E238+Nkhudzi!F238</f>
        <v>10716</v>
      </c>
      <c r="H238" s="39">
        <f t="shared" ref="H238:H242" si="87">SUM(D238:G238)</f>
        <v>10701712</v>
      </c>
    </row>
    <row r="239" spans="1:8" x14ac:dyDescent="0.3">
      <c r="A239" s="212" t="s">
        <v>22</v>
      </c>
      <c r="B239" s="213"/>
      <c r="C239" s="11" t="s">
        <v>18</v>
      </c>
      <c r="D239" s="15">
        <f>Mangochi!D239+Mangochi!E239+Mangochi!F239</f>
        <v>0</v>
      </c>
      <c r="E239" s="15">
        <f>'Monkey Bay'!D239+'Monkey Bay'!E239+'Monkey Bay'!F239</f>
        <v>0</v>
      </c>
      <c r="F239" s="15">
        <f>Namwera!D239+Namwera!E239+Namwera!F239</f>
        <v>0</v>
      </c>
      <c r="G239" s="15">
        <f>Nkhudzi!D239+Nkhudzi!E239+Nkhudzi!F239</f>
        <v>0</v>
      </c>
      <c r="H239" s="39">
        <f t="shared" si="87"/>
        <v>0</v>
      </c>
    </row>
    <row r="240" spans="1:8" x14ac:dyDescent="0.3">
      <c r="A240" s="212" t="s">
        <v>21</v>
      </c>
      <c r="B240" s="213"/>
      <c r="C240" s="11" t="s">
        <v>18</v>
      </c>
      <c r="D240" s="15">
        <f>Mangochi!D240+Mangochi!E240+Mangochi!F240</f>
        <v>7144</v>
      </c>
      <c r="E240" s="15">
        <f>'Monkey Bay'!D240+'Monkey Bay'!E240+'Monkey Bay'!F240</f>
        <v>17860</v>
      </c>
      <c r="F240" s="15">
        <f>Namwera!D240+Namwera!E240+Namwera!F240</f>
        <v>1786</v>
      </c>
      <c r="G240" s="15">
        <f>Nkhudzi!D240+Nkhudzi!E240+Nkhudzi!F240</f>
        <v>5358</v>
      </c>
      <c r="H240" s="39">
        <f t="shared" si="87"/>
        <v>32148</v>
      </c>
    </row>
    <row r="241" spans="1:8" x14ac:dyDescent="0.3">
      <c r="A241" s="212" t="s">
        <v>20</v>
      </c>
      <c r="B241" s="213"/>
      <c r="C241" s="11" t="s">
        <v>18</v>
      </c>
      <c r="D241" s="15">
        <f>Mangochi!D241+Mangochi!E241+Mangochi!F241</f>
        <v>4465</v>
      </c>
      <c r="E241" s="15">
        <f>'Monkey Bay'!D241+'Monkey Bay'!E241+'Monkey Bay'!F241</f>
        <v>0</v>
      </c>
      <c r="F241" s="15">
        <f>Namwera!D241+Namwera!E241+Namwera!F241</f>
        <v>0</v>
      </c>
      <c r="G241" s="15">
        <f>Nkhudzi!D241+Nkhudzi!E241+Nkhudzi!F241</f>
        <v>1786</v>
      </c>
      <c r="H241" s="39">
        <f t="shared" si="87"/>
        <v>6251</v>
      </c>
    </row>
    <row r="242" spans="1:8" x14ac:dyDescent="0.3">
      <c r="A242" s="270" t="s">
        <v>19</v>
      </c>
      <c r="B242" s="271"/>
      <c r="C242" s="11" t="s">
        <v>18</v>
      </c>
      <c r="D242" s="12">
        <f t="shared" ref="D242:F242" si="88">SUM(D238:D241)</f>
        <v>8040572</v>
      </c>
      <c r="E242" s="12">
        <f t="shared" si="88"/>
        <v>2674535</v>
      </c>
      <c r="F242" s="12">
        <f t="shared" si="88"/>
        <v>7144</v>
      </c>
      <c r="G242" s="12">
        <f t="shared" ref="G242" si="89">SUM(G238:G241)</f>
        <v>17860</v>
      </c>
      <c r="H242" s="39">
        <f t="shared" si="87"/>
        <v>10740111</v>
      </c>
    </row>
    <row r="243" spans="1:8" x14ac:dyDescent="0.3">
      <c r="A243" s="270" t="s">
        <v>216</v>
      </c>
      <c r="B243" s="271"/>
      <c r="C243" s="11" t="s">
        <v>18</v>
      </c>
      <c r="D243" s="10">
        <f>D230+D236+D242</f>
        <v>242116903.77999997</v>
      </c>
      <c r="E243" s="10">
        <f t="shared" ref="E243:G243" si="90">E230+E236+E242</f>
        <v>110322924.5</v>
      </c>
      <c r="F243" s="10">
        <f t="shared" si="90"/>
        <v>11026049.700000001</v>
      </c>
      <c r="G243" s="10">
        <f t="shared" si="90"/>
        <v>76219323.010000005</v>
      </c>
      <c r="H243" s="39">
        <f t="shared" ref="H243" si="91">H216+H223+H236+H242</f>
        <v>365320309.47999996</v>
      </c>
    </row>
    <row r="244" spans="1:8" x14ac:dyDescent="0.3">
      <c r="A244" s="257" t="s">
        <v>206</v>
      </c>
      <c r="B244" s="258"/>
      <c r="C244" s="258"/>
      <c r="D244" s="258"/>
      <c r="E244" s="258"/>
      <c r="F244" s="258"/>
      <c r="G244" s="258"/>
      <c r="H244" s="495"/>
    </row>
    <row r="245" spans="1:8" x14ac:dyDescent="0.3">
      <c r="A245" s="290" t="s">
        <v>207</v>
      </c>
      <c r="B245" s="291"/>
      <c r="C245" s="11" t="s">
        <v>18</v>
      </c>
      <c r="D245" s="144">
        <f>Mangochi!F245</f>
        <v>0</v>
      </c>
      <c r="E245" s="144">
        <f>'Monkey Bay'!F245</f>
        <v>0</v>
      </c>
      <c r="F245" s="144">
        <f>Namwera!F245</f>
        <v>0</v>
      </c>
      <c r="G245" s="15">
        <f>Nkhudzi!D245+Nkhudzi!E245+Nkhudzi!F245</f>
        <v>1994239.0200000005</v>
      </c>
      <c r="H245" s="39">
        <f t="shared" ref="H245:H246" si="92">SUM(D245:G245)</f>
        <v>1994239.0200000005</v>
      </c>
    </row>
    <row r="246" spans="1:8" x14ac:dyDescent="0.3">
      <c r="A246" s="290" t="s">
        <v>208</v>
      </c>
      <c r="B246" s="291"/>
      <c r="C246" s="11" t="s">
        <v>18</v>
      </c>
      <c r="D246" s="144">
        <f>Mangochi!F246</f>
        <v>0</v>
      </c>
      <c r="E246" s="144">
        <f>'Monkey Bay'!F246</f>
        <v>0</v>
      </c>
      <c r="F246" s="144">
        <f>Namwera!F246</f>
        <v>0</v>
      </c>
      <c r="G246" s="15">
        <f>Nkhudzi!D246+Nkhudzi!E246+Nkhudzi!F246</f>
        <v>1593750.0299999998</v>
      </c>
      <c r="H246" s="39">
        <f t="shared" si="92"/>
        <v>1593750.0299999998</v>
      </c>
    </row>
    <row r="247" spans="1:8" x14ac:dyDescent="0.3">
      <c r="A247" s="292" t="s">
        <v>209</v>
      </c>
      <c r="B247" s="293"/>
      <c r="C247" s="11" t="s">
        <v>18</v>
      </c>
      <c r="D247" s="132">
        <f>D245+D246</f>
        <v>0</v>
      </c>
      <c r="E247" s="132">
        <f t="shared" ref="E247:H247" si="93">E245+E246</f>
        <v>0</v>
      </c>
      <c r="F247" s="132">
        <f t="shared" si="93"/>
        <v>0</v>
      </c>
      <c r="G247" s="173">
        <f t="shared" si="93"/>
        <v>3587989.0500000003</v>
      </c>
      <c r="H247" s="150">
        <f t="shared" si="93"/>
        <v>3587989.0500000003</v>
      </c>
    </row>
    <row r="248" spans="1:8" x14ac:dyDescent="0.3">
      <c r="A248" s="257" t="s">
        <v>17</v>
      </c>
      <c r="B248" s="258"/>
      <c r="C248" s="258"/>
      <c r="D248" s="258"/>
      <c r="E248" s="258"/>
      <c r="F248" s="258"/>
      <c r="G248" s="258"/>
      <c r="H248" s="495"/>
    </row>
    <row r="249" spans="1:8" x14ac:dyDescent="0.3">
      <c r="A249" s="231" t="s">
        <v>16</v>
      </c>
      <c r="B249" s="232"/>
      <c r="C249" s="5" t="s">
        <v>6</v>
      </c>
      <c r="D249" s="8">
        <f>D58/D243</f>
        <v>0.40938720286157798</v>
      </c>
      <c r="E249" s="8">
        <f t="shared" ref="E249:F249" si="94">E58/E243</f>
        <v>0.20691192466077166</v>
      </c>
      <c r="F249" s="8">
        <f t="shared" si="94"/>
        <v>1.1181263231563339</v>
      </c>
      <c r="G249" s="8">
        <f t="shared" ref="G249:H249" si="95">G58/G243%</f>
        <v>84.742285277744813</v>
      </c>
      <c r="H249" s="106">
        <f t="shared" si="95"/>
        <v>54.43584658117323</v>
      </c>
    </row>
    <row r="250" spans="1:8" x14ac:dyDescent="0.3">
      <c r="A250" s="231" t="s">
        <v>210</v>
      </c>
      <c r="B250" s="232"/>
      <c r="C250" s="5" t="s">
        <v>6</v>
      </c>
      <c r="D250" s="28">
        <f>D210/(D223+D245)</f>
        <v>1.3181079659721928</v>
      </c>
      <c r="E250" s="28">
        <f t="shared" ref="E250:F250" si="96">E210/(E223+E245)</f>
        <v>0.54257406086415494</v>
      </c>
      <c r="F250" s="28">
        <f t="shared" si="96"/>
        <v>0</v>
      </c>
      <c r="G250" s="28">
        <f t="shared" ref="G250:H250" si="97">G210/(G223+G245)%</f>
        <v>0</v>
      </c>
      <c r="H250" s="103">
        <f t="shared" si="97"/>
        <v>101.46038812748753</v>
      </c>
    </row>
    <row r="251" spans="1:8" ht="16.2" thickBot="1" x14ac:dyDescent="0.35">
      <c r="A251" s="281" t="s">
        <v>15</v>
      </c>
      <c r="B251" s="282"/>
      <c r="C251" s="5" t="s">
        <v>6</v>
      </c>
      <c r="D251" s="7">
        <f>D210/D223</f>
        <v>1.3181079659721928</v>
      </c>
      <c r="E251" s="7">
        <f t="shared" ref="E251:F251" si="98">E210/E223</f>
        <v>0.54257406086415494</v>
      </c>
      <c r="F251" s="7">
        <f t="shared" si="98"/>
        <v>0</v>
      </c>
      <c r="G251" s="7">
        <f t="shared" ref="G251:H251" si="99">G210/G223%</f>
        <v>0</v>
      </c>
      <c r="H251" s="107">
        <f t="shared" si="99"/>
        <v>102.65801089715848</v>
      </c>
    </row>
    <row r="252" spans="1:8" x14ac:dyDescent="0.3">
      <c r="A252" s="283" t="s">
        <v>14</v>
      </c>
      <c r="B252" s="284"/>
      <c r="C252" s="284"/>
      <c r="D252" s="284"/>
      <c r="E252" s="284"/>
      <c r="F252" s="284"/>
      <c r="G252" s="284"/>
      <c r="H252" s="503"/>
    </row>
    <row r="253" spans="1:8" s="2" customFormat="1" ht="15" customHeight="1" x14ac:dyDescent="0.3">
      <c r="A253" s="231" t="s">
        <v>13</v>
      </c>
      <c r="B253" s="232"/>
      <c r="C253" s="5" t="s">
        <v>3</v>
      </c>
      <c r="D253" s="131">
        <f>Mangochi!D253+Mangochi!E253+Mangochi!F253</f>
        <v>3664</v>
      </c>
      <c r="E253" s="131">
        <f>'Monkey Bay'!D253+'Monkey Bay'!E253+'Monkey Bay'!F253</f>
        <v>74</v>
      </c>
      <c r="F253" s="131">
        <f>Namwera!D253+Namwera!E253+Namwera!F253</f>
        <v>88</v>
      </c>
      <c r="G253" s="25">
        <f>Nkhudzi!D253+Nkhudzi!E253+Nkhudzi!F253</f>
        <v>2973</v>
      </c>
      <c r="H253" s="108">
        <f t="shared" ref="H253:H257" si="100">SUM(D253:G253)</f>
        <v>6799</v>
      </c>
    </row>
    <row r="254" spans="1:8" s="2" customFormat="1" x14ac:dyDescent="0.3">
      <c r="A254" s="231" t="s">
        <v>12</v>
      </c>
      <c r="B254" s="232"/>
      <c r="C254" s="5" t="s">
        <v>3</v>
      </c>
      <c r="D254" s="131">
        <f>Mangochi!D254+Mangochi!E254+Mangochi!F254</f>
        <v>2</v>
      </c>
      <c r="E254" s="131">
        <f>'Monkey Bay'!D254+'Monkey Bay'!E254+'Monkey Bay'!F254</f>
        <v>1</v>
      </c>
      <c r="F254" s="131">
        <f>Namwera!D254+Namwera!E254+Namwera!F254</f>
        <v>2</v>
      </c>
      <c r="G254" s="25">
        <f>Nkhudzi!D254+Nkhudzi!E254+Nkhudzi!F254</f>
        <v>3</v>
      </c>
      <c r="H254" s="108">
        <f t="shared" si="100"/>
        <v>8</v>
      </c>
    </row>
    <row r="255" spans="1:8" ht="15.75" customHeight="1" x14ac:dyDescent="0.3">
      <c r="A255" s="231" t="s">
        <v>11</v>
      </c>
      <c r="B255" s="232"/>
      <c r="C255" s="5" t="s">
        <v>3</v>
      </c>
      <c r="D255" s="4">
        <f>D95</f>
        <v>2060</v>
      </c>
      <c r="E255" s="4">
        <f t="shared" ref="E255:F255" si="101">E95</f>
        <v>32</v>
      </c>
      <c r="F255" s="4">
        <f t="shared" si="101"/>
        <v>84</v>
      </c>
      <c r="G255" s="25">
        <f>Nkhudzi!D255+Nkhudzi!E255+Nkhudzi!F255</f>
        <v>5879</v>
      </c>
      <c r="H255" s="108">
        <f t="shared" si="100"/>
        <v>8055</v>
      </c>
    </row>
    <row r="256" spans="1:8" x14ac:dyDescent="0.3">
      <c r="A256" s="231" t="s">
        <v>10</v>
      </c>
      <c r="B256" s="232"/>
      <c r="C256" s="5" t="s">
        <v>3</v>
      </c>
      <c r="D256" s="4">
        <f>D91</f>
        <v>253</v>
      </c>
      <c r="E256" s="4">
        <f t="shared" ref="E256:F256" si="102">E91</f>
        <v>57</v>
      </c>
      <c r="F256" s="4">
        <f t="shared" si="102"/>
        <v>17</v>
      </c>
      <c r="G256" s="25">
        <f>Nkhudzi!D256+Nkhudzi!E256+Nkhudzi!F256</f>
        <v>60</v>
      </c>
      <c r="H256" s="108">
        <f t="shared" si="100"/>
        <v>387</v>
      </c>
    </row>
    <row r="257" spans="1:8" ht="15.6" customHeight="1" x14ac:dyDescent="0.3">
      <c r="A257" s="231" t="s">
        <v>9</v>
      </c>
      <c r="B257" s="232"/>
      <c r="C257" s="5" t="s">
        <v>3</v>
      </c>
      <c r="D257" s="131">
        <f>Mangochi!D257+Mangochi!E257+Mangochi!F257</f>
        <v>43246</v>
      </c>
      <c r="E257" s="131">
        <f>'Monkey Bay'!D257+'Monkey Bay'!E257+'Monkey Bay'!F257</f>
        <v>30</v>
      </c>
      <c r="F257" s="131">
        <f>Namwera!D257+Namwera!E257+Namwera!F257</f>
        <v>88</v>
      </c>
      <c r="G257" s="25">
        <f>Nkhudzi!D257+Nkhudzi!E257+Nkhudzi!F257</f>
        <v>7</v>
      </c>
      <c r="H257" s="108">
        <f t="shared" si="100"/>
        <v>43371</v>
      </c>
    </row>
    <row r="258" spans="1:8" x14ac:dyDescent="0.3">
      <c r="A258" s="270" t="s">
        <v>8</v>
      </c>
      <c r="B258" s="271"/>
      <c r="C258" s="5" t="s">
        <v>3</v>
      </c>
      <c r="D258" s="1">
        <f t="shared" ref="D258:F258" si="103">D257/D256</f>
        <v>170.93280632411069</v>
      </c>
      <c r="E258" s="1">
        <f t="shared" si="103"/>
        <v>0.52631578947368418</v>
      </c>
      <c r="F258" s="1">
        <f t="shared" si="103"/>
        <v>5.1764705882352944</v>
      </c>
      <c r="G258" s="1">
        <f t="shared" ref="G258" si="104">G257/G256</f>
        <v>0.11666666666666667</v>
      </c>
      <c r="H258" s="108">
        <f t="shared" ref="H258" si="105">H257/H256</f>
        <v>112.06976744186046</v>
      </c>
    </row>
    <row r="259" spans="1:8" x14ac:dyDescent="0.3">
      <c r="A259" s="270" t="s">
        <v>7</v>
      </c>
      <c r="B259" s="271"/>
      <c r="C259" s="5" t="s">
        <v>6</v>
      </c>
      <c r="D259" s="1">
        <f t="shared" ref="D259:F259" si="106">D92/D255*100</f>
        <v>0</v>
      </c>
      <c r="E259" s="1">
        <f t="shared" si="106"/>
        <v>0</v>
      </c>
      <c r="F259" s="1">
        <f t="shared" si="106"/>
        <v>0</v>
      </c>
      <c r="G259" s="1">
        <f t="shared" ref="G259" si="107">G92/G255*100</f>
        <v>0</v>
      </c>
      <c r="H259" s="506">
        <f t="shared" ref="H259" si="108">H92/H255*100</f>
        <v>0</v>
      </c>
    </row>
    <row r="260" spans="1:8" x14ac:dyDescent="0.3">
      <c r="A260" s="257" t="s">
        <v>5</v>
      </c>
      <c r="B260" s="258"/>
      <c r="C260" s="258"/>
      <c r="D260" s="258"/>
      <c r="E260" s="258"/>
      <c r="F260" s="258"/>
      <c r="G260" s="258"/>
      <c r="H260" s="495"/>
    </row>
    <row r="261" spans="1:8" s="2" customFormat="1" ht="15" customHeight="1" x14ac:dyDescent="0.3">
      <c r="A261" s="231" t="s">
        <v>4</v>
      </c>
      <c r="B261" s="232"/>
      <c r="C261" s="5" t="s">
        <v>3</v>
      </c>
      <c r="D261" s="131">
        <f>Mangochi!D261+Mangochi!E261+Mangochi!F261</f>
        <v>105</v>
      </c>
      <c r="E261" s="131">
        <f>'Monkey Bay'!D261+'Monkey Bay'!E261+'Monkey Bay'!F261</f>
        <v>77</v>
      </c>
      <c r="F261" s="131">
        <f>Namwera!D261+Namwera!E261+Namwera!F261</f>
        <v>89</v>
      </c>
      <c r="G261" s="25">
        <f>Nkhudzi!D261+Nkhudzi!E261+Nkhudzi!F261</f>
        <v>10</v>
      </c>
      <c r="H261" s="108"/>
    </row>
    <row r="262" spans="1:8" s="2" customFormat="1" ht="15.75" customHeight="1" x14ac:dyDescent="0.3">
      <c r="A262" s="231" t="s">
        <v>2</v>
      </c>
      <c r="B262" s="232"/>
      <c r="C262" s="5" t="s">
        <v>0</v>
      </c>
      <c r="D262" s="131">
        <f>Mangochi!D262+Mangochi!E262+Mangochi!F262</f>
        <v>16</v>
      </c>
      <c r="E262" s="131">
        <f>'Monkey Bay'!D262+'Monkey Bay'!E262+'Monkey Bay'!F262</f>
        <v>32</v>
      </c>
      <c r="F262" s="131">
        <f>Namwera!D262+Namwera!E262+Namwera!F262</f>
        <v>39</v>
      </c>
      <c r="G262" s="25">
        <f>Nkhudzi!D262+Nkhudzi!E262+Nkhudzi!F262</f>
        <v>27</v>
      </c>
      <c r="H262" s="108"/>
    </row>
    <row r="263" spans="1:8" ht="16.2" thickBot="1" x14ac:dyDescent="0.35">
      <c r="A263" s="275" t="s">
        <v>1</v>
      </c>
      <c r="B263" s="276"/>
      <c r="C263" s="110" t="s">
        <v>0</v>
      </c>
      <c r="D263" s="141">
        <f>D261/D262</f>
        <v>6.5625</v>
      </c>
      <c r="E263" s="141">
        <f t="shared" ref="E263:H263" si="109">E261/E262</f>
        <v>2.40625</v>
      </c>
      <c r="F263" s="141">
        <f t="shared" si="109"/>
        <v>2.2820512820512819</v>
      </c>
      <c r="G263" s="111">
        <f t="shared" si="109"/>
        <v>0.37037037037037035</v>
      </c>
      <c r="H263" s="151" t="e">
        <f t="shared" si="109"/>
        <v>#DIV/0!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263"/>
  <sheetViews>
    <sheetView workbookViewId="0">
      <selection activeCell="I11" sqref="I11"/>
    </sheetView>
  </sheetViews>
  <sheetFormatPr defaultRowHeight="14.4" x14ac:dyDescent="0.3"/>
  <cols>
    <col min="1" max="1" width="39" customWidth="1"/>
    <col min="2" max="2" width="16.88671875" customWidth="1"/>
    <col min="3" max="3" width="12.5546875" hidden="1" customWidth="1"/>
    <col min="4" max="4" width="21.44140625" bestFit="1" customWidth="1"/>
    <col min="5" max="5" width="20.109375" bestFit="1" customWidth="1"/>
    <col min="6" max="7" width="19.109375" customWidth="1"/>
    <col min="8" max="8" width="20.10937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536" t="s">
        <v>176</v>
      </c>
      <c r="B7" s="537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5" thickBot="1" x14ac:dyDescent="0.35">
      <c r="A8" s="538" t="s">
        <v>161</v>
      </c>
      <c r="B8" s="539"/>
      <c r="C8" s="539"/>
      <c r="D8" s="539"/>
      <c r="E8" s="539"/>
      <c r="F8" s="539"/>
      <c r="G8" s="539"/>
      <c r="H8" s="540"/>
    </row>
    <row r="9" spans="1:17" ht="15.6" x14ac:dyDescent="0.3">
      <c r="A9" s="541" t="s">
        <v>178</v>
      </c>
      <c r="B9" s="542"/>
      <c r="C9" s="57" t="s">
        <v>154</v>
      </c>
      <c r="D9" s="56">
        <f>Mangochi!G9+Mangochi!H9+Mangochi!I9</f>
        <v>0</v>
      </c>
      <c r="E9" s="56">
        <f>'Monkey Bay'!G9+'Monkey Bay'!H9+'Monkey Bay'!I9</f>
        <v>0</v>
      </c>
      <c r="F9" s="56">
        <f>Namwera!G9+Namwera!H9+Namwera!I9</f>
        <v>0</v>
      </c>
      <c r="G9" s="56">
        <f>Nkhudzi!G9+Nkhudzi!H9+Nkhudzi!I9</f>
        <v>0</v>
      </c>
      <c r="H9" s="142">
        <f>SUM(D9:G9)</f>
        <v>0</v>
      </c>
    </row>
    <row r="10" spans="1:17" ht="15" thickBot="1" x14ac:dyDescent="0.35">
      <c r="A10" s="543" t="s">
        <v>179</v>
      </c>
      <c r="B10" s="544"/>
      <c r="C10" s="544"/>
      <c r="D10" s="545"/>
      <c r="E10" s="545"/>
      <c r="F10" s="545"/>
      <c r="G10" s="545"/>
      <c r="H10" s="546"/>
    </row>
    <row r="11" spans="1:17" ht="15.6" x14ac:dyDescent="0.3">
      <c r="A11" s="547" t="s">
        <v>159</v>
      </c>
      <c r="B11" s="548"/>
      <c r="C11" s="11" t="s">
        <v>154</v>
      </c>
      <c r="D11" s="25">
        <f>Mangochi!G11+Mangochi!H11+Mangochi!I11</f>
        <v>0</v>
      </c>
      <c r="E11" s="25">
        <f>'Monkey Bay'!G11+'Monkey Bay'!H11+'Monkey Bay'!I11</f>
        <v>0</v>
      </c>
      <c r="F11" s="25">
        <f>Namwera!G11+Namwera!H11+Namwera!I11</f>
        <v>0</v>
      </c>
      <c r="G11" s="171">
        <f>Nkhudzi!G11+Nkhudzi!H11+Nkhudzi!I11</f>
        <v>0</v>
      </c>
      <c r="H11" s="54">
        <f t="shared" ref="H11:H15" si="0">SUM(D11:G11)</f>
        <v>0</v>
      </c>
    </row>
    <row r="12" spans="1:17" ht="15.6" x14ac:dyDescent="0.3">
      <c r="A12" s="547" t="s">
        <v>158</v>
      </c>
      <c r="B12" s="548"/>
      <c r="C12" s="11" t="s">
        <v>154</v>
      </c>
      <c r="D12" s="25">
        <f>Mangochi!G12+Mangochi!H12+Mangochi!I12</f>
        <v>0</v>
      </c>
      <c r="E12" s="25">
        <f>'Monkey Bay'!G12+'Monkey Bay'!H12+'Monkey Bay'!I12</f>
        <v>0</v>
      </c>
      <c r="F12" s="25">
        <f>Namwera!G12+Namwera!H12+Namwera!I12</f>
        <v>0</v>
      </c>
      <c r="G12" s="25">
        <f>Nkhudzi!G12+Nkhudzi!H12+Nkhudzi!I12</f>
        <v>0</v>
      </c>
      <c r="H12" s="54">
        <f t="shared" si="0"/>
        <v>0</v>
      </c>
    </row>
    <row r="13" spans="1:17" ht="15.6" x14ac:dyDescent="0.3">
      <c r="A13" s="547" t="s">
        <v>157</v>
      </c>
      <c r="B13" s="548"/>
      <c r="C13" s="11" t="s">
        <v>154</v>
      </c>
      <c r="D13" s="25">
        <f>Mangochi!G13+Mangochi!H13+Mangochi!I13</f>
        <v>0</v>
      </c>
      <c r="E13" s="25">
        <f>'Monkey Bay'!G13+'Monkey Bay'!H13+'Monkey Bay'!I13</f>
        <v>0</v>
      </c>
      <c r="F13" s="25">
        <f>Namwera!G13+Namwera!H13+Namwera!I13</f>
        <v>0</v>
      </c>
      <c r="G13" s="25">
        <f>Nkhudzi!G13+Nkhudzi!H13+Nkhudzi!I13</f>
        <v>0</v>
      </c>
      <c r="H13" s="54">
        <f t="shared" si="0"/>
        <v>0</v>
      </c>
    </row>
    <row r="14" spans="1:17" ht="15.6" x14ac:dyDescent="0.3">
      <c r="A14" s="549" t="s">
        <v>156</v>
      </c>
      <c r="B14" s="550"/>
      <c r="C14" s="11" t="s">
        <v>154</v>
      </c>
      <c r="D14" s="25">
        <f>Mangochi!G14+Mangochi!H14+Mangochi!I14</f>
        <v>0</v>
      </c>
      <c r="E14" s="25">
        <f>'Monkey Bay'!G14+'Monkey Bay'!H14+'Monkey Bay'!I14</f>
        <v>0</v>
      </c>
      <c r="F14" s="25">
        <f>Namwera!G14+Namwera!H14+Namwera!I14</f>
        <v>0</v>
      </c>
      <c r="G14" s="25">
        <f>Nkhudzi!G14+Nkhudzi!H14+Nkhudzi!I14</f>
        <v>0</v>
      </c>
      <c r="H14" s="54">
        <f t="shared" si="0"/>
        <v>0</v>
      </c>
    </row>
    <row r="15" spans="1:17" s="62" customFormat="1" ht="15.6" x14ac:dyDescent="0.3">
      <c r="A15" s="551" t="s">
        <v>160</v>
      </c>
      <c r="B15" s="552"/>
      <c r="C15" s="61" t="s">
        <v>154</v>
      </c>
      <c r="D15" s="33">
        <f t="shared" ref="D15:F15" si="1">SUM(D11:D14)</f>
        <v>0</v>
      </c>
      <c r="E15" s="33">
        <f t="shared" si="1"/>
        <v>0</v>
      </c>
      <c r="F15" s="33">
        <f t="shared" si="1"/>
        <v>0</v>
      </c>
      <c r="G15" s="33">
        <f t="shared" ref="G15" si="2">SUM(G11:G14)</f>
        <v>0</v>
      </c>
      <c r="H15" s="54">
        <f t="shared" si="0"/>
        <v>0</v>
      </c>
    </row>
    <row r="16" spans="1:17" s="2" customFormat="1" ht="15" thickBot="1" x14ac:dyDescent="0.35">
      <c r="A16" s="543" t="s">
        <v>180</v>
      </c>
      <c r="B16" s="544"/>
      <c r="C16" s="544"/>
      <c r="D16" s="544"/>
      <c r="E16" s="544"/>
      <c r="F16" s="544"/>
      <c r="G16" s="544"/>
      <c r="H16" s="546"/>
    </row>
    <row r="17" spans="1:8" s="2" customFormat="1" ht="15.6" x14ac:dyDescent="0.3">
      <c r="A17" s="547" t="s">
        <v>182</v>
      </c>
      <c r="B17" s="548"/>
      <c r="C17" s="11" t="s">
        <v>154</v>
      </c>
      <c r="D17" s="25">
        <f>Mangochi!G17+Mangochi!H17+Mangochi!I17</f>
        <v>0</v>
      </c>
      <c r="E17" s="25">
        <f>'Monkey Bay'!G17+'Monkey Bay'!H17+'Monkey Bay'!I17</f>
        <v>0</v>
      </c>
      <c r="F17" s="25">
        <f>Namwera!G17+Namwera!H17+Namwera!I17</f>
        <v>0</v>
      </c>
      <c r="G17" s="171">
        <f>Nkhudzi!G17+Nkhudzi!H17+Nkhudzi!I17</f>
        <v>0</v>
      </c>
      <c r="H17" s="54">
        <f t="shared" ref="H17:H22" si="3">SUM(D17:G17)</f>
        <v>0</v>
      </c>
    </row>
    <row r="18" spans="1:8" s="2" customFormat="1" ht="15.6" x14ac:dyDescent="0.3">
      <c r="A18" s="547" t="s">
        <v>183</v>
      </c>
      <c r="B18" s="548"/>
      <c r="C18" s="11" t="s">
        <v>154</v>
      </c>
      <c r="D18" s="25">
        <f>Mangochi!G18+Mangochi!H18+Mangochi!I18</f>
        <v>0</v>
      </c>
      <c r="E18" s="25">
        <f>'Monkey Bay'!G18+'Monkey Bay'!H18+'Monkey Bay'!I18</f>
        <v>0</v>
      </c>
      <c r="F18" s="25">
        <f>Namwera!G18+Namwera!H18+Namwera!I18</f>
        <v>0</v>
      </c>
      <c r="G18" s="25">
        <f>Nkhudzi!G18+Nkhudzi!H18+Nkhudzi!I18</f>
        <v>0</v>
      </c>
      <c r="H18" s="54">
        <f t="shared" si="3"/>
        <v>0</v>
      </c>
    </row>
    <row r="19" spans="1:8" s="2" customFormat="1" ht="15.6" x14ac:dyDescent="0.3">
      <c r="A19" s="547" t="s">
        <v>184</v>
      </c>
      <c r="B19" s="548"/>
      <c r="C19" s="11" t="s">
        <v>154</v>
      </c>
      <c r="D19" s="25">
        <f>Mangochi!G19+Mangochi!H19+Mangochi!I19</f>
        <v>0</v>
      </c>
      <c r="E19" s="25">
        <f>'Monkey Bay'!G19+'Monkey Bay'!H19+'Monkey Bay'!I19</f>
        <v>0</v>
      </c>
      <c r="F19" s="25">
        <f>Namwera!G19+Namwera!H19+Namwera!I19</f>
        <v>0</v>
      </c>
      <c r="G19" s="25">
        <f>Nkhudzi!G19+Nkhudzi!H19+Nkhudzi!I19</f>
        <v>0</v>
      </c>
      <c r="H19" s="54">
        <f t="shared" si="3"/>
        <v>0</v>
      </c>
    </row>
    <row r="20" spans="1:8" s="2" customFormat="1" ht="15.6" x14ac:dyDescent="0.3">
      <c r="A20" s="549" t="s">
        <v>185</v>
      </c>
      <c r="B20" s="550"/>
      <c r="C20" s="11" t="s">
        <v>154</v>
      </c>
      <c r="D20" s="25">
        <f>Mangochi!G20+Mangochi!H20+Mangochi!I20</f>
        <v>0</v>
      </c>
      <c r="E20" s="25">
        <f>'Monkey Bay'!G20+'Monkey Bay'!H20+'Monkey Bay'!I20</f>
        <v>0</v>
      </c>
      <c r="F20" s="25">
        <f>Namwera!G20+Namwera!H20+Namwera!I20</f>
        <v>0</v>
      </c>
      <c r="G20" s="25">
        <f>Nkhudzi!G20+Nkhudzi!H20+Nkhudzi!I20</f>
        <v>0</v>
      </c>
      <c r="H20" s="54">
        <f t="shared" si="3"/>
        <v>0</v>
      </c>
    </row>
    <row r="21" spans="1:8" s="70" customFormat="1" ht="15.6" x14ac:dyDescent="0.3">
      <c r="A21" s="551" t="s">
        <v>186</v>
      </c>
      <c r="B21" s="552"/>
      <c r="C21" s="61" t="s">
        <v>154</v>
      </c>
      <c r="D21" s="33">
        <f>SUM(D17:D20)</f>
        <v>0</v>
      </c>
      <c r="E21" s="33">
        <f t="shared" ref="E21:G21" si="4">SUM(E17:E20)</f>
        <v>0</v>
      </c>
      <c r="F21" s="33">
        <f t="shared" si="4"/>
        <v>0</v>
      </c>
      <c r="G21" s="33">
        <f t="shared" si="4"/>
        <v>0</v>
      </c>
      <c r="H21" s="54">
        <f t="shared" si="3"/>
        <v>0</v>
      </c>
    </row>
    <row r="22" spans="1:8" s="2" customFormat="1" ht="15.6" x14ac:dyDescent="0.3">
      <c r="A22" s="72" t="s">
        <v>187</v>
      </c>
      <c r="B22" s="76"/>
      <c r="C22" s="11" t="s">
        <v>154</v>
      </c>
      <c r="D22" s="33">
        <f>D21+D15</f>
        <v>0</v>
      </c>
      <c r="E22" s="33">
        <f t="shared" ref="E22:G22" si="5">E21+E15</f>
        <v>0</v>
      </c>
      <c r="F22" s="33">
        <f t="shared" si="5"/>
        <v>0</v>
      </c>
      <c r="G22" s="33">
        <f t="shared" si="5"/>
        <v>0</v>
      </c>
      <c r="H22" s="54">
        <f t="shared" si="3"/>
        <v>0</v>
      </c>
    </row>
    <row r="23" spans="1:8" x14ac:dyDescent="0.3">
      <c r="A23" s="543" t="s">
        <v>217</v>
      </c>
      <c r="B23" s="544"/>
      <c r="C23" s="544"/>
      <c r="D23" s="544"/>
      <c r="E23" s="544"/>
      <c r="F23" s="544"/>
      <c r="G23" s="544"/>
      <c r="H23" s="546"/>
    </row>
    <row r="24" spans="1:8" ht="15.6" x14ac:dyDescent="0.3">
      <c r="A24" s="553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6">E9-E22</f>
        <v>0</v>
      </c>
      <c r="F24" s="53">
        <f t="shared" si="6"/>
        <v>0</v>
      </c>
      <c r="G24" s="53">
        <f t="shared" si="6"/>
        <v>0</v>
      </c>
      <c r="H24" s="94">
        <f t="shared" si="6"/>
        <v>0</v>
      </c>
    </row>
    <row r="25" spans="1:8" ht="15.6" x14ac:dyDescent="0.3">
      <c r="A25" s="554"/>
      <c r="B25" s="52" t="s">
        <v>153</v>
      </c>
      <c r="C25" s="51" t="s">
        <v>6</v>
      </c>
      <c r="D25" s="50" t="e">
        <f t="shared" ref="D25:H25" si="7">D24/D9</f>
        <v>#DIV/0!</v>
      </c>
      <c r="E25" s="50" t="e">
        <f t="shared" si="7"/>
        <v>#DIV/0!</v>
      </c>
      <c r="F25" s="50" t="e">
        <f t="shared" si="7"/>
        <v>#DIV/0!</v>
      </c>
      <c r="G25" s="50" t="e">
        <f t="shared" si="7"/>
        <v>#DIV/0!</v>
      </c>
      <c r="H25" s="143" t="e">
        <f t="shared" si="7"/>
        <v>#DIV/0!</v>
      </c>
    </row>
    <row r="26" spans="1:8" x14ac:dyDescent="0.3">
      <c r="A26" s="543" t="s">
        <v>152</v>
      </c>
      <c r="B26" s="544"/>
      <c r="C26" s="544"/>
      <c r="D26" s="544"/>
      <c r="E26" s="544"/>
      <c r="F26" s="544"/>
      <c r="G26" s="544"/>
      <c r="H26" s="546"/>
    </row>
    <row r="27" spans="1:8" x14ac:dyDescent="0.3">
      <c r="A27" s="559" t="s">
        <v>151</v>
      </c>
      <c r="B27" s="560"/>
      <c r="C27" s="560"/>
      <c r="D27" s="560"/>
      <c r="E27" s="560"/>
      <c r="F27" s="560"/>
      <c r="G27" s="560"/>
      <c r="H27" s="561"/>
    </row>
    <row r="28" spans="1:8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ht="15.6" x14ac:dyDescent="0.3">
      <c r="A29" s="562" t="s">
        <v>148</v>
      </c>
      <c r="B29" s="557">
        <v>3525.29</v>
      </c>
      <c r="C29" s="5" t="s">
        <v>142</v>
      </c>
      <c r="D29" s="25">
        <f>Mangochi!G29+Mangochi!H29+Mangochi!I29</f>
        <v>0</v>
      </c>
      <c r="E29" s="25">
        <f>'Monkey Bay'!G29+'Monkey Bay'!H29+'Monkey Bay'!I29</f>
        <v>0</v>
      </c>
      <c r="F29" s="25">
        <f>Namwera!G29+Namwera!H29+Namwera!I29</f>
        <v>0</v>
      </c>
      <c r="G29" s="4">
        <f>Nkhudzi!G29+Nkhudzi!H29+Nkhudzi!I29</f>
        <v>0</v>
      </c>
      <c r="H29" s="44">
        <f>SUM(D29:G29)</f>
        <v>0</v>
      </c>
    </row>
    <row r="30" spans="1:8" ht="15.6" x14ac:dyDescent="0.3">
      <c r="A30" s="563"/>
      <c r="B30" s="558"/>
      <c r="C30" s="41" t="s">
        <v>141</v>
      </c>
      <c r="D30" s="15" t="e">
        <f t="shared" ref="D30:H30" si="8">D29/(D9/1000)</f>
        <v>#DIV/0!</v>
      </c>
      <c r="E30" s="15" t="e">
        <f t="shared" si="8"/>
        <v>#DIV/0!</v>
      </c>
      <c r="F30" s="15" t="e">
        <f t="shared" si="8"/>
        <v>#DIV/0!</v>
      </c>
      <c r="G30" s="15" t="e">
        <f t="shared" si="8"/>
        <v>#DIV/0!</v>
      </c>
      <c r="H30" s="97" t="e">
        <f t="shared" si="8"/>
        <v>#DIV/0!</v>
      </c>
    </row>
    <row r="31" spans="1:8" ht="15.6" x14ac:dyDescent="0.3">
      <c r="A31" s="555" t="s">
        <v>147</v>
      </c>
      <c r="B31" s="557">
        <v>1060.0102199999999</v>
      </c>
      <c r="C31" s="5" t="s">
        <v>142</v>
      </c>
      <c r="D31" s="25">
        <f>Mangochi!G31+Mangochi!H31+Mangochi!I31</f>
        <v>0</v>
      </c>
      <c r="E31" s="25">
        <f>'Monkey Bay'!G31+'Monkey Bay'!H31+'Monkey Bay'!I31</f>
        <v>0</v>
      </c>
      <c r="F31" s="25">
        <f>Namwera!G31+Namwera!H31+Namwera!I31</f>
        <v>0</v>
      </c>
      <c r="G31" s="4">
        <f>Nkhudzi!G31+Nkhudzi!H31+Nkhudzi!I31</f>
        <v>0</v>
      </c>
      <c r="H31" s="44">
        <f>SUM(D31:G31)</f>
        <v>0</v>
      </c>
    </row>
    <row r="32" spans="1:8" ht="15.6" x14ac:dyDescent="0.3">
      <c r="A32" s="556"/>
      <c r="B32" s="558"/>
      <c r="C32" s="41" t="s">
        <v>141</v>
      </c>
      <c r="D32" s="15" t="e">
        <f t="shared" ref="D32:F32" si="9">D31/(D9/1000)</f>
        <v>#DIV/0!</v>
      </c>
      <c r="E32" s="15" t="e">
        <f t="shared" si="9"/>
        <v>#DIV/0!</v>
      </c>
      <c r="F32" s="15" t="e">
        <f t="shared" si="9"/>
        <v>#DIV/0!</v>
      </c>
      <c r="G32" s="15" t="e">
        <f>Nkhudzi!J32+Nkhudzi!K32+Nkhudzi!L32</f>
        <v>#DIV/0!</v>
      </c>
      <c r="H32" s="97" t="e">
        <f t="shared" ref="H32" si="10">H31/(H9/1000)</f>
        <v>#DIV/0!</v>
      </c>
    </row>
    <row r="33" spans="1:8" ht="15.6" x14ac:dyDescent="0.3">
      <c r="A33" s="555" t="s">
        <v>146</v>
      </c>
      <c r="B33" s="557">
        <v>1228.2886000000001</v>
      </c>
      <c r="C33" s="5" t="s">
        <v>142</v>
      </c>
      <c r="D33" s="25">
        <f>Mangochi!G33+Mangochi!H33+Mangochi!I33</f>
        <v>0</v>
      </c>
      <c r="E33" s="25">
        <f>'Monkey Bay'!G33+'Monkey Bay'!H33+'Monkey Bay'!I33</f>
        <v>0</v>
      </c>
      <c r="F33" s="25">
        <f>Namwera!G33+Namwera!H33+Namwera!I33</f>
        <v>0</v>
      </c>
      <c r="G33" s="4">
        <f>Nkhudzi!G33+Nkhudzi!H33+Nkhudzi!I33</f>
        <v>0</v>
      </c>
      <c r="H33" s="44">
        <f>SUM(D33:F33)</f>
        <v>0</v>
      </c>
    </row>
    <row r="34" spans="1:8" ht="15.6" x14ac:dyDescent="0.3">
      <c r="A34" s="556"/>
      <c r="B34" s="558"/>
      <c r="C34" s="41" t="s">
        <v>141</v>
      </c>
      <c r="D34" s="15" t="e">
        <f t="shared" ref="D34:F34" si="11">D33/(D9/1000)</f>
        <v>#DIV/0!</v>
      </c>
      <c r="E34" s="15" t="e">
        <f t="shared" si="11"/>
        <v>#DIV/0!</v>
      </c>
      <c r="F34" s="15" t="e">
        <f t="shared" si="11"/>
        <v>#DIV/0!</v>
      </c>
      <c r="G34" s="15" t="e">
        <f>Nkhudzi!J34+Nkhudzi!K34+Nkhudzi!L34</f>
        <v>#DIV/0!</v>
      </c>
      <c r="H34" s="97" t="e">
        <f t="shared" ref="H34" si="12">H33/(H9/1000)</f>
        <v>#DIV/0!</v>
      </c>
    </row>
    <row r="35" spans="1:8" ht="15.6" x14ac:dyDescent="0.3">
      <c r="A35" s="555" t="s">
        <v>145</v>
      </c>
      <c r="B35" s="557">
        <v>3726.7258000000002</v>
      </c>
      <c r="C35" s="5" t="s">
        <v>128</v>
      </c>
      <c r="D35" s="25">
        <f>Mangochi!G35+Mangochi!H35+Mangochi!I35</f>
        <v>0</v>
      </c>
      <c r="E35" s="25">
        <f>'Monkey Bay'!G35+'Monkey Bay'!H35+'Monkey Bay'!I35</f>
        <v>0</v>
      </c>
      <c r="F35" s="25">
        <f>Namwera!G35+Namwera!H35+Namwera!I35</f>
        <v>0</v>
      </c>
      <c r="G35" s="4">
        <f>Nkhudzi!G35+Nkhudzi!H35+Nkhudzi!I35</f>
        <v>0</v>
      </c>
      <c r="H35" s="97"/>
    </row>
    <row r="36" spans="1:8" ht="15.6" x14ac:dyDescent="0.3">
      <c r="A36" s="556"/>
      <c r="B36" s="558"/>
      <c r="C36" s="5" t="s">
        <v>144</v>
      </c>
      <c r="D36" s="13"/>
      <c r="E36" s="13"/>
      <c r="F36" s="13"/>
      <c r="G36" s="15">
        <f>Nkhudzi!G36+Nkhudzi!H36+Nkhudzi!I36</f>
        <v>0</v>
      </c>
      <c r="H36" s="97"/>
    </row>
    <row r="37" spans="1:8" ht="15.6" x14ac:dyDescent="0.3">
      <c r="A37" s="555" t="s">
        <v>188</v>
      </c>
      <c r="B37" s="557">
        <v>3951.5935999999997</v>
      </c>
      <c r="C37" s="5" t="s">
        <v>128</v>
      </c>
      <c r="D37" s="25">
        <f>Mangochi!G37+Mangochi!H37+Mangochi!I37</f>
        <v>0</v>
      </c>
      <c r="E37" s="25">
        <f>'Monkey Bay'!G37+'Monkey Bay'!H37+'Monkey Bay'!I37</f>
        <v>0</v>
      </c>
      <c r="F37" s="25">
        <f>Namwera!G37+Namwera!H37+Namwera!I37</f>
        <v>0</v>
      </c>
      <c r="G37" s="4">
        <f>Nkhudzi!G37+Nkhudzi!H37+Nkhudzi!I37</f>
        <v>0</v>
      </c>
      <c r="H37" s="44">
        <f>SUM(D37:F37)</f>
        <v>0</v>
      </c>
    </row>
    <row r="38" spans="1:8" ht="15.6" x14ac:dyDescent="0.3">
      <c r="A38" s="556"/>
      <c r="B38" s="558"/>
      <c r="C38" s="5" t="s">
        <v>144</v>
      </c>
      <c r="D38" s="15" t="e">
        <f t="shared" ref="D38:F38" si="13">D37/(D9/1000)</f>
        <v>#DIV/0!</v>
      </c>
      <c r="E38" s="15" t="e">
        <f t="shared" si="13"/>
        <v>#DIV/0!</v>
      </c>
      <c r="F38" s="15" t="e">
        <f t="shared" si="13"/>
        <v>#DIV/0!</v>
      </c>
      <c r="G38" s="15" t="e">
        <f>Nkhudzi!J38+Nkhudzi!K38+Nkhudzi!L38</f>
        <v>#DIV/0!</v>
      </c>
      <c r="H38" s="97" t="e">
        <f t="shared" ref="H38" si="14">H37/(H9/1000)</f>
        <v>#DIV/0!</v>
      </c>
    </row>
    <row r="39" spans="1:8" ht="15.6" x14ac:dyDescent="0.3">
      <c r="A39" s="555" t="s">
        <v>143</v>
      </c>
      <c r="B39" s="557">
        <v>1950</v>
      </c>
      <c r="C39" s="5" t="s">
        <v>142</v>
      </c>
      <c r="D39" s="25">
        <f>Mangochi!G39+Mangochi!H39+Mangochi!I39</f>
        <v>0</v>
      </c>
      <c r="E39" s="25">
        <f>'Monkey Bay'!G39+'Monkey Bay'!H39+'Monkey Bay'!I39</f>
        <v>0</v>
      </c>
      <c r="F39" s="25">
        <f>Namwera!G39+Namwera!H39+Namwera!I39</f>
        <v>0</v>
      </c>
      <c r="G39" s="4">
        <f>Nkhudzi!G39+Nkhudzi!H39+Nkhudzi!I39</f>
        <v>0</v>
      </c>
      <c r="H39" s="44">
        <f>SUM(D39:F39)</f>
        <v>0</v>
      </c>
    </row>
    <row r="40" spans="1:8" ht="15.6" x14ac:dyDescent="0.3">
      <c r="A40" s="556"/>
      <c r="B40" s="558"/>
      <c r="C40" s="41" t="s">
        <v>141</v>
      </c>
      <c r="D40" s="15" t="e">
        <f t="shared" ref="D40:F40" si="15">D39/(D9/1000)</f>
        <v>#DIV/0!</v>
      </c>
      <c r="E40" s="15" t="e">
        <f t="shared" si="15"/>
        <v>#DIV/0!</v>
      </c>
      <c r="F40" s="15" t="e">
        <f t="shared" si="15"/>
        <v>#DIV/0!</v>
      </c>
      <c r="G40" s="15" t="e">
        <f>Nkhudzi!J40+Nkhudzi!K40+Nkhudzi!L40</f>
        <v>#DIV/0!</v>
      </c>
      <c r="H40" s="97" t="e">
        <f t="shared" ref="H40" si="16">H39/(H9/1000)</f>
        <v>#DIV/0!</v>
      </c>
    </row>
    <row r="41" spans="1:8" ht="15.6" x14ac:dyDescent="0.3">
      <c r="A41" s="549" t="s">
        <v>140</v>
      </c>
      <c r="B41" s="550"/>
      <c r="C41" s="11" t="s">
        <v>31</v>
      </c>
      <c r="D41" s="40">
        <f>(D29*$B29)+(D31*$B31)+(D33*$B33)+(D35*$B35)+(D37*$B37)+(D39*$B39)</f>
        <v>0</v>
      </c>
      <c r="E41" s="40">
        <f t="shared" ref="E41:G41" si="17">(E29*$B29)+(E31*$B31)+(E33*$B33)+(E35*$B35)+(E37*$B37)+(E39*$B39)</f>
        <v>0</v>
      </c>
      <c r="F41" s="40">
        <f t="shared" si="17"/>
        <v>0</v>
      </c>
      <c r="G41" s="40">
        <f t="shared" si="17"/>
        <v>0</v>
      </c>
      <c r="H41" s="38">
        <f>SUM(D41:G41)</f>
        <v>0</v>
      </c>
    </row>
    <row r="42" spans="1:8" ht="15.6" x14ac:dyDescent="0.3">
      <c r="A42" s="569" t="s">
        <v>139</v>
      </c>
      <c r="B42" s="570"/>
      <c r="C42" s="41" t="s">
        <v>117</v>
      </c>
      <c r="D42" s="15" t="e">
        <f t="shared" ref="D42:H42" si="18">D41/D9</f>
        <v>#DIV/0!</v>
      </c>
      <c r="E42" s="15" t="e">
        <f t="shared" si="18"/>
        <v>#DIV/0!</v>
      </c>
      <c r="F42" s="15" t="e">
        <f t="shared" si="18"/>
        <v>#DIV/0!</v>
      </c>
      <c r="G42" s="15" t="e">
        <f t="shared" si="18"/>
        <v>#DIV/0!</v>
      </c>
      <c r="H42" s="43" t="e">
        <f t="shared" si="18"/>
        <v>#DIV/0!</v>
      </c>
    </row>
    <row r="43" spans="1:8" x14ac:dyDescent="0.3">
      <c r="A43" s="564" t="s">
        <v>138</v>
      </c>
      <c r="B43" s="565"/>
      <c r="C43" s="565"/>
      <c r="D43" s="565"/>
      <c r="E43" s="565"/>
      <c r="F43" s="565"/>
      <c r="G43" s="565"/>
      <c r="H43" s="566"/>
    </row>
    <row r="44" spans="1:8" ht="15.6" x14ac:dyDescent="0.3">
      <c r="A44" s="549" t="s">
        <v>137</v>
      </c>
      <c r="B44" s="550"/>
      <c r="C44" s="11" t="s">
        <v>136</v>
      </c>
      <c r="D44" s="25">
        <f>Mangochi!G44+Mangochi!H44+Mangochi!I44</f>
        <v>0</v>
      </c>
      <c r="E44" s="25">
        <f>'Monkey Bay'!G44+'Monkey Bay'!H44+'Monkey Bay'!I44</f>
        <v>0</v>
      </c>
      <c r="F44" s="25">
        <f>Namwera!G44+Namwera!H44+Namwera!I44</f>
        <v>0</v>
      </c>
      <c r="G44" s="4">
        <f>Nkhudzi!G44+Nkhudzi!H44+Nkhudzi!I44</f>
        <v>0</v>
      </c>
      <c r="H44" s="38">
        <f>SUM(D44:G44)</f>
        <v>0</v>
      </c>
    </row>
    <row r="45" spans="1:8" ht="15.6" x14ac:dyDescent="0.3">
      <c r="A45" s="569" t="s">
        <v>135</v>
      </c>
      <c r="B45" s="570"/>
      <c r="C45" s="41" t="s">
        <v>134</v>
      </c>
      <c r="D45" s="15" t="e">
        <f t="shared" ref="D45:H45" si="19">D44/D9</f>
        <v>#DIV/0!</v>
      </c>
      <c r="E45" s="15" t="e">
        <f t="shared" si="19"/>
        <v>#DIV/0!</v>
      </c>
      <c r="F45" s="15" t="e">
        <f t="shared" si="19"/>
        <v>#DIV/0!</v>
      </c>
      <c r="G45" s="15" t="e">
        <f t="shared" si="19"/>
        <v>#DIV/0!</v>
      </c>
      <c r="H45" s="97" t="e">
        <f t="shared" si="19"/>
        <v>#DIV/0!</v>
      </c>
    </row>
    <row r="46" spans="1:8" ht="15.6" x14ac:dyDescent="0.3">
      <c r="A46" s="567" t="s">
        <v>133</v>
      </c>
      <c r="B46" s="568"/>
      <c r="C46" s="5" t="s">
        <v>31</v>
      </c>
      <c r="D46" s="25">
        <f>Mangochi!G46+Mangochi!H46+Mangochi!I46</f>
        <v>58017</v>
      </c>
      <c r="E46" s="25">
        <f>'Monkey Bay'!G46+'Monkey Bay'!H46+'Monkey Bay'!I46</f>
        <v>58017</v>
      </c>
      <c r="F46" s="25">
        <f>Namwera!G46+Namwera!H46+Namwera!I46</f>
        <v>58017</v>
      </c>
      <c r="G46" s="4">
        <f>Nkhudzi!G46+Nkhudzi!H46+Nkhudzi!I46</f>
        <v>58017</v>
      </c>
      <c r="H46" s="38">
        <f>SUM(D46:G46)</f>
        <v>232068</v>
      </c>
    </row>
    <row r="47" spans="1:8" s="2" customFormat="1" ht="15.6" x14ac:dyDescent="0.3">
      <c r="A47" s="549" t="s">
        <v>132</v>
      </c>
      <c r="B47" s="550"/>
      <c r="C47" s="11" t="s">
        <v>117</v>
      </c>
      <c r="D47" s="15" t="e">
        <f t="shared" ref="D47:H47" si="20">D46/D9</f>
        <v>#DIV/0!</v>
      </c>
      <c r="E47" s="15" t="e">
        <f t="shared" si="20"/>
        <v>#DIV/0!</v>
      </c>
      <c r="F47" s="15" t="e">
        <f t="shared" si="20"/>
        <v>#DIV/0!</v>
      </c>
      <c r="G47" s="15" t="e">
        <f t="shared" si="20"/>
        <v>#DIV/0!</v>
      </c>
      <c r="H47" s="97" t="e">
        <f t="shared" si="20"/>
        <v>#DIV/0!</v>
      </c>
    </row>
    <row r="48" spans="1:8" ht="15" thickBot="1" x14ac:dyDescent="0.35">
      <c r="A48" s="564" t="s">
        <v>131</v>
      </c>
      <c r="B48" s="565"/>
      <c r="C48" s="565"/>
      <c r="D48" s="565"/>
      <c r="E48" s="565"/>
      <c r="F48" s="565"/>
      <c r="G48" s="565"/>
      <c r="H48" s="566"/>
    </row>
    <row r="49" spans="1:8" ht="15.6" x14ac:dyDescent="0.3">
      <c r="A49" s="549" t="s">
        <v>130</v>
      </c>
      <c r="B49" s="550"/>
      <c r="C49" s="5" t="s">
        <v>129</v>
      </c>
      <c r="D49" s="25">
        <f>Mangochi!G49+Mangochi!H49+Mangochi!I49</f>
        <v>0</v>
      </c>
      <c r="E49" s="25">
        <f>'Monkey Bay'!G49+'Monkey Bay'!H49+'Monkey Bay'!I49</f>
        <v>0</v>
      </c>
      <c r="F49" s="25">
        <f>Namwera!G49+Namwera!H49+Namwera!I49</f>
        <v>0</v>
      </c>
      <c r="G49" s="171">
        <f>Nkhudzi!G49+Nkhudzi!H49+Nkhudzi!I49</f>
        <v>0</v>
      </c>
      <c r="H49" s="38">
        <f t="shared" ref="H49:H52" si="21">SUM(D49:G49)</f>
        <v>0</v>
      </c>
    </row>
    <row r="50" spans="1:8" ht="15.6" x14ac:dyDescent="0.3">
      <c r="A50" s="549" t="s">
        <v>189</v>
      </c>
      <c r="B50" s="550"/>
      <c r="C50" s="5" t="s">
        <v>128</v>
      </c>
      <c r="D50" s="25">
        <f>Mangochi!G50+Mangochi!H50+Mangochi!I50</f>
        <v>0</v>
      </c>
      <c r="E50" s="25">
        <f>'Monkey Bay'!G50+'Monkey Bay'!H50+'Monkey Bay'!I50</f>
        <v>0</v>
      </c>
      <c r="F50" s="25">
        <f>Namwera!G50+Namwera!H50+Namwera!I50</f>
        <v>0</v>
      </c>
      <c r="G50" s="25">
        <f>Nkhudzi!G50+Nkhudzi!H50+Nkhudzi!I50</f>
        <v>0</v>
      </c>
      <c r="H50" s="38">
        <f t="shared" si="21"/>
        <v>0</v>
      </c>
    </row>
    <row r="51" spans="1:8" ht="15.6" x14ac:dyDescent="0.3">
      <c r="A51" s="567" t="s">
        <v>127</v>
      </c>
      <c r="B51" s="568"/>
      <c r="C51" s="5" t="s">
        <v>31</v>
      </c>
      <c r="D51" s="25">
        <f>Mangochi!G51+Mangochi!H51+Mangochi!I51</f>
        <v>0</v>
      </c>
      <c r="E51" s="25">
        <f>'Monkey Bay'!G51+'Monkey Bay'!H51+'Monkey Bay'!I51</f>
        <v>0</v>
      </c>
      <c r="F51" s="25">
        <f>Namwera!G51+Namwera!H51+Namwera!I51</f>
        <v>0</v>
      </c>
      <c r="G51" s="25">
        <f>Nkhudzi!G51+Nkhudzi!H51+Nkhudzi!I51</f>
        <v>0</v>
      </c>
      <c r="H51" s="39">
        <f t="shared" si="21"/>
        <v>0</v>
      </c>
    </row>
    <row r="52" spans="1:8" ht="15.6" x14ac:dyDescent="0.3">
      <c r="A52" s="549" t="s">
        <v>126</v>
      </c>
      <c r="B52" s="550"/>
      <c r="C52" s="5" t="s">
        <v>31</v>
      </c>
      <c r="D52" s="25">
        <f>Mangochi!G52+Mangochi!H52+Mangochi!I52</f>
        <v>0</v>
      </c>
      <c r="E52" s="25">
        <f>'Monkey Bay'!G52+'Monkey Bay'!H52+'Monkey Bay'!I52</f>
        <v>0</v>
      </c>
      <c r="F52" s="25">
        <f>Namwera!G52+Namwera!H52+Namwera!I52</f>
        <v>0</v>
      </c>
      <c r="G52" s="25">
        <f>Nkhudzi!M52+Nkhudzi!N52+Nkhudzi!O52</f>
        <v>0</v>
      </c>
      <c r="H52" s="39">
        <f t="shared" si="21"/>
        <v>0</v>
      </c>
    </row>
    <row r="53" spans="1:8" ht="15" thickBot="1" x14ac:dyDescent="0.35">
      <c r="A53" s="564" t="s">
        <v>125</v>
      </c>
      <c r="B53" s="565"/>
      <c r="C53" s="565"/>
      <c r="D53" s="565"/>
      <c r="E53" s="565"/>
      <c r="F53" s="565"/>
      <c r="G53" s="565"/>
      <c r="H53" s="566"/>
    </row>
    <row r="54" spans="1:8" ht="15.6" x14ac:dyDescent="0.3">
      <c r="A54" s="549" t="s">
        <v>124</v>
      </c>
      <c r="B54" s="550"/>
      <c r="C54" s="11" t="s">
        <v>18</v>
      </c>
      <c r="D54" s="25">
        <f>Mangochi!G54+Mangochi!H54+Mangochi!I54</f>
        <v>0</v>
      </c>
      <c r="E54" s="25">
        <f>'Monkey Bay'!G54+'Monkey Bay'!H54+'Monkey Bay'!I54</f>
        <v>0</v>
      </c>
      <c r="F54" s="25">
        <f>Namwera!G54+Namwera!H54+Namwera!I54</f>
        <v>0</v>
      </c>
      <c r="G54" s="174">
        <f>Nkhudzi!G54+Nkhudzi!H54+Nkhudzi!I54</f>
        <v>0</v>
      </c>
      <c r="H54" s="38">
        <f t="shared" ref="H54:H56" si="22">SUM(D54:G54)</f>
        <v>0</v>
      </c>
    </row>
    <row r="55" spans="1:8" ht="15.6" x14ac:dyDescent="0.3">
      <c r="A55" s="75" t="s">
        <v>123</v>
      </c>
      <c r="B55" s="76"/>
      <c r="C55" s="11" t="s">
        <v>18</v>
      </c>
      <c r="D55" s="25">
        <f>Mangochi!G55+Mangochi!H55+Mangochi!I55</f>
        <v>0</v>
      </c>
      <c r="E55" s="25">
        <f>'Monkey Bay'!G55+'Monkey Bay'!H55+'Monkey Bay'!I55</f>
        <v>0</v>
      </c>
      <c r="F55" s="25">
        <f>Namwera!G55+Namwera!H55+Namwera!I55</f>
        <v>0</v>
      </c>
      <c r="G55" s="25">
        <f>Nkhudzi!G55+Nkhudzi!H55+Nkhudzi!I55</f>
        <v>0</v>
      </c>
      <c r="H55" s="38">
        <f t="shared" si="22"/>
        <v>0</v>
      </c>
    </row>
    <row r="56" spans="1:8" ht="15.6" x14ac:dyDescent="0.3">
      <c r="A56" s="549" t="s">
        <v>122</v>
      </c>
      <c r="B56" s="550"/>
      <c r="C56" s="5" t="s">
        <v>18</v>
      </c>
      <c r="D56" s="25">
        <f>Mangochi!G56+Mangochi!H56+Mangochi!I56</f>
        <v>0</v>
      </c>
      <c r="E56" s="25">
        <f>'Monkey Bay'!G56+'Monkey Bay'!H56+'Monkey Bay'!I56</f>
        <v>0</v>
      </c>
      <c r="F56" s="25">
        <f>Namwera!G56+Namwera!H56+Namwera!I56</f>
        <v>0</v>
      </c>
      <c r="G56" s="4">
        <f>Nkhudzi!G56+Nkhudzi!H56+Nkhudzi!I56</f>
        <v>0</v>
      </c>
      <c r="H56" s="38">
        <f t="shared" si="22"/>
        <v>0</v>
      </c>
    </row>
    <row r="57" spans="1:8" x14ac:dyDescent="0.3">
      <c r="A57" s="564" t="s">
        <v>121</v>
      </c>
      <c r="B57" s="565"/>
      <c r="C57" s="565"/>
      <c r="D57" s="565"/>
      <c r="E57" s="565"/>
      <c r="F57" s="565"/>
      <c r="G57" s="565"/>
      <c r="H57" s="566"/>
    </row>
    <row r="58" spans="1:8" ht="15.6" x14ac:dyDescent="0.3">
      <c r="A58" s="567" t="s">
        <v>120</v>
      </c>
      <c r="B58" s="568"/>
      <c r="C58" s="5" t="s">
        <v>18</v>
      </c>
      <c r="D58" s="13">
        <f>D41+D46+D51+D52+D54+D55+D56</f>
        <v>58017</v>
      </c>
      <c r="E58" s="13">
        <f t="shared" ref="E58:G58" si="23">E41+E46+E51+E52+E54+E55+E56</f>
        <v>58017</v>
      </c>
      <c r="F58" s="13">
        <f t="shared" si="23"/>
        <v>58017</v>
      </c>
      <c r="G58" s="13">
        <f t="shared" si="23"/>
        <v>58017</v>
      </c>
      <c r="H58" s="38">
        <f>SUM(D58:G58)</f>
        <v>232068</v>
      </c>
    </row>
    <row r="59" spans="1:8" ht="15.6" x14ac:dyDescent="0.3">
      <c r="A59" s="567" t="s">
        <v>119</v>
      </c>
      <c r="B59" s="568"/>
      <c r="C59" s="5" t="s">
        <v>117</v>
      </c>
      <c r="D59" s="15" t="e">
        <f t="shared" ref="D59:H59" si="24">D58/D9</f>
        <v>#DIV/0!</v>
      </c>
      <c r="E59" s="15" t="e">
        <f t="shared" si="24"/>
        <v>#DIV/0!</v>
      </c>
      <c r="F59" s="15" t="e">
        <f t="shared" si="24"/>
        <v>#DIV/0!</v>
      </c>
      <c r="G59" s="15" t="e">
        <f t="shared" si="24"/>
        <v>#DIV/0!</v>
      </c>
      <c r="H59" s="39" t="e">
        <f t="shared" si="24"/>
        <v>#DIV/0!</v>
      </c>
    </row>
    <row r="60" spans="1:8" ht="15.6" x14ac:dyDescent="0.3">
      <c r="A60" s="567" t="s">
        <v>118</v>
      </c>
      <c r="B60" s="568"/>
      <c r="C60" s="5" t="s">
        <v>117</v>
      </c>
      <c r="D60" s="15" t="e">
        <f>D58/D22</f>
        <v>#DIV/0!</v>
      </c>
      <c r="E60" s="15" t="e">
        <f t="shared" ref="E60:G60" si="25">E58/E22</f>
        <v>#DIV/0!</v>
      </c>
      <c r="F60" s="15" t="e">
        <f t="shared" si="25"/>
        <v>#DIV/0!</v>
      </c>
      <c r="G60" s="15" t="e">
        <f t="shared" si="25"/>
        <v>#DIV/0!</v>
      </c>
      <c r="H60" s="166" t="e">
        <f>H58/H22</f>
        <v>#DIV/0!</v>
      </c>
    </row>
    <row r="61" spans="1:8" ht="15.6" x14ac:dyDescent="0.3">
      <c r="A61" s="549" t="s">
        <v>116</v>
      </c>
      <c r="B61" s="550"/>
      <c r="C61" s="5" t="s">
        <v>3</v>
      </c>
      <c r="D61" s="25">
        <f>Mangochi!I61</f>
        <v>0</v>
      </c>
      <c r="E61" s="25">
        <f>'Monkey Bay'!I61</f>
        <v>0</v>
      </c>
      <c r="F61" s="25">
        <f>Namwera!I61</f>
        <v>0</v>
      </c>
      <c r="G61" s="4">
        <f>Nkhudzi!I61</f>
        <v>0</v>
      </c>
      <c r="H61" s="152">
        <f>SUM(D61:G61)</f>
        <v>0</v>
      </c>
    </row>
    <row r="62" spans="1:8" ht="15.6" customHeight="1" x14ac:dyDescent="0.3">
      <c r="A62" s="567" t="s">
        <v>115</v>
      </c>
      <c r="B62" s="568"/>
      <c r="C62" s="5" t="s">
        <v>114</v>
      </c>
      <c r="D62" s="15" t="e">
        <f t="shared" ref="D62:H62" si="26">(D61*1000*31)/D9</f>
        <v>#DIV/0!</v>
      </c>
      <c r="E62" s="15" t="e">
        <f t="shared" si="26"/>
        <v>#DIV/0!</v>
      </c>
      <c r="F62" s="15" t="e">
        <f t="shared" si="26"/>
        <v>#DIV/0!</v>
      </c>
      <c r="G62" s="15" t="e">
        <f t="shared" si="26"/>
        <v>#DIV/0!</v>
      </c>
      <c r="H62" s="39" t="e">
        <f t="shared" si="26"/>
        <v>#DIV/0!</v>
      </c>
    </row>
    <row r="63" spans="1:8" ht="15.6" x14ac:dyDescent="0.3">
      <c r="A63" s="571" t="s">
        <v>113</v>
      </c>
      <c r="B63" s="572"/>
      <c r="C63" s="37" t="s">
        <v>3</v>
      </c>
      <c r="D63" s="25">
        <f>Mangochi!I63</f>
        <v>0</v>
      </c>
      <c r="E63" s="25">
        <f>'Monkey Bay'!I63</f>
        <v>0</v>
      </c>
      <c r="F63" s="25">
        <f>Namwera!I63</f>
        <v>0</v>
      </c>
      <c r="G63" s="4">
        <f>Nkhudzi!I63</f>
        <v>0</v>
      </c>
      <c r="H63" s="152">
        <f>SUM(D63:G63)</f>
        <v>0</v>
      </c>
    </row>
    <row r="64" spans="1:8" x14ac:dyDescent="0.3">
      <c r="A64" s="573"/>
      <c r="B64" s="574"/>
      <c r="C64" s="574"/>
      <c r="D64" s="574"/>
      <c r="E64" s="574"/>
      <c r="F64" s="574"/>
      <c r="G64" s="574"/>
      <c r="H64" s="575"/>
    </row>
    <row r="65" spans="1:8" ht="14.4" customHeight="1" x14ac:dyDescent="0.3">
      <c r="A65" s="564" t="s">
        <v>112</v>
      </c>
      <c r="B65" s="565"/>
      <c r="C65" s="565"/>
      <c r="D65" s="565"/>
      <c r="E65" s="565"/>
      <c r="F65" s="565"/>
      <c r="G65" s="565"/>
      <c r="H65" s="566"/>
    </row>
    <row r="66" spans="1:8" ht="15.6" x14ac:dyDescent="0.3">
      <c r="A66" s="582" t="s">
        <v>111</v>
      </c>
      <c r="B66" s="36" t="s">
        <v>85</v>
      </c>
      <c r="C66" s="5" t="s">
        <v>3</v>
      </c>
      <c r="D66" s="25">
        <f>Mangochi!G66</f>
        <v>0</v>
      </c>
      <c r="E66" s="25">
        <f>'Monkey Bay'!G66</f>
        <v>0</v>
      </c>
      <c r="F66" s="25">
        <f>Namwera!G66</f>
        <v>0</v>
      </c>
      <c r="G66" s="25">
        <f>Nkhudzi!G66</f>
        <v>0</v>
      </c>
      <c r="H66" s="34">
        <f t="shared" ref="H66:H70" si="27">SUM(D66:G66)</f>
        <v>0</v>
      </c>
    </row>
    <row r="67" spans="1:8" ht="15.6" x14ac:dyDescent="0.3">
      <c r="A67" s="583"/>
      <c r="B67" s="23" t="s">
        <v>106</v>
      </c>
      <c r="C67" s="5" t="s">
        <v>3</v>
      </c>
      <c r="D67" s="25">
        <f>Mangochi!G67+Mangochi!H67+Mangochi!I67</f>
        <v>0</v>
      </c>
      <c r="E67" s="25">
        <f>'Monkey Bay'!G67+'Monkey Bay'!H67+'Monkey Bay'!I67</f>
        <v>0</v>
      </c>
      <c r="F67" s="25">
        <f>Namwera!G67+Namwera!H67+Namwera!I67</f>
        <v>0</v>
      </c>
      <c r="G67" s="25">
        <f>Nkhudzi!G67+Nkhudzi!H67+Nkhudzi!I67</f>
        <v>0</v>
      </c>
      <c r="H67" s="34">
        <f t="shared" si="27"/>
        <v>0</v>
      </c>
    </row>
    <row r="68" spans="1:8" ht="27" x14ac:dyDescent="0.3">
      <c r="A68" s="583"/>
      <c r="B68" s="23" t="s">
        <v>105</v>
      </c>
      <c r="C68" s="5" t="s">
        <v>3</v>
      </c>
      <c r="D68" s="25">
        <f>Mangochi!G68+Mangochi!H68+Mangochi!I68</f>
        <v>0</v>
      </c>
      <c r="E68" s="25">
        <f>'Monkey Bay'!G68+'Monkey Bay'!H68+'Monkey Bay'!I68</f>
        <v>0</v>
      </c>
      <c r="F68" s="25">
        <f>Namwera!G68+Namwera!H68+Namwera!I68</f>
        <v>0</v>
      </c>
      <c r="G68" s="25">
        <f>Nkhudzi!G68+Nkhudzi!H68+Nkhudzi!I68</f>
        <v>0</v>
      </c>
      <c r="H68" s="34">
        <f t="shared" si="27"/>
        <v>0</v>
      </c>
    </row>
    <row r="69" spans="1:8" s="2" customFormat="1" ht="27" x14ac:dyDescent="0.3">
      <c r="A69" s="583"/>
      <c r="B69" s="23" t="s">
        <v>104</v>
      </c>
      <c r="C69" s="11" t="s">
        <v>3</v>
      </c>
      <c r="D69" s="25">
        <f>Mangochi!G69+Mangochi!H69+Mangochi!I69</f>
        <v>0</v>
      </c>
      <c r="E69" s="25">
        <f>'Monkey Bay'!G69+'Monkey Bay'!H69+'Monkey Bay'!I69</f>
        <v>0</v>
      </c>
      <c r="F69" s="25">
        <f>Namwera!G69+Namwera!H69+Namwera!I69</f>
        <v>0</v>
      </c>
      <c r="G69" s="25">
        <f>Nkhudzi!G69+Nkhudzi!H69+Nkhudzi!I69</f>
        <v>0</v>
      </c>
      <c r="H69" s="71">
        <f t="shared" si="27"/>
        <v>0</v>
      </c>
    </row>
    <row r="70" spans="1:8" s="2" customFormat="1" ht="15.6" x14ac:dyDescent="0.3">
      <c r="A70" s="583"/>
      <c r="B70" s="23" t="s">
        <v>190</v>
      </c>
      <c r="C70" s="11" t="s">
        <v>3</v>
      </c>
      <c r="D70" s="4">
        <f>D68+D69</f>
        <v>0</v>
      </c>
      <c r="E70" s="4">
        <f t="shared" ref="E70:F70" si="28">E68+E69</f>
        <v>0</v>
      </c>
      <c r="F70" s="4">
        <f t="shared" si="28"/>
        <v>0</v>
      </c>
      <c r="G70" s="25">
        <f>Nkhudzi!G70+Nkhudzi!H70+Nkhudzi!I70</f>
        <v>0</v>
      </c>
      <c r="H70" s="154">
        <f t="shared" si="27"/>
        <v>0</v>
      </c>
    </row>
    <row r="71" spans="1:8" ht="15.6" x14ac:dyDescent="0.3">
      <c r="A71" s="584"/>
      <c r="B71" s="36" t="s">
        <v>81</v>
      </c>
      <c r="C71" s="5" t="s">
        <v>3</v>
      </c>
      <c r="D71" s="25">
        <f>D66+D67-D70</f>
        <v>0</v>
      </c>
      <c r="E71" s="25">
        <f t="shared" ref="E71:G71" si="29">E66+E67-E70</f>
        <v>0</v>
      </c>
      <c r="F71" s="25">
        <f t="shared" si="29"/>
        <v>0</v>
      </c>
      <c r="G71" s="25">
        <f t="shared" si="29"/>
        <v>0</v>
      </c>
      <c r="H71" s="54">
        <f>H66+H67-H70</f>
        <v>0</v>
      </c>
    </row>
    <row r="72" spans="1:8" ht="15.6" x14ac:dyDescent="0.3">
      <c r="A72" s="582" t="s">
        <v>110</v>
      </c>
      <c r="B72" s="36" t="s">
        <v>85</v>
      </c>
      <c r="C72" s="5" t="s">
        <v>3</v>
      </c>
      <c r="D72" s="25">
        <f>Mangochi!G72</f>
        <v>0</v>
      </c>
      <c r="E72" s="25">
        <f>'Monkey Bay'!G72</f>
        <v>0</v>
      </c>
      <c r="F72" s="25">
        <f>Namwera!G72</f>
        <v>0</v>
      </c>
      <c r="G72" s="25">
        <f>Namwera!H72</f>
        <v>0</v>
      </c>
      <c r="H72" s="34">
        <f t="shared" ref="H72:H76" si="30">SUM(D72:G72)</f>
        <v>0</v>
      </c>
    </row>
    <row r="73" spans="1:8" ht="15.6" x14ac:dyDescent="0.3">
      <c r="A73" s="583"/>
      <c r="B73" s="23" t="s">
        <v>106</v>
      </c>
      <c r="C73" s="5" t="s">
        <v>3</v>
      </c>
      <c r="D73" s="25">
        <f>Mangochi!G73+Mangochi!H73+Mangochi!I73</f>
        <v>0</v>
      </c>
      <c r="E73" s="25">
        <f>'Monkey Bay'!G73+'Monkey Bay'!H73+'Monkey Bay'!I73</f>
        <v>0</v>
      </c>
      <c r="F73" s="25">
        <f>Namwera!G73+Namwera!H73+Namwera!I73</f>
        <v>0</v>
      </c>
      <c r="G73" s="25">
        <f>Nkhudzi!G73+Nkhudzi!H73+Nkhudzi!I73</f>
        <v>0</v>
      </c>
      <c r="H73" s="34">
        <f t="shared" si="30"/>
        <v>0</v>
      </c>
    </row>
    <row r="74" spans="1:8" ht="27" x14ac:dyDescent="0.3">
      <c r="A74" s="583"/>
      <c r="B74" s="23" t="s">
        <v>105</v>
      </c>
      <c r="C74" s="5" t="s">
        <v>3</v>
      </c>
      <c r="D74" s="25">
        <f>Mangochi!G74+Mangochi!H74+Mangochi!I74</f>
        <v>0</v>
      </c>
      <c r="E74" s="25">
        <f>'Monkey Bay'!G74+'Monkey Bay'!H74+'Monkey Bay'!I74</f>
        <v>0</v>
      </c>
      <c r="F74" s="25">
        <f>Namwera!G74+Namwera!H74+Namwera!I74</f>
        <v>0</v>
      </c>
      <c r="G74" s="25">
        <f>Nkhudzi!G74+Nkhudzi!H74+Nkhudzi!I74</f>
        <v>0</v>
      </c>
      <c r="H74" s="34">
        <f t="shared" si="30"/>
        <v>0</v>
      </c>
    </row>
    <row r="75" spans="1:8" s="2" customFormat="1" ht="27" x14ac:dyDescent="0.3">
      <c r="A75" s="583"/>
      <c r="B75" s="23" t="s">
        <v>104</v>
      </c>
      <c r="C75" s="11" t="s">
        <v>3</v>
      </c>
      <c r="D75" s="25">
        <f>Mangochi!G75+Mangochi!H75+Mangochi!I75</f>
        <v>0</v>
      </c>
      <c r="E75" s="25">
        <f>'Monkey Bay'!G75+'Monkey Bay'!H75+'Monkey Bay'!I75</f>
        <v>0</v>
      </c>
      <c r="F75" s="25">
        <f>Namwera!G75+Namwera!H75+Namwera!I75</f>
        <v>0</v>
      </c>
      <c r="G75" s="25">
        <f>Nkhudzi!G75+Nkhudzi!H75+Nkhudzi!I75</f>
        <v>0</v>
      </c>
      <c r="H75" s="34">
        <f t="shared" si="30"/>
        <v>0</v>
      </c>
    </row>
    <row r="76" spans="1:8" s="2" customFormat="1" ht="15.6" x14ac:dyDescent="0.3">
      <c r="A76" s="583"/>
      <c r="B76" s="23" t="s">
        <v>190</v>
      </c>
      <c r="C76" s="11" t="s">
        <v>3</v>
      </c>
      <c r="D76" s="4">
        <f>D74+D75</f>
        <v>0</v>
      </c>
      <c r="E76" s="4">
        <f t="shared" ref="E76:G76" si="31">E74+E75</f>
        <v>0</v>
      </c>
      <c r="F76" s="4">
        <f t="shared" si="31"/>
        <v>0</v>
      </c>
      <c r="G76" s="4">
        <f t="shared" si="31"/>
        <v>0</v>
      </c>
      <c r="H76" s="154">
        <f t="shared" si="30"/>
        <v>0</v>
      </c>
    </row>
    <row r="77" spans="1:8" ht="15.6" x14ac:dyDescent="0.3">
      <c r="A77" s="584"/>
      <c r="B77" s="36" t="s">
        <v>81</v>
      </c>
      <c r="C77" s="5" t="s">
        <v>3</v>
      </c>
      <c r="D77" s="25">
        <f>D73+D74-D76</f>
        <v>0</v>
      </c>
      <c r="E77" s="25">
        <f t="shared" ref="E77:G77" si="32">E73+E74-E76</f>
        <v>0</v>
      </c>
      <c r="F77" s="25">
        <f t="shared" si="32"/>
        <v>0</v>
      </c>
      <c r="G77" s="25">
        <f t="shared" si="32"/>
        <v>0</v>
      </c>
      <c r="H77" s="54">
        <f>H72+H73-H76</f>
        <v>0</v>
      </c>
    </row>
    <row r="78" spans="1:8" ht="15.6" customHeight="1" x14ac:dyDescent="0.3">
      <c r="A78" s="582" t="s">
        <v>109</v>
      </c>
      <c r="B78" s="36" t="s">
        <v>85</v>
      </c>
      <c r="C78" s="5" t="s">
        <v>3</v>
      </c>
      <c r="D78" s="25">
        <f>Mangochi!G78</f>
        <v>0</v>
      </c>
      <c r="E78" s="25">
        <f>'Monkey Bay'!G78</f>
        <v>0</v>
      </c>
      <c r="F78" s="25">
        <f>Namwera!G78</f>
        <v>0</v>
      </c>
      <c r="G78" s="25">
        <f>Nkhudzi!G78+Nkhudzi!H78+Nkhudzi!I78</f>
        <v>0</v>
      </c>
      <c r="H78" s="34">
        <f>SUM(D78:F78)</f>
        <v>0</v>
      </c>
    </row>
    <row r="79" spans="1:8" ht="15.6" x14ac:dyDescent="0.3">
      <c r="A79" s="583"/>
      <c r="B79" s="23" t="s">
        <v>106</v>
      </c>
      <c r="C79" s="5" t="s">
        <v>3</v>
      </c>
      <c r="D79" s="25">
        <f>Mangochi!G79+Mangochi!H79+Mangochi!I79</f>
        <v>0</v>
      </c>
      <c r="E79" s="25">
        <f>'Monkey Bay'!G79+'Monkey Bay'!H79+'Monkey Bay'!I79</f>
        <v>0</v>
      </c>
      <c r="F79" s="25">
        <f>Namwera!G79+Namwera!H79+Namwera!I79</f>
        <v>0</v>
      </c>
      <c r="G79" s="25">
        <f>Nkhudzi!G79+Nkhudzi!H79+Nkhudzi!I79</f>
        <v>0</v>
      </c>
      <c r="H79" s="34">
        <f t="shared" ref="H79:H82" si="33">SUM(D79:G79)</f>
        <v>0</v>
      </c>
    </row>
    <row r="80" spans="1:8" ht="27" x14ac:dyDescent="0.3">
      <c r="A80" s="583"/>
      <c r="B80" s="23" t="s">
        <v>105</v>
      </c>
      <c r="C80" s="5" t="s">
        <v>3</v>
      </c>
      <c r="D80" s="25">
        <f>Mangochi!G80+Mangochi!H80+Mangochi!I80</f>
        <v>0</v>
      </c>
      <c r="E80" s="25">
        <f>'Monkey Bay'!G80+'Monkey Bay'!H80+'Monkey Bay'!I80</f>
        <v>0</v>
      </c>
      <c r="F80" s="25">
        <f>Namwera!G80+Namwera!H80+Namwera!I80</f>
        <v>0</v>
      </c>
      <c r="G80" s="25">
        <f>Nkhudzi!G80+Nkhudzi!H80+Nkhudzi!I80</f>
        <v>0</v>
      </c>
      <c r="H80" s="34">
        <f t="shared" si="33"/>
        <v>0</v>
      </c>
    </row>
    <row r="81" spans="1:8" s="2" customFormat="1" ht="27" x14ac:dyDescent="0.3">
      <c r="A81" s="583"/>
      <c r="B81" s="23" t="s">
        <v>104</v>
      </c>
      <c r="C81" s="11" t="s">
        <v>3</v>
      </c>
      <c r="D81" s="25">
        <f>Mangochi!G81+Mangochi!H81+Mangochi!I81</f>
        <v>0</v>
      </c>
      <c r="E81" s="25">
        <f>'Monkey Bay'!G81+'Monkey Bay'!H81+'Monkey Bay'!I81</f>
        <v>0</v>
      </c>
      <c r="F81" s="25">
        <f>Namwera!G81+Namwera!H81+Namwera!I81</f>
        <v>0</v>
      </c>
      <c r="G81" s="25">
        <f>Nkhudzi!G81+Nkhudzi!H81+Nkhudzi!I81</f>
        <v>0</v>
      </c>
      <c r="H81" s="71">
        <f t="shared" si="33"/>
        <v>0</v>
      </c>
    </row>
    <row r="82" spans="1:8" s="2" customFormat="1" ht="15.6" x14ac:dyDescent="0.3">
      <c r="A82" s="583"/>
      <c r="B82" s="23" t="s">
        <v>190</v>
      </c>
      <c r="C82" s="11" t="s">
        <v>3</v>
      </c>
      <c r="D82" s="4">
        <f>D81+D80</f>
        <v>0</v>
      </c>
      <c r="E82" s="4">
        <f t="shared" ref="E82:G82" si="34">E81+E80</f>
        <v>0</v>
      </c>
      <c r="F82" s="4">
        <f t="shared" si="34"/>
        <v>0</v>
      </c>
      <c r="G82" s="4">
        <f t="shared" si="34"/>
        <v>0</v>
      </c>
      <c r="H82" s="154">
        <f t="shared" si="33"/>
        <v>0</v>
      </c>
    </row>
    <row r="83" spans="1:8" ht="15.6" x14ac:dyDescent="0.3">
      <c r="A83" s="584"/>
      <c r="B83" s="36" t="s">
        <v>81</v>
      </c>
      <c r="C83" s="5" t="s">
        <v>3</v>
      </c>
      <c r="D83" s="25">
        <f>D78+D79-D82</f>
        <v>0</v>
      </c>
      <c r="E83" s="25">
        <f t="shared" ref="E83:G83" si="35">E78+E79-E82</f>
        <v>0</v>
      </c>
      <c r="F83" s="25">
        <f t="shared" si="35"/>
        <v>0</v>
      </c>
      <c r="G83" s="25">
        <f t="shared" si="35"/>
        <v>0</v>
      </c>
      <c r="H83" s="54">
        <f>H78+H79-H82</f>
        <v>0</v>
      </c>
    </row>
    <row r="84" spans="1:8" ht="15.6" x14ac:dyDescent="0.3">
      <c r="A84" s="585" t="s">
        <v>108</v>
      </c>
      <c r="B84" s="36" t="s">
        <v>85</v>
      </c>
      <c r="C84" s="5" t="s">
        <v>3</v>
      </c>
      <c r="D84" s="25">
        <f>Mangochi!G84</f>
        <v>0</v>
      </c>
      <c r="E84" s="25">
        <f>'Monkey Bay'!G84</f>
        <v>0</v>
      </c>
      <c r="F84" s="25">
        <f>Namwera!G84</f>
        <v>0</v>
      </c>
      <c r="G84" s="25">
        <f>Nkhudzi!G84</f>
        <v>0</v>
      </c>
      <c r="H84" s="34">
        <f t="shared" ref="H84:H88" si="36">SUM(D84:G84)</f>
        <v>0</v>
      </c>
    </row>
    <row r="85" spans="1:8" ht="15.6" x14ac:dyDescent="0.3">
      <c r="A85" s="586"/>
      <c r="B85" s="36" t="s">
        <v>106</v>
      </c>
      <c r="C85" s="5" t="s">
        <v>3</v>
      </c>
      <c r="D85" s="25">
        <f>Mangochi!G85+Mangochi!H85+Mangochi!I85</f>
        <v>0</v>
      </c>
      <c r="E85" s="25">
        <f>'Monkey Bay'!G85+'Monkey Bay'!H85+'Monkey Bay'!I85</f>
        <v>0</v>
      </c>
      <c r="F85" s="25">
        <f>Namwera!G85+Namwera!H85+Namwera!I85</f>
        <v>0</v>
      </c>
      <c r="G85" s="25">
        <f>Nkhudzi!G85+Nkhudzi!H85+Nkhudzi!I85</f>
        <v>0</v>
      </c>
      <c r="H85" s="34">
        <f t="shared" si="36"/>
        <v>0</v>
      </c>
    </row>
    <row r="86" spans="1:8" ht="27" x14ac:dyDescent="0.3">
      <c r="A86" s="586"/>
      <c r="B86" s="36" t="s">
        <v>105</v>
      </c>
      <c r="C86" s="5" t="s">
        <v>3</v>
      </c>
      <c r="D86" s="25">
        <f>Mangochi!G86+Mangochi!H86+Mangochi!I86</f>
        <v>0</v>
      </c>
      <c r="E86" s="25">
        <f>'Monkey Bay'!G86+'Monkey Bay'!H86+'Monkey Bay'!I86</f>
        <v>0</v>
      </c>
      <c r="F86" s="25">
        <f>Namwera!G86+Namwera!H86+Namwera!I86</f>
        <v>0</v>
      </c>
      <c r="G86" s="25">
        <f>Nkhudzi!G86+Nkhudzi!H86+Nkhudzi!I86</f>
        <v>0</v>
      </c>
      <c r="H86" s="34">
        <f t="shared" si="36"/>
        <v>0</v>
      </c>
    </row>
    <row r="87" spans="1:8" s="2" customFormat="1" ht="27" x14ac:dyDescent="0.3">
      <c r="A87" s="586"/>
      <c r="B87" s="23" t="s">
        <v>104</v>
      </c>
      <c r="C87" s="11" t="s">
        <v>3</v>
      </c>
      <c r="D87" s="25">
        <f>Mangochi!G87+Mangochi!H87+Mangochi!I87</f>
        <v>0</v>
      </c>
      <c r="E87" s="25">
        <f>'Monkey Bay'!G87+'Monkey Bay'!H87+'Monkey Bay'!I87</f>
        <v>0</v>
      </c>
      <c r="F87" s="25">
        <f>Namwera!G87+Namwera!H87+Namwera!I87</f>
        <v>0</v>
      </c>
      <c r="G87" s="25">
        <f>Nkhudzi!G87+Nkhudzi!H87+Nkhudzi!I87</f>
        <v>0</v>
      </c>
      <c r="H87" s="71">
        <f t="shared" si="36"/>
        <v>0</v>
      </c>
    </row>
    <row r="88" spans="1:8" s="2" customFormat="1" ht="15.6" x14ac:dyDescent="0.3">
      <c r="A88" s="586"/>
      <c r="B88" s="23" t="s">
        <v>190</v>
      </c>
      <c r="C88" s="11" t="s">
        <v>3</v>
      </c>
      <c r="D88" s="4">
        <f>D87+D86</f>
        <v>0</v>
      </c>
      <c r="E88" s="4">
        <f t="shared" ref="E88:F88" si="37">E87+E86</f>
        <v>0</v>
      </c>
      <c r="F88" s="4">
        <f t="shared" si="37"/>
        <v>0</v>
      </c>
      <c r="G88" s="4">
        <f t="shared" ref="G88" si="38">G87+G86</f>
        <v>0</v>
      </c>
      <c r="H88" s="71">
        <f t="shared" si="36"/>
        <v>0</v>
      </c>
    </row>
    <row r="89" spans="1:8" ht="15.6" x14ac:dyDescent="0.3">
      <c r="A89" s="587"/>
      <c r="B89" s="35" t="s">
        <v>81</v>
      </c>
      <c r="C89" s="5" t="s">
        <v>3</v>
      </c>
      <c r="D89" s="25">
        <f>D84+D85-D88</f>
        <v>0</v>
      </c>
      <c r="E89" s="25">
        <f t="shared" ref="E89:F89" si="39">E84+E85-E88</f>
        <v>0</v>
      </c>
      <c r="F89" s="25">
        <f t="shared" si="39"/>
        <v>0</v>
      </c>
      <c r="G89" s="25">
        <f t="shared" ref="G89" si="40">G84+G85-G88</f>
        <v>0</v>
      </c>
      <c r="H89" s="54">
        <f>H84+H85-H88</f>
        <v>0</v>
      </c>
    </row>
    <row r="90" spans="1:8" ht="15.6" x14ac:dyDescent="0.3">
      <c r="A90" s="588" t="s">
        <v>107</v>
      </c>
      <c r="B90" s="23" t="s">
        <v>85</v>
      </c>
      <c r="C90" s="11" t="s">
        <v>3</v>
      </c>
      <c r="D90" s="125">
        <f>D66+D72+D78+D84</f>
        <v>0</v>
      </c>
      <c r="E90" s="125">
        <f t="shared" ref="E90:G93" si="41">E66+E72+E78+E84</f>
        <v>0</v>
      </c>
      <c r="F90" s="125">
        <f t="shared" si="41"/>
        <v>0</v>
      </c>
      <c r="G90" s="125">
        <f t="shared" si="41"/>
        <v>0</v>
      </c>
      <c r="H90" s="34">
        <f t="shared" ref="H90:H94" si="42">SUM(D90:G90)</f>
        <v>0</v>
      </c>
    </row>
    <row r="91" spans="1:8" ht="15.6" x14ac:dyDescent="0.3">
      <c r="A91" s="589"/>
      <c r="B91" s="23" t="s">
        <v>106</v>
      </c>
      <c r="C91" s="11" t="s">
        <v>3</v>
      </c>
      <c r="D91" s="125">
        <f t="shared" ref="D91:F93" si="43">D67+D73+D79+D85</f>
        <v>0</v>
      </c>
      <c r="E91" s="125">
        <f t="shared" si="43"/>
        <v>0</v>
      </c>
      <c r="F91" s="125">
        <f t="shared" si="43"/>
        <v>0</v>
      </c>
      <c r="G91" s="125">
        <f t="shared" si="41"/>
        <v>0</v>
      </c>
      <c r="H91" s="34">
        <f t="shared" si="42"/>
        <v>0</v>
      </c>
    </row>
    <row r="92" spans="1:8" ht="27" x14ac:dyDescent="0.3">
      <c r="A92" s="589"/>
      <c r="B92" s="23" t="s">
        <v>105</v>
      </c>
      <c r="C92" s="11" t="s">
        <v>3</v>
      </c>
      <c r="D92" s="125">
        <f t="shared" si="43"/>
        <v>0</v>
      </c>
      <c r="E92" s="125">
        <f t="shared" si="43"/>
        <v>0</v>
      </c>
      <c r="F92" s="125">
        <f t="shared" si="43"/>
        <v>0</v>
      </c>
      <c r="G92" s="125">
        <f t="shared" si="41"/>
        <v>0</v>
      </c>
      <c r="H92" s="34">
        <f t="shared" si="42"/>
        <v>0</v>
      </c>
    </row>
    <row r="93" spans="1:8" s="2" customFormat="1" ht="27" x14ac:dyDescent="0.3">
      <c r="A93" s="589"/>
      <c r="B93" s="23" t="s">
        <v>104</v>
      </c>
      <c r="C93" s="11"/>
      <c r="D93" s="125">
        <f t="shared" si="43"/>
        <v>0</v>
      </c>
      <c r="E93" s="125">
        <f t="shared" si="43"/>
        <v>0</v>
      </c>
      <c r="F93" s="125">
        <f t="shared" si="43"/>
        <v>0</v>
      </c>
      <c r="G93" s="125">
        <f t="shared" si="41"/>
        <v>0</v>
      </c>
      <c r="H93" s="34">
        <f t="shared" si="42"/>
        <v>0</v>
      </c>
    </row>
    <row r="94" spans="1:8" s="2" customFormat="1" ht="15.6" x14ac:dyDescent="0.3">
      <c r="A94" s="589"/>
      <c r="B94" s="23" t="s">
        <v>190</v>
      </c>
      <c r="C94" s="11" t="s">
        <v>3</v>
      </c>
      <c r="D94" s="126">
        <f>D93+D92</f>
        <v>0</v>
      </c>
      <c r="E94" s="126">
        <f t="shared" ref="E94:G94" si="44">E93+E92</f>
        <v>0</v>
      </c>
      <c r="F94" s="126">
        <f t="shared" si="44"/>
        <v>0</v>
      </c>
      <c r="G94" s="126">
        <f t="shared" si="44"/>
        <v>0</v>
      </c>
      <c r="H94" s="133">
        <f t="shared" si="42"/>
        <v>0</v>
      </c>
    </row>
    <row r="95" spans="1:8" ht="16.2" thickBot="1" x14ac:dyDescent="0.35">
      <c r="A95" s="590"/>
      <c r="B95" s="23" t="s">
        <v>81</v>
      </c>
      <c r="C95" s="11" t="s">
        <v>3</v>
      </c>
      <c r="D95" s="127">
        <f>D90+D91-D94</f>
        <v>0</v>
      </c>
      <c r="E95" s="127">
        <f t="shared" ref="E95:G95" si="45">E90+E91-E94</f>
        <v>0</v>
      </c>
      <c r="F95" s="127">
        <f t="shared" si="45"/>
        <v>0</v>
      </c>
      <c r="G95" s="127">
        <f t="shared" si="45"/>
        <v>0</v>
      </c>
      <c r="H95" s="134">
        <f>H90+H91-H94</f>
        <v>0</v>
      </c>
    </row>
    <row r="96" spans="1:8" ht="16.2" customHeight="1" thickBot="1" x14ac:dyDescent="0.35">
      <c r="A96" s="591"/>
      <c r="B96" s="592"/>
      <c r="C96" s="592"/>
      <c r="D96" s="592"/>
      <c r="E96" s="592"/>
      <c r="F96" s="592"/>
      <c r="G96" s="592"/>
      <c r="H96" s="593"/>
    </row>
    <row r="97" spans="1:8" s="2" customFormat="1" ht="15.75" customHeight="1" thickBot="1" x14ac:dyDescent="0.35">
      <c r="A97" s="576" t="s">
        <v>191</v>
      </c>
      <c r="B97" s="577"/>
      <c r="C97" s="577"/>
      <c r="D97" s="577"/>
      <c r="E97" s="577"/>
      <c r="F97" s="577"/>
      <c r="G97" s="577"/>
      <c r="H97" s="578"/>
    </row>
    <row r="98" spans="1:8" ht="15.6" x14ac:dyDescent="0.3">
      <c r="A98" s="85" t="s">
        <v>192</v>
      </c>
      <c r="B98" s="68"/>
      <c r="C98" s="11" t="s">
        <v>3</v>
      </c>
      <c r="D98" s="25">
        <f>Mangochi!G98+Mangochi!H98+Mangochi!I98</f>
        <v>0</v>
      </c>
      <c r="E98" s="25">
        <f>'Monkey Bay'!G98+'Monkey Bay'!H98+'Monkey Bay'!I98</f>
        <v>0</v>
      </c>
      <c r="F98" s="25">
        <f>Namwera!G98+Namwera!H98+Namwera!I98</f>
        <v>0</v>
      </c>
      <c r="G98" s="171">
        <f>Nkhudzi!G98+Nkhudzi!H98+Nkhudzi!I98</f>
        <v>0</v>
      </c>
      <c r="H98" s="155">
        <f t="shared" ref="H98" si="46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49" t="s">
        <v>102</v>
      </c>
      <c r="B101" s="550"/>
      <c r="C101" s="11" t="s">
        <v>3</v>
      </c>
      <c r="D101" s="25">
        <f>Mangochi!I101</f>
        <v>0</v>
      </c>
      <c r="E101" s="25">
        <f>'Monkey Bay'!I101</f>
        <v>0</v>
      </c>
      <c r="F101" s="25">
        <f>Namwera!I101</f>
        <v>0</v>
      </c>
      <c r="G101" s="174">
        <f>Nkhudzi!I101</f>
        <v>0</v>
      </c>
      <c r="H101" s="34">
        <f t="shared" ref="H101:H104" si="47">SUM(D101:G101)</f>
        <v>0</v>
      </c>
    </row>
    <row r="102" spans="1:8" ht="15.6" x14ac:dyDescent="0.3">
      <c r="A102" s="549" t="s">
        <v>101</v>
      </c>
      <c r="B102" s="550"/>
      <c r="C102" s="11" t="s">
        <v>3</v>
      </c>
      <c r="D102" s="25">
        <f>Mangochi!I102</f>
        <v>0</v>
      </c>
      <c r="E102" s="25">
        <f>'Monkey Bay'!I102</f>
        <v>0</v>
      </c>
      <c r="F102" s="25">
        <f>Namwera!I102</f>
        <v>0</v>
      </c>
      <c r="G102" s="25">
        <f>Nkhudzi!I102</f>
        <v>0</v>
      </c>
      <c r="H102" s="34">
        <f t="shared" si="47"/>
        <v>0</v>
      </c>
    </row>
    <row r="103" spans="1:8" ht="15.6" customHeight="1" x14ac:dyDescent="0.3">
      <c r="A103" s="547" t="s">
        <v>100</v>
      </c>
      <c r="B103" s="548"/>
      <c r="C103" s="11" t="s">
        <v>3</v>
      </c>
      <c r="D103" s="25">
        <f>Mangochi!I103</f>
        <v>0</v>
      </c>
      <c r="E103" s="25">
        <f>'Monkey Bay'!I103</f>
        <v>0</v>
      </c>
      <c r="F103" s="25">
        <f>Namwera!I103</f>
        <v>0</v>
      </c>
      <c r="G103" s="25">
        <f>Nkhudzi!I103</f>
        <v>0</v>
      </c>
      <c r="H103" s="34">
        <f t="shared" si="47"/>
        <v>0</v>
      </c>
    </row>
    <row r="104" spans="1:8" ht="15.6" x14ac:dyDescent="0.3">
      <c r="A104" s="547" t="s">
        <v>99</v>
      </c>
      <c r="B104" s="548"/>
      <c r="C104" s="11" t="s">
        <v>3</v>
      </c>
      <c r="D104" s="25">
        <f>Mangochi!I104</f>
        <v>0</v>
      </c>
      <c r="E104" s="25">
        <f>'Monkey Bay'!I104</f>
        <v>0</v>
      </c>
      <c r="F104" s="25">
        <f>Namwera!I104</f>
        <v>0</v>
      </c>
      <c r="G104" s="25">
        <f>Nkhudzi!I104</f>
        <v>0</v>
      </c>
      <c r="H104" s="34">
        <f t="shared" si="47"/>
        <v>0</v>
      </c>
    </row>
    <row r="105" spans="1:8" ht="15.6" x14ac:dyDescent="0.3">
      <c r="A105" s="594" t="s">
        <v>98</v>
      </c>
      <c r="B105" s="595"/>
      <c r="C105" s="11" t="s">
        <v>3</v>
      </c>
      <c r="D105" s="32">
        <f>SUM(D101:D104)</f>
        <v>0</v>
      </c>
      <c r="E105" s="32">
        <f t="shared" ref="E105:H105" si="48">SUM(E101:E104)</f>
        <v>0</v>
      </c>
      <c r="F105" s="32">
        <f t="shared" si="48"/>
        <v>0</v>
      </c>
      <c r="G105" s="32">
        <f t="shared" si="48"/>
        <v>0</v>
      </c>
      <c r="H105" s="34">
        <f t="shared" si="48"/>
        <v>0</v>
      </c>
    </row>
    <row r="106" spans="1:8" s="2" customFormat="1" ht="15.6" customHeight="1" thickBot="1" x14ac:dyDescent="0.35">
      <c r="A106" s="596" t="s">
        <v>212</v>
      </c>
      <c r="B106" s="597"/>
      <c r="C106" s="597"/>
      <c r="D106" s="597"/>
      <c r="E106" s="597"/>
      <c r="F106" s="597"/>
      <c r="G106" s="597"/>
      <c r="H106" s="598"/>
    </row>
    <row r="107" spans="1:8" ht="15.6" x14ac:dyDescent="0.3">
      <c r="A107" s="549" t="s">
        <v>195</v>
      </c>
      <c r="B107" s="550"/>
      <c r="C107" s="11" t="s">
        <v>3</v>
      </c>
      <c r="D107" s="25">
        <f>Mangochi!I107</f>
        <v>0</v>
      </c>
      <c r="E107" s="25">
        <f>'Monkey Bay'!I107</f>
        <v>0</v>
      </c>
      <c r="F107" s="25">
        <f>Namwera!I107</f>
        <v>0</v>
      </c>
      <c r="G107" s="174">
        <f>Nkhudzi!I107</f>
        <v>0</v>
      </c>
      <c r="H107" s="34">
        <f t="shared" ref="H107:H110" si="49">SUM(D107:G107)</f>
        <v>0</v>
      </c>
    </row>
    <row r="108" spans="1:8" ht="15.6" x14ac:dyDescent="0.3">
      <c r="A108" s="549" t="s">
        <v>196</v>
      </c>
      <c r="B108" s="550"/>
      <c r="C108" s="11" t="s">
        <v>3</v>
      </c>
      <c r="D108" s="25">
        <f>Mangochi!I108</f>
        <v>0</v>
      </c>
      <c r="E108" s="25">
        <f>'Monkey Bay'!I108</f>
        <v>0</v>
      </c>
      <c r="F108" s="25">
        <f>Namwera!I108</f>
        <v>0</v>
      </c>
      <c r="G108" s="25">
        <f>Nkhudzi!I108</f>
        <v>0</v>
      </c>
      <c r="H108" s="34">
        <f t="shared" si="49"/>
        <v>0</v>
      </c>
    </row>
    <row r="109" spans="1:8" ht="15.6" x14ac:dyDescent="0.3">
      <c r="A109" s="549" t="s">
        <v>197</v>
      </c>
      <c r="B109" s="550"/>
      <c r="C109" s="11" t="s">
        <v>3</v>
      </c>
      <c r="D109" s="25">
        <f>Mangochi!I109</f>
        <v>0</v>
      </c>
      <c r="E109" s="25">
        <f>'Monkey Bay'!I109</f>
        <v>0</v>
      </c>
      <c r="F109" s="25">
        <f>Namwera!I109</f>
        <v>0</v>
      </c>
      <c r="G109" s="25">
        <f>Nkhudzi!I109</f>
        <v>0</v>
      </c>
      <c r="H109" s="34">
        <f t="shared" si="49"/>
        <v>0</v>
      </c>
    </row>
    <row r="110" spans="1:8" ht="15.6" x14ac:dyDescent="0.3">
      <c r="A110" s="549" t="s">
        <v>198</v>
      </c>
      <c r="B110" s="550"/>
      <c r="C110" s="11" t="s">
        <v>3</v>
      </c>
      <c r="D110" s="25">
        <f>Mangochi!I110</f>
        <v>0</v>
      </c>
      <c r="E110" s="25">
        <f>'Monkey Bay'!I110</f>
        <v>0</v>
      </c>
      <c r="F110" s="25">
        <f>Namwera!I110</f>
        <v>0</v>
      </c>
      <c r="G110" s="25">
        <f>Nkhudzi!I110</f>
        <v>0</v>
      </c>
      <c r="H110" s="34">
        <f t="shared" si="49"/>
        <v>0</v>
      </c>
    </row>
    <row r="111" spans="1:8" ht="15.6" x14ac:dyDescent="0.3">
      <c r="A111" s="551" t="s">
        <v>97</v>
      </c>
      <c r="B111" s="552"/>
      <c r="C111" s="11" t="s">
        <v>3</v>
      </c>
      <c r="D111" s="32">
        <f>SUM(D107:D110)</f>
        <v>0</v>
      </c>
      <c r="E111" s="32">
        <f t="shared" ref="E111:H111" si="50">SUM(E107:E110)</f>
        <v>0</v>
      </c>
      <c r="F111" s="32">
        <f t="shared" si="50"/>
        <v>0</v>
      </c>
      <c r="G111" s="32">
        <f t="shared" si="50"/>
        <v>0</v>
      </c>
      <c r="H111" s="34">
        <f t="shared" si="50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49" t="s">
        <v>199</v>
      </c>
      <c r="B113" s="550"/>
      <c r="C113" s="11" t="s">
        <v>3</v>
      </c>
      <c r="D113" s="25">
        <f>Mangochi!I113</f>
        <v>0</v>
      </c>
      <c r="E113" s="25">
        <f>'Monkey Bay'!I113</f>
        <v>0</v>
      </c>
      <c r="F113" s="25">
        <f>Namwera!I113</f>
        <v>0</v>
      </c>
      <c r="G113" s="174">
        <f>Nkhudzi!I113</f>
        <v>0</v>
      </c>
      <c r="H113" s="34">
        <f t="shared" ref="H113:H116" si="51">SUM(D113:G113)</f>
        <v>0</v>
      </c>
    </row>
    <row r="114" spans="1:8" ht="15.6" x14ac:dyDescent="0.3">
      <c r="A114" s="549" t="s">
        <v>200</v>
      </c>
      <c r="B114" s="550"/>
      <c r="C114" s="11" t="s">
        <v>3</v>
      </c>
      <c r="D114" s="25">
        <f>Mangochi!I114</f>
        <v>0</v>
      </c>
      <c r="E114" s="25">
        <f>'Monkey Bay'!I114</f>
        <v>0</v>
      </c>
      <c r="F114" s="25">
        <f>Namwera!I114</f>
        <v>0</v>
      </c>
      <c r="G114" s="25">
        <f>Nkhudzi!I114</f>
        <v>0</v>
      </c>
      <c r="H114" s="34">
        <f t="shared" si="51"/>
        <v>0</v>
      </c>
    </row>
    <row r="115" spans="1:8" ht="15.6" x14ac:dyDescent="0.3">
      <c r="A115" s="549" t="s">
        <v>201</v>
      </c>
      <c r="B115" s="550"/>
      <c r="C115" s="11" t="s">
        <v>3</v>
      </c>
      <c r="D115" s="25">
        <f>Mangochi!I115</f>
        <v>0</v>
      </c>
      <c r="E115" s="25">
        <f>'Monkey Bay'!I115</f>
        <v>0</v>
      </c>
      <c r="F115" s="25">
        <f>Namwera!I115</f>
        <v>0</v>
      </c>
      <c r="G115" s="25">
        <f>Nkhudzi!I115</f>
        <v>0</v>
      </c>
      <c r="H115" s="34">
        <f t="shared" si="51"/>
        <v>0</v>
      </c>
    </row>
    <row r="116" spans="1:8" ht="15.6" x14ac:dyDescent="0.3">
      <c r="A116" s="549" t="s">
        <v>202</v>
      </c>
      <c r="B116" s="550"/>
      <c r="C116" s="11" t="s">
        <v>3</v>
      </c>
      <c r="D116" s="25">
        <f>Mangochi!I116</f>
        <v>0</v>
      </c>
      <c r="E116" s="25">
        <f>'Monkey Bay'!I116</f>
        <v>0</v>
      </c>
      <c r="F116" s="25">
        <f>Namwera!I116</f>
        <v>0</v>
      </c>
      <c r="G116" s="25">
        <f>Nkhudzi!I116</f>
        <v>0</v>
      </c>
      <c r="H116" s="34">
        <f t="shared" si="51"/>
        <v>0</v>
      </c>
    </row>
    <row r="117" spans="1:8" ht="15.6" x14ac:dyDescent="0.3">
      <c r="A117" s="551" t="s">
        <v>96</v>
      </c>
      <c r="B117" s="552"/>
      <c r="C117" s="11" t="s">
        <v>3</v>
      </c>
      <c r="D117" s="32">
        <f>SUM(D113:D116)</f>
        <v>0</v>
      </c>
      <c r="E117" s="32">
        <f t="shared" ref="E117:H117" si="52">SUM(E113:E116)</f>
        <v>0</v>
      </c>
      <c r="F117" s="32">
        <f t="shared" si="52"/>
        <v>0</v>
      </c>
      <c r="G117" s="32">
        <f t="shared" si="52"/>
        <v>0</v>
      </c>
      <c r="H117" s="34">
        <f t="shared" si="52"/>
        <v>0</v>
      </c>
    </row>
    <row r="118" spans="1:8" s="2" customFormat="1" ht="15.6" x14ac:dyDescent="0.3">
      <c r="A118" s="77" t="s">
        <v>193</v>
      </c>
      <c r="B118" s="78"/>
      <c r="C118" s="11" t="s">
        <v>3</v>
      </c>
      <c r="D118" s="32">
        <f>D117+D111</f>
        <v>0</v>
      </c>
      <c r="E118" s="32">
        <f t="shared" ref="E118:G118" si="53">E117+E111</f>
        <v>0</v>
      </c>
      <c r="F118" s="32">
        <f t="shared" si="53"/>
        <v>0</v>
      </c>
      <c r="G118" s="32">
        <f t="shared" si="53"/>
        <v>0</v>
      </c>
      <c r="H118" s="34">
        <f t="shared" ref="H118" si="54">H117+H112</f>
        <v>0</v>
      </c>
    </row>
    <row r="119" spans="1:8" ht="15.6" x14ac:dyDescent="0.3">
      <c r="A119" s="551" t="s">
        <v>194</v>
      </c>
      <c r="B119" s="552"/>
      <c r="C119" s="11" t="s">
        <v>3</v>
      </c>
      <c r="D119" s="32">
        <f>D118+D105</f>
        <v>0</v>
      </c>
      <c r="E119" s="32">
        <f t="shared" ref="E119:G119" si="55">E118+E105</f>
        <v>0</v>
      </c>
      <c r="F119" s="32">
        <f t="shared" si="55"/>
        <v>0</v>
      </c>
      <c r="G119" s="32">
        <f t="shared" si="55"/>
        <v>0</v>
      </c>
      <c r="H119" s="34">
        <f t="shared" ref="H119" si="56">H118+H106</f>
        <v>0</v>
      </c>
    </row>
    <row r="120" spans="1:8" x14ac:dyDescent="0.3">
      <c r="A120" s="543" t="s">
        <v>203</v>
      </c>
      <c r="B120" s="544"/>
      <c r="C120" s="544"/>
      <c r="D120" s="544"/>
      <c r="E120" s="544"/>
      <c r="F120" s="544"/>
      <c r="G120" s="545"/>
      <c r="H120" s="546"/>
    </row>
    <row r="121" spans="1:8" ht="15.6" x14ac:dyDescent="0.3">
      <c r="A121" s="549" t="s">
        <v>95</v>
      </c>
      <c r="B121" s="550"/>
      <c r="C121" s="5" t="s">
        <v>3</v>
      </c>
      <c r="D121" s="25">
        <f>Mangochi!I121</f>
        <v>0</v>
      </c>
      <c r="E121" s="25">
        <f>'Monkey Bay'!I121</f>
        <v>0</v>
      </c>
      <c r="F121" s="25">
        <f>Namwera!I121</f>
        <v>0</v>
      </c>
      <c r="G121" s="25">
        <f>Nkhudzi!I121</f>
        <v>0</v>
      </c>
      <c r="H121" s="34">
        <f>SUM(D121:G121)</f>
        <v>0</v>
      </c>
    </row>
    <row r="122" spans="1:8" ht="15.6" x14ac:dyDescent="0.3">
      <c r="A122" s="549" t="s">
        <v>94</v>
      </c>
      <c r="B122" s="550"/>
      <c r="C122" s="5" t="s">
        <v>3</v>
      </c>
      <c r="D122" s="25">
        <f>Mangochi!I122</f>
        <v>0</v>
      </c>
      <c r="E122" s="25">
        <f>'Monkey Bay'!I122</f>
        <v>0</v>
      </c>
      <c r="F122" s="25">
        <f>Namwera!I122</f>
        <v>0</v>
      </c>
      <c r="G122" s="529">
        <f>Nkhudzi!I122</f>
        <v>0</v>
      </c>
      <c r="H122" s="34">
        <f>SUM(D122:G122)</f>
        <v>0</v>
      </c>
    </row>
    <row r="123" spans="1:8" ht="15.6" x14ac:dyDescent="0.3">
      <c r="A123" s="603" t="s">
        <v>93</v>
      </c>
      <c r="B123" s="604"/>
      <c r="C123" s="29" t="s">
        <v>6</v>
      </c>
      <c r="D123" s="28" t="e">
        <f t="shared" ref="D123:H123" si="57">D122/D121</f>
        <v>#DIV/0!</v>
      </c>
      <c r="E123" s="28" t="e">
        <f t="shared" si="57"/>
        <v>#DIV/0!</v>
      </c>
      <c r="F123" s="28" t="e">
        <f t="shared" si="57"/>
        <v>#DIV/0!</v>
      </c>
      <c r="G123" s="28" t="e">
        <f t="shared" si="57"/>
        <v>#DIV/0!</v>
      </c>
      <c r="H123" s="103" t="e">
        <f t="shared" si="57"/>
        <v>#DIV/0!</v>
      </c>
    </row>
    <row r="124" spans="1:8" x14ac:dyDescent="0.3">
      <c r="A124" s="599" t="s">
        <v>92</v>
      </c>
      <c r="B124" s="600"/>
      <c r="C124" s="600"/>
      <c r="D124" s="600"/>
      <c r="E124" s="600"/>
      <c r="F124" s="600"/>
      <c r="G124" s="600"/>
      <c r="H124" s="601"/>
    </row>
    <row r="125" spans="1:8" ht="15.6" x14ac:dyDescent="0.3">
      <c r="A125" s="555" t="s">
        <v>91</v>
      </c>
      <c r="B125" s="23" t="s">
        <v>85</v>
      </c>
      <c r="C125" s="11" t="s">
        <v>3</v>
      </c>
      <c r="D125" s="25">
        <f>Mangochi!G125</f>
        <v>0</v>
      </c>
      <c r="E125" s="25">
        <f>'Monkey Bay'!G125</f>
        <v>0</v>
      </c>
      <c r="F125" s="25">
        <f>Namwera!G125</f>
        <v>0</v>
      </c>
      <c r="G125" s="25">
        <f>Nkhudzi!G125</f>
        <v>0</v>
      </c>
      <c r="H125" s="34">
        <f>D125</f>
        <v>0</v>
      </c>
    </row>
    <row r="126" spans="1:8" ht="15.6" x14ac:dyDescent="0.3">
      <c r="A126" s="602"/>
      <c r="B126" s="23" t="s">
        <v>84</v>
      </c>
      <c r="C126" s="11" t="s">
        <v>3</v>
      </c>
      <c r="D126" s="25">
        <f>Mangochi!G126+Mangochi!H126+Mangochi!I126</f>
        <v>0</v>
      </c>
      <c r="E126" s="25">
        <f>'Monkey Bay'!G126+'Monkey Bay'!H126+'Monkey Bay'!I126</f>
        <v>0</v>
      </c>
      <c r="F126" s="25">
        <f>Namwera!G126+Namwera!H126+Namwera!I126</f>
        <v>0</v>
      </c>
      <c r="G126" s="25">
        <f>Nkhudzi!G126+Nkhudzi!H126+Nkhudzi!I126</f>
        <v>0</v>
      </c>
      <c r="H126" s="34">
        <f>SUM(D126:F126)</f>
        <v>0</v>
      </c>
    </row>
    <row r="127" spans="1:8" ht="15.6" x14ac:dyDescent="0.3">
      <c r="A127" s="602"/>
      <c r="B127" s="79" t="s">
        <v>88</v>
      </c>
      <c r="C127" s="11" t="s">
        <v>3</v>
      </c>
      <c r="D127" s="25">
        <f>Mangochi!G127+Mangochi!H127+Mangochi!I127</f>
        <v>0</v>
      </c>
      <c r="E127" s="25">
        <f>'Monkey Bay'!G127+'Monkey Bay'!H127+'Monkey Bay'!I127</f>
        <v>0</v>
      </c>
      <c r="F127" s="25">
        <f>Namwera!G127+Namwera!H127+Namwera!I127</f>
        <v>0</v>
      </c>
      <c r="G127" s="25">
        <f>Nkhudzi!G127+Nkhudzi!H127+Nkhudzi!I127</f>
        <v>0</v>
      </c>
      <c r="H127" s="34">
        <f>SUM(D127:F127)</f>
        <v>0</v>
      </c>
    </row>
    <row r="128" spans="1:8" ht="15.6" x14ac:dyDescent="0.3">
      <c r="A128" s="602"/>
      <c r="B128" s="23" t="s">
        <v>82</v>
      </c>
      <c r="C128" s="11" t="s">
        <v>3</v>
      </c>
      <c r="D128" s="25">
        <f>Mangochi!G128+Mangochi!H128+Mangochi!I128</f>
        <v>0</v>
      </c>
      <c r="E128" s="25">
        <f>'Monkey Bay'!G128+'Monkey Bay'!H128+'Monkey Bay'!I128</f>
        <v>0</v>
      </c>
      <c r="F128" s="25">
        <f>Namwera!G128+Namwera!H128+Namwera!I128</f>
        <v>0</v>
      </c>
      <c r="G128" s="25">
        <f>Nkhudzi!G128+Nkhudzi!H128+Nkhudzi!I128</f>
        <v>0</v>
      </c>
      <c r="H128" s="34">
        <f>SUM(D128:F128)</f>
        <v>0</v>
      </c>
    </row>
    <row r="129" spans="1:8" ht="15.6" x14ac:dyDescent="0.3">
      <c r="A129" s="556"/>
      <c r="B129" s="23" t="s">
        <v>81</v>
      </c>
      <c r="C129" s="11" t="s">
        <v>3</v>
      </c>
      <c r="D129" s="129">
        <f t="shared" ref="D129:G129" si="58">D125+D126-D127-D128</f>
        <v>0</v>
      </c>
      <c r="E129" s="129">
        <f t="shared" si="58"/>
        <v>0</v>
      </c>
      <c r="F129" s="129">
        <f t="shared" si="58"/>
        <v>0</v>
      </c>
      <c r="G129" s="130">
        <f t="shared" si="58"/>
        <v>0</v>
      </c>
      <c r="H129" s="31">
        <f>H125+H126-H127-H128</f>
        <v>0</v>
      </c>
    </row>
    <row r="130" spans="1:8" ht="15.6" x14ac:dyDescent="0.3">
      <c r="A130" s="555" t="s">
        <v>90</v>
      </c>
      <c r="B130" s="27" t="s">
        <v>85</v>
      </c>
      <c r="C130" s="26" t="s">
        <v>3</v>
      </c>
      <c r="D130" s="25">
        <f>Mangochi!G130</f>
        <v>0</v>
      </c>
      <c r="E130" s="25">
        <f>'Monkey Bay'!G130</f>
        <v>0</v>
      </c>
      <c r="F130" s="25">
        <f>Namwera!G130</f>
        <v>0</v>
      </c>
      <c r="G130" s="25">
        <f>Nkhudzi!G130</f>
        <v>0</v>
      </c>
      <c r="H130" s="34">
        <f>D130</f>
        <v>0</v>
      </c>
    </row>
    <row r="131" spans="1:8" ht="15.6" x14ac:dyDescent="0.3">
      <c r="A131" s="602"/>
      <c r="B131" s="23" t="s">
        <v>84</v>
      </c>
      <c r="C131" s="11" t="s">
        <v>3</v>
      </c>
      <c r="D131" s="25">
        <f>Mangochi!G131+Mangochi!H131+Mangochi!I131</f>
        <v>0</v>
      </c>
      <c r="E131" s="25">
        <f>'Monkey Bay'!G131+'Monkey Bay'!H131+'Monkey Bay'!I131</f>
        <v>0</v>
      </c>
      <c r="F131" s="25">
        <f>Namwera!G131+Namwera!H131+Namwera!I131</f>
        <v>0</v>
      </c>
      <c r="G131" s="25">
        <f>Nkhudzi!G131+Nkhudzi!H131+Nkhudzi!I131</f>
        <v>0</v>
      </c>
      <c r="H131" s="34">
        <f>SUM(D131:F131)</f>
        <v>0</v>
      </c>
    </row>
    <row r="132" spans="1:8" ht="15.6" x14ac:dyDescent="0.3">
      <c r="A132" s="602"/>
      <c r="B132" s="79" t="s">
        <v>88</v>
      </c>
      <c r="C132" s="11" t="s">
        <v>3</v>
      </c>
      <c r="D132" s="25">
        <f>Mangochi!G132+Mangochi!H132+Mangochi!I132</f>
        <v>0</v>
      </c>
      <c r="E132" s="25">
        <f>'Monkey Bay'!G132+'Monkey Bay'!H132+'Monkey Bay'!I132</f>
        <v>0</v>
      </c>
      <c r="F132" s="25">
        <f>Namwera!G132+Namwera!H132+Namwera!I132</f>
        <v>0</v>
      </c>
      <c r="G132" s="25">
        <f>Nkhudzi!G132+Nkhudzi!H132+Nkhudzi!I132</f>
        <v>0</v>
      </c>
      <c r="H132" s="34">
        <f>SUM(D132:F132)</f>
        <v>0</v>
      </c>
    </row>
    <row r="133" spans="1:8" ht="15.6" x14ac:dyDescent="0.3">
      <c r="A133" s="602"/>
      <c r="B133" s="23" t="s">
        <v>82</v>
      </c>
      <c r="C133" s="11" t="s">
        <v>3</v>
      </c>
      <c r="D133" s="25">
        <f>Mangochi!G133+Mangochi!H133+Mangochi!I133</f>
        <v>0</v>
      </c>
      <c r="E133" s="25">
        <f>'Monkey Bay'!G133+'Monkey Bay'!H133+'Monkey Bay'!I133</f>
        <v>0</v>
      </c>
      <c r="F133" s="25">
        <f>Namwera!G133+Namwera!H133+Namwera!I133</f>
        <v>0</v>
      </c>
      <c r="G133" s="25">
        <f>Nkhudzi!G133+Nkhudzi!H133+Nkhudzi!I133</f>
        <v>0</v>
      </c>
      <c r="H133" s="34">
        <f>SUM(D133:F133)</f>
        <v>0</v>
      </c>
    </row>
    <row r="134" spans="1:8" ht="15.6" x14ac:dyDescent="0.3">
      <c r="A134" s="556"/>
      <c r="B134" s="23" t="s">
        <v>81</v>
      </c>
      <c r="C134" s="11" t="s">
        <v>3</v>
      </c>
      <c r="D134" s="129">
        <f t="shared" ref="D134:G134" si="59">D130+D131-D132-D133</f>
        <v>0</v>
      </c>
      <c r="E134" s="129">
        <f t="shared" si="59"/>
        <v>0</v>
      </c>
      <c r="F134" s="129">
        <f t="shared" si="59"/>
        <v>0</v>
      </c>
      <c r="G134" s="130">
        <f t="shared" si="59"/>
        <v>0</v>
      </c>
      <c r="H134" s="31">
        <f>H130+H131-H132-H133</f>
        <v>0</v>
      </c>
    </row>
    <row r="135" spans="1:8" ht="15.6" x14ac:dyDescent="0.3">
      <c r="A135" s="555" t="s">
        <v>89</v>
      </c>
      <c r="B135" s="23" t="s">
        <v>85</v>
      </c>
      <c r="C135" s="11" t="s">
        <v>3</v>
      </c>
      <c r="D135" s="25">
        <f>Mangochi!G135</f>
        <v>0</v>
      </c>
      <c r="E135" s="25">
        <f>'Monkey Bay'!G135</f>
        <v>0</v>
      </c>
      <c r="F135" s="25">
        <f>Namwera!G135</f>
        <v>0</v>
      </c>
      <c r="G135" s="25">
        <f>Nkhudzi!G135</f>
        <v>0</v>
      </c>
      <c r="H135" s="34">
        <f>D135</f>
        <v>0</v>
      </c>
    </row>
    <row r="136" spans="1:8" ht="15.6" x14ac:dyDescent="0.3">
      <c r="A136" s="602"/>
      <c r="B136" s="23" t="s">
        <v>84</v>
      </c>
      <c r="C136" s="11" t="s">
        <v>3</v>
      </c>
      <c r="D136" s="25">
        <f>Mangochi!G136+Mangochi!H136+Mangochi!I136</f>
        <v>0</v>
      </c>
      <c r="E136" s="25">
        <f>'Monkey Bay'!G136+'Monkey Bay'!H136+'Monkey Bay'!I136</f>
        <v>0</v>
      </c>
      <c r="F136" s="25">
        <f>Namwera!G136+Namwera!H136+Namwera!I136</f>
        <v>0</v>
      </c>
      <c r="G136" s="25">
        <f>Nkhudzi!G136+Nkhudzi!H136+Nkhudzi!I136</f>
        <v>0</v>
      </c>
      <c r="H136" s="34">
        <f>SUM(D136:F136)</f>
        <v>0</v>
      </c>
    </row>
    <row r="137" spans="1:8" ht="15.6" x14ac:dyDescent="0.3">
      <c r="A137" s="602"/>
      <c r="B137" s="79" t="s">
        <v>88</v>
      </c>
      <c r="C137" s="11" t="s">
        <v>3</v>
      </c>
      <c r="D137" s="25">
        <f>Mangochi!G137+Mangochi!H137+Mangochi!I137</f>
        <v>0</v>
      </c>
      <c r="E137" s="25">
        <f>'Monkey Bay'!G137+'Monkey Bay'!H137+'Monkey Bay'!I137</f>
        <v>0</v>
      </c>
      <c r="F137" s="25">
        <f>Namwera!G137+Namwera!H137+Namwera!I137</f>
        <v>0</v>
      </c>
      <c r="G137" s="25">
        <f>Nkhudzi!G137+Nkhudzi!H137+Nkhudzi!I137</f>
        <v>0</v>
      </c>
      <c r="H137" s="34">
        <f>SUM(D137:F137)</f>
        <v>0</v>
      </c>
    </row>
    <row r="138" spans="1:8" ht="15.6" x14ac:dyDescent="0.3">
      <c r="A138" s="602"/>
      <c r="B138" s="23" t="s">
        <v>82</v>
      </c>
      <c r="C138" s="11" t="s">
        <v>3</v>
      </c>
      <c r="D138" s="25">
        <f>Mangochi!G138+Mangochi!H138+Mangochi!I138</f>
        <v>0</v>
      </c>
      <c r="E138" s="25">
        <f>'Monkey Bay'!G138+'Monkey Bay'!H138+'Monkey Bay'!I138</f>
        <v>0</v>
      </c>
      <c r="F138" s="25">
        <f>Namwera!G138+Namwera!H138+Namwera!I138</f>
        <v>0</v>
      </c>
      <c r="G138" s="25">
        <f>Nkhudzi!G138+Nkhudzi!H138+Nkhudzi!I138</f>
        <v>0</v>
      </c>
      <c r="H138" s="34">
        <f>SUM(D138:F138)</f>
        <v>0</v>
      </c>
    </row>
    <row r="139" spans="1:8" ht="15.6" x14ac:dyDescent="0.3">
      <c r="A139" s="556"/>
      <c r="B139" s="23" t="s">
        <v>81</v>
      </c>
      <c r="C139" s="11" t="s">
        <v>3</v>
      </c>
      <c r="D139" s="129">
        <f t="shared" ref="D139:G139" si="60">D135+D136-D137-D138</f>
        <v>0</v>
      </c>
      <c r="E139" s="129">
        <f t="shared" si="60"/>
        <v>0</v>
      </c>
      <c r="F139" s="129">
        <f t="shared" si="60"/>
        <v>0</v>
      </c>
      <c r="G139" s="130">
        <f t="shared" si="60"/>
        <v>0</v>
      </c>
      <c r="H139" s="31">
        <f>H135+H136-H137-H138</f>
        <v>0</v>
      </c>
    </row>
    <row r="140" spans="1:8" ht="15.6" x14ac:dyDescent="0.3">
      <c r="A140" s="555" t="s">
        <v>87</v>
      </c>
      <c r="B140" s="23" t="s">
        <v>85</v>
      </c>
      <c r="C140" s="11" t="s">
        <v>3</v>
      </c>
      <c r="D140" s="25">
        <f>Mangochi!G140</f>
        <v>0</v>
      </c>
      <c r="E140" s="25">
        <f>'Monkey Bay'!G140</f>
        <v>0</v>
      </c>
      <c r="F140" s="25">
        <f>Namwera!G140</f>
        <v>0</v>
      </c>
      <c r="G140" s="25">
        <f>Nkhudzi!G140</f>
        <v>0</v>
      </c>
      <c r="H140" s="34">
        <f>D140</f>
        <v>0</v>
      </c>
    </row>
    <row r="141" spans="1:8" ht="15.6" x14ac:dyDescent="0.3">
      <c r="A141" s="602"/>
      <c r="B141" s="23" t="s">
        <v>84</v>
      </c>
      <c r="C141" s="11" t="s">
        <v>3</v>
      </c>
      <c r="D141" s="25">
        <f>Mangochi!G141+Mangochi!H141+Mangochi!I141</f>
        <v>0</v>
      </c>
      <c r="E141" s="25">
        <f>'Monkey Bay'!G141+'Monkey Bay'!H141+'Monkey Bay'!I141</f>
        <v>0</v>
      </c>
      <c r="F141" s="25">
        <f>Namwera!G141+Namwera!H141+Namwera!I141</f>
        <v>0</v>
      </c>
      <c r="G141" s="25">
        <f>Nkhudzi!G141+Nkhudzi!H141+Nkhudzi!I141</f>
        <v>0</v>
      </c>
      <c r="H141" s="34">
        <f>SUM(D141:F141)</f>
        <v>0</v>
      </c>
    </row>
    <row r="142" spans="1:8" ht="15.6" x14ac:dyDescent="0.3">
      <c r="A142" s="602"/>
      <c r="B142" s="23" t="s">
        <v>83</v>
      </c>
      <c r="C142" s="11" t="s">
        <v>3</v>
      </c>
      <c r="D142" s="25">
        <f>Mangochi!G142+Mangochi!H142+Mangochi!I142</f>
        <v>0</v>
      </c>
      <c r="E142" s="25">
        <f>'Monkey Bay'!G142+'Monkey Bay'!H142+'Monkey Bay'!I142</f>
        <v>0</v>
      </c>
      <c r="F142" s="25">
        <f>Namwera!G142+Namwera!H142+Namwera!I142</f>
        <v>0</v>
      </c>
      <c r="G142" s="25">
        <f>Nkhudzi!G142+Nkhudzi!H142+Nkhudzi!I142</f>
        <v>0</v>
      </c>
      <c r="H142" s="34">
        <f>SUM(D142:F142)</f>
        <v>0</v>
      </c>
    </row>
    <row r="143" spans="1:8" ht="15.6" x14ac:dyDescent="0.3">
      <c r="A143" s="602"/>
      <c r="B143" s="23" t="s">
        <v>82</v>
      </c>
      <c r="C143" s="11" t="s">
        <v>3</v>
      </c>
      <c r="D143" s="25">
        <f>Mangochi!G143+Mangochi!H143+Mangochi!I143</f>
        <v>0</v>
      </c>
      <c r="E143" s="25">
        <f>'Monkey Bay'!G143+'Monkey Bay'!H143+'Monkey Bay'!I143</f>
        <v>0</v>
      </c>
      <c r="F143" s="25">
        <f>Namwera!G143+Namwera!H143+Namwera!I143</f>
        <v>0</v>
      </c>
      <c r="G143" s="25">
        <f>Nkhudzi!G143+Nkhudzi!H143+Nkhudzi!I143</f>
        <v>0</v>
      </c>
      <c r="H143" s="34">
        <f>SUM(D143:F143)</f>
        <v>0</v>
      </c>
    </row>
    <row r="144" spans="1:8" ht="15.6" x14ac:dyDescent="0.3">
      <c r="A144" s="556"/>
      <c r="B144" s="23" t="s">
        <v>81</v>
      </c>
      <c r="C144" s="11" t="s">
        <v>3</v>
      </c>
      <c r="D144" s="129">
        <f t="shared" ref="D144:G144" si="61">D140+D141-D142-D143</f>
        <v>0</v>
      </c>
      <c r="E144" s="129">
        <f t="shared" si="61"/>
        <v>0</v>
      </c>
      <c r="F144" s="129">
        <f t="shared" si="61"/>
        <v>0</v>
      </c>
      <c r="G144" s="130">
        <f t="shared" si="61"/>
        <v>0</v>
      </c>
      <c r="H144" s="31">
        <f>H140+H141-H142-H143</f>
        <v>0</v>
      </c>
    </row>
    <row r="145" spans="1:8" s="2" customFormat="1" ht="15.6" x14ac:dyDescent="0.3">
      <c r="A145" s="555" t="s">
        <v>86</v>
      </c>
      <c r="B145" s="23" t="s">
        <v>85</v>
      </c>
      <c r="C145" s="11" t="s">
        <v>3</v>
      </c>
      <c r="D145" s="130">
        <f>D125+D130+D135+D140</f>
        <v>0</v>
      </c>
      <c r="E145" s="130">
        <f t="shared" ref="E145:H149" si="62">E125+E130+E135+E140</f>
        <v>0</v>
      </c>
      <c r="F145" s="130">
        <f t="shared" si="62"/>
        <v>0</v>
      </c>
      <c r="G145" s="128">
        <f t="shared" si="62"/>
        <v>0</v>
      </c>
      <c r="H145" s="54">
        <f t="shared" si="62"/>
        <v>0</v>
      </c>
    </row>
    <row r="146" spans="1:8" ht="15.6" x14ac:dyDescent="0.3">
      <c r="A146" s="602"/>
      <c r="B146" s="23" t="s">
        <v>84</v>
      </c>
      <c r="C146" s="11" t="s">
        <v>3</v>
      </c>
      <c r="D146" s="130">
        <f t="shared" ref="D146:F148" si="63">D126+D131+D136+D141</f>
        <v>0</v>
      </c>
      <c r="E146" s="130">
        <f t="shared" si="63"/>
        <v>0</v>
      </c>
      <c r="F146" s="130">
        <f t="shared" si="63"/>
        <v>0</v>
      </c>
      <c r="G146" s="128">
        <f t="shared" si="62"/>
        <v>0</v>
      </c>
      <c r="H146" s="54">
        <f t="shared" si="62"/>
        <v>0</v>
      </c>
    </row>
    <row r="147" spans="1:8" ht="15.6" x14ac:dyDescent="0.3">
      <c r="A147" s="602"/>
      <c r="B147" s="23" t="s">
        <v>83</v>
      </c>
      <c r="C147" s="11" t="s">
        <v>3</v>
      </c>
      <c r="D147" s="130">
        <f t="shared" si="63"/>
        <v>0</v>
      </c>
      <c r="E147" s="130">
        <f t="shared" si="63"/>
        <v>0</v>
      </c>
      <c r="F147" s="130">
        <f t="shared" si="63"/>
        <v>0</v>
      </c>
      <c r="G147" s="128">
        <f t="shared" si="62"/>
        <v>0</v>
      </c>
      <c r="H147" s="54">
        <f t="shared" si="62"/>
        <v>0</v>
      </c>
    </row>
    <row r="148" spans="1:8" ht="15.6" x14ac:dyDescent="0.3">
      <c r="A148" s="602"/>
      <c r="B148" s="23" t="s">
        <v>82</v>
      </c>
      <c r="C148" s="11" t="s">
        <v>3</v>
      </c>
      <c r="D148" s="130">
        <f t="shared" si="63"/>
        <v>0</v>
      </c>
      <c r="E148" s="130">
        <f t="shared" si="63"/>
        <v>0</v>
      </c>
      <c r="F148" s="130">
        <f t="shared" si="63"/>
        <v>0</v>
      </c>
      <c r="G148" s="128">
        <f t="shared" si="62"/>
        <v>0</v>
      </c>
      <c r="H148" s="54">
        <f t="shared" si="62"/>
        <v>0</v>
      </c>
    </row>
    <row r="149" spans="1:8" ht="15.6" x14ac:dyDescent="0.3">
      <c r="A149" s="556"/>
      <c r="B149" s="23" t="s">
        <v>81</v>
      </c>
      <c r="C149" s="11" t="s">
        <v>3</v>
      </c>
      <c r="D149" s="129">
        <f>D145+D146-D147-D148</f>
        <v>0</v>
      </c>
      <c r="E149" s="129">
        <f t="shared" ref="E149:G149" si="64">E145+E146-E147-E148</f>
        <v>0</v>
      </c>
      <c r="F149" s="129">
        <f t="shared" si="64"/>
        <v>0</v>
      </c>
      <c r="G149" s="130">
        <f t="shared" si="64"/>
        <v>0</v>
      </c>
      <c r="H149" s="54">
        <f t="shared" si="62"/>
        <v>0</v>
      </c>
    </row>
    <row r="150" spans="1:8" x14ac:dyDescent="0.3">
      <c r="A150" s="543" t="s">
        <v>80</v>
      </c>
      <c r="B150" s="544"/>
      <c r="C150" s="544"/>
      <c r="D150" s="544"/>
      <c r="E150" s="544"/>
      <c r="F150" s="544"/>
      <c r="G150" s="544"/>
      <c r="H150" s="546"/>
    </row>
    <row r="151" spans="1:8" ht="15.6" customHeight="1" x14ac:dyDescent="0.3">
      <c r="A151" s="615" t="s">
        <v>79</v>
      </c>
      <c r="B151" s="616"/>
      <c r="C151" s="616"/>
      <c r="D151" s="616"/>
      <c r="E151" s="616"/>
      <c r="F151" s="616"/>
      <c r="G151" s="616"/>
      <c r="H151" s="617"/>
    </row>
    <row r="152" spans="1:8" ht="15.6" x14ac:dyDescent="0.3">
      <c r="A152" s="605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06"/>
      <c r="B153" s="19" t="s">
        <v>73</v>
      </c>
      <c r="C153" s="11" t="s">
        <v>57</v>
      </c>
      <c r="D153" s="25">
        <f>Mangochi!G153+Mangochi!H153+Mangochi!I153</f>
        <v>0</v>
      </c>
      <c r="E153" s="25">
        <f>'Monkey Bay'!G153+'Monkey Bay'!H153+'Monkey Bay'!I153</f>
        <v>0</v>
      </c>
      <c r="F153" s="25">
        <f>Namwera!G153+Namwera!H153+Namwera!I153</f>
        <v>0</v>
      </c>
      <c r="G153" s="25">
        <f>Nkhudzi!G153+Nkhudzi!H153+Nkhudzi!I153</f>
        <v>0</v>
      </c>
      <c r="H153" s="18">
        <f t="shared" ref="H153:H192" si="65">SUM(D153:G153)</f>
        <v>0</v>
      </c>
    </row>
    <row r="154" spans="1:8" ht="15.6" x14ac:dyDescent="0.3">
      <c r="A154" s="606"/>
      <c r="B154" s="19" t="s">
        <v>72</v>
      </c>
      <c r="C154" s="11" t="s">
        <v>57</v>
      </c>
      <c r="D154" s="25">
        <f>Mangochi!G154+Mangochi!H154+Mangochi!I154</f>
        <v>0</v>
      </c>
      <c r="E154" s="25">
        <f>'Monkey Bay'!G154+'Monkey Bay'!H154+'Monkey Bay'!I154</f>
        <v>0</v>
      </c>
      <c r="F154" s="25">
        <f>Namwera!G154+Namwera!H154+Namwera!I154</f>
        <v>0</v>
      </c>
      <c r="G154" s="25">
        <f>Nkhudzi!G154+Nkhudzi!H154+Nkhudzi!I154</f>
        <v>0</v>
      </c>
      <c r="H154" s="18">
        <f t="shared" si="65"/>
        <v>0</v>
      </c>
    </row>
    <row r="155" spans="1:8" ht="15.6" x14ac:dyDescent="0.3">
      <c r="A155" s="606"/>
      <c r="B155" s="19" t="s">
        <v>53</v>
      </c>
      <c r="C155" s="11" t="s">
        <v>57</v>
      </c>
      <c r="D155" s="25">
        <f>Mangochi!G155+Mangochi!H155+Mangochi!I155</f>
        <v>0</v>
      </c>
      <c r="E155" s="25">
        <f>'Monkey Bay'!G155+'Monkey Bay'!H155+'Monkey Bay'!I155</f>
        <v>0</v>
      </c>
      <c r="F155" s="25">
        <f>Namwera!G155+Namwera!H155+Namwera!I155</f>
        <v>0</v>
      </c>
      <c r="G155" s="25">
        <f>Nkhudzi!G155+Nkhudzi!H155+Nkhudzi!I155</f>
        <v>0</v>
      </c>
      <c r="H155" s="18">
        <f t="shared" si="65"/>
        <v>0</v>
      </c>
    </row>
    <row r="156" spans="1:8" ht="15.6" x14ac:dyDescent="0.3">
      <c r="A156" s="606"/>
      <c r="B156" s="19" t="s">
        <v>71</v>
      </c>
      <c r="C156" s="11" t="s">
        <v>57</v>
      </c>
      <c r="D156" s="25">
        <f>Mangochi!G156+Mangochi!H156+Mangochi!I156</f>
        <v>0</v>
      </c>
      <c r="E156" s="25">
        <f>'Monkey Bay'!G156+'Monkey Bay'!H156+'Monkey Bay'!I156</f>
        <v>0</v>
      </c>
      <c r="F156" s="25">
        <f>Namwera!G156+Namwera!H156+Namwera!I156</f>
        <v>0</v>
      </c>
      <c r="G156" s="25">
        <f>Nkhudzi!G156+Nkhudzi!H156+Nkhudzi!I156</f>
        <v>0</v>
      </c>
      <c r="H156" s="18">
        <f t="shared" si="65"/>
        <v>0</v>
      </c>
    </row>
    <row r="157" spans="1:8" ht="15.6" x14ac:dyDescent="0.3">
      <c r="A157" s="606"/>
      <c r="B157" s="19" t="s">
        <v>52</v>
      </c>
      <c r="C157" s="11" t="s">
        <v>57</v>
      </c>
      <c r="D157" s="25">
        <f>Mangochi!G157+Mangochi!H157+Mangochi!I157</f>
        <v>0</v>
      </c>
      <c r="E157" s="25">
        <f>'Monkey Bay'!G157+'Monkey Bay'!H157+'Monkey Bay'!I157</f>
        <v>0</v>
      </c>
      <c r="F157" s="25">
        <f>Namwera!G157+Namwera!H157+Namwera!I157</f>
        <v>0</v>
      </c>
      <c r="G157" s="25">
        <f>Nkhudzi!G157+Nkhudzi!H157+Nkhudzi!I157</f>
        <v>0</v>
      </c>
      <c r="H157" s="18">
        <f t="shared" si="65"/>
        <v>0</v>
      </c>
    </row>
    <row r="158" spans="1:8" ht="15.6" x14ac:dyDescent="0.3">
      <c r="A158" s="606"/>
      <c r="B158" s="19" t="s">
        <v>51</v>
      </c>
      <c r="C158" s="11" t="s">
        <v>57</v>
      </c>
      <c r="D158" s="25">
        <f>Mangochi!G158+Mangochi!H158+Mangochi!I158</f>
        <v>0</v>
      </c>
      <c r="E158" s="25">
        <f>'Monkey Bay'!G158+'Monkey Bay'!H158+'Monkey Bay'!I158</f>
        <v>0</v>
      </c>
      <c r="F158" s="25">
        <f>Namwera!G158+Namwera!H158+Namwera!I158</f>
        <v>0</v>
      </c>
      <c r="G158" s="25">
        <f>Nkhudzi!G158+Nkhudzi!H158+Nkhudzi!I158</f>
        <v>0</v>
      </c>
      <c r="H158" s="18">
        <f t="shared" si="65"/>
        <v>0</v>
      </c>
    </row>
    <row r="159" spans="1:8" ht="15.6" x14ac:dyDescent="0.3">
      <c r="A159" s="606"/>
      <c r="B159" s="19" t="s">
        <v>62</v>
      </c>
      <c r="C159" s="11" t="s">
        <v>57</v>
      </c>
      <c r="D159" s="25">
        <f>Mangochi!G159+Mangochi!H159+Mangochi!I159</f>
        <v>0</v>
      </c>
      <c r="E159" s="25">
        <f>'Monkey Bay'!G159+'Monkey Bay'!H159+'Monkey Bay'!I159</f>
        <v>0</v>
      </c>
      <c r="F159" s="25">
        <f>Namwera!G159+Namwera!H159+Namwera!I159</f>
        <v>0</v>
      </c>
      <c r="G159" s="25">
        <f>Nkhudzi!G159+Nkhudzi!H159+Nkhudzi!I159</f>
        <v>0</v>
      </c>
      <c r="H159" s="18">
        <f t="shared" si="65"/>
        <v>0</v>
      </c>
    </row>
    <row r="160" spans="1:8" ht="15.6" x14ac:dyDescent="0.3">
      <c r="A160" s="606"/>
      <c r="B160" s="19" t="s">
        <v>50</v>
      </c>
      <c r="C160" s="11" t="s">
        <v>57</v>
      </c>
      <c r="D160" s="25">
        <f>Mangochi!G160+Mangochi!H160+Mangochi!I160</f>
        <v>0</v>
      </c>
      <c r="E160" s="25">
        <f>'Monkey Bay'!G160+'Monkey Bay'!H160+'Monkey Bay'!I160</f>
        <v>0</v>
      </c>
      <c r="F160" s="25">
        <f>Namwera!G160+Namwera!H160+Namwera!I160</f>
        <v>0</v>
      </c>
      <c r="G160" s="25">
        <f>Nkhudzi!G160+Nkhudzi!H160+Nkhudzi!I160</f>
        <v>0</v>
      </c>
      <c r="H160" s="18">
        <f t="shared" si="65"/>
        <v>0</v>
      </c>
    </row>
    <row r="161" spans="1:8" ht="15.6" x14ac:dyDescent="0.3">
      <c r="A161" s="606"/>
      <c r="B161" s="19" t="s">
        <v>49</v>
      </c>
      <c r="C161" s="11" t="s">
        <v>57</v>
      </c>
      <c r="D161" s="25">
        <f>Mangochi!G161+Mangochi!H161+Mangochi!I161</f>
        <v>0</v>
      </c>
      <c r="E161" s="25">
        <f>'Monkey Bay'!G161+'Monkey Bay'!H161+'Monkey Bay'!I161</f>
        <v>0</v>
      </c>
      <c r="F161" s="25">
        <f>Namwera!G161+Namwera!H161+Namwera!I161</f>
        <v>0</v>
      </c>
      <c r="G161" s="25">
        <f>Nkhudzi!G161+Nkhudzi!H161+Nkhudzi!I161</f>
        <v>0</v>
      </c>
      <c r="H161" s="18">
        <f t="shared" si="65"/>
        <v>0</v>
      </c>
    </row>
    <row r="162" spans="1:8" ht="15.6" x14ac:dyDescent="0.3">
      <c r="A162" s="606"/>
      <c r="B162" s="19" t="s">
        <v>77</v>
      </c>
      <c r="C162" s="11" t="s">
        <v>57</v>
      </c>
      <c r="D162" s="25">
        <f>Mangochi!G162+Mangochi!H162+Mangochi!I162</f>
        <v>0</v>
      </c>
      <c r="E162" s="25">
        <f>'Monkey Bay'!G162+'Monkey Bay'!H162+'Monkey Bay'!I162</f>
        <v>0</v>
      </c>
      <c r="F162" s="25">
        <f>Namwera!G162+Namwera!H162+Namwera!I162</f>
        <v>0</v>
      </c>
      <c r="G162" s="25">
        <f>Nkhudzi!G162+Nkhudzi!H162+Nkhudzi!I162</f>
        <v>0</v>
      </c>
      <c r="H162" s="18">
        <f t="shared" si="65"/>
        <v>0</v>
      </c>
    </row>
    <row r="163" spans="1:8" ht="15.6" x14ac:dyDescent="0.3">
      <c r="A163" s="606"/>
      <c r="B163" s="19" t="s">
        <v>69</v>
      </c>
      <c r="C163" s="11" t="s">
        <v>57</v>
      </c>
      <c r="D163" s="25">
        <f>Mangochi!G163+Mangochi!H163+Mangochi!I163</f>
        <v>0</v>
      </c>
      <c r="E163" s="25">
        <f>'Monkey Bay'!G163+'Monkey Bay'!H163+'Monkey Bay'!I163</f>
        <v>0</v>
      </c>
      <c r="F163" s="25">
        <f>Namwera!G163+Namwera!H163+Namwera!I163</f>
        <v>0</v>
      </c>
      <c r="G163" s="25">
        <f>Nkhudzi!G163+Nkhudzi!H163+Nkhudzi!I163</f>
        <v>0</v>
      </c>
      <c r="H163" s="18">
        <f t="shared" si="65"/>
        <v>0</v>
      </c>
    </row>
    <row r="164" spans="1:8" ht="15.6" x14ac:dyDescent="0.3">
      <c r="A164" s="606"/>
      <c r="B164" s="19" t="s">
        <v>68</v>
      </c>
      <c r="C164" s="11" t="s">
        <v>57</v>
      </c>
      <c r="D164" s="25">
        <f>Mangochi!G164+Mangochi!H164+Mangochi!I164</f>
        <v>0</v>
      </c>
      <c r="E164" s="25">
        <f>'Monkey Bay'!G164+'Monkey Bay'!H164+'Monkey Bay'!I164</f>
        <v>0</v>
      </c>
      <c r="F164" s="25">
        <f>Namwera!G164+Namwera!H164+Namwera!I164</f>
        <v>0</v>
      </c>
      <c r="G164" s="25">
        <f>Nkhudzi!G164+Nkhudzi!H164+Nkhudzi!I164</f>
        <v>0</v>
      </c>
      <c r="H164" s="18">
        <f t="shared" si="65"/>
        <v>0</v>
      </c>
    </row>
    <row r="165" spans="1:8" ht="15.6" x14ac:dyDescent="0.3">
      <c r="A165" s="607"/>
      <c r="B165" s="19" t="s">
        <v>76</v>
      </c>
      <c r="C165" s="11" t="s">
        <v>57</v>
      </c>
      <c r="D165" s="25">
        <f>Mangochi!G165+Mangochi!H165+Mangochi!I165</f>
        <v>0</v>
      </c>
      <c r="E165" s="25">
        <f>'Monkey Bay'!G165+'Monkey Bay'!H165+'Monkey Bay'!I165</f>
        <v>0</v>
      </c>
      <c r="F165" s="25">
        <f>Namwera!G165+Namwera!H165+Namwera!I165</f>
        <v>0</v>
      </c>
      <c r="G165" s="25">
        <f>Nkhudzi!G165+Nkhudzi!H165+Nkhudzi!I165</f>
        <v>0</v>
      </c>
      <c r="H165" s="18">
        <f t="shared" si="65"/>
        <v>0</v>
      </c>
    </row>
    <row r="166" spans="1:8" ht="15.6" x14ac:dyDescent="0.3">
      <c r="A166" s="605" t="s">
        <v>75</v>
      </c>
      <c r="B166" s="21" t="s">
        <v>63</v>
      </c>
      <c r="C166" s="11"/>
      <c r="D166" s="4"/>
      <c r="E166" s="4"/>
      <c r="F166" s="4"/>
      <c r="G166" s="4">
        <f>Nkhudzi!G166+Nkhudzi!H166+Nkhudzi!I166</f>
        <v>0</v>
      </c>
      <c r="H166" s="18">
        <f t="shared" si="65"/>
        <v>0</v>
      </c>
    </row>
    <row r="167" spans="1:8" ht="15.6" x14ac:dyDescent="0.3">
      <c r="A167" s="606"/>
      <c r="B167" s="19" t="s">
        <v>74</v>
      </c>
      <c r="C167" s="11" t="s">
        <v>57</v>
      </c>
      <c r="D167" s="25">
        <f>Mangochi!G167+Mangochi!H167+Mangochi!I167</f>
        <v>0</v>
      </c>
      <c r="E167" s="25">
        <f>'Monkey Bay'!G167+'Monkey Bay'!H167+'Monkey Bay'!I167</f>
        <v>0</v>
      </c>
      <c r="F167" s="25">
        <f>Namwera!G167+Namwera!H167+Namwera!I167</f>
        <v>0</v>
      </c>
      <c r="G167" s="25">
        <f>Nkhudzi!G167+Nkhudzi!H167+Nkhudzi!I167</f>
        <v>0</v>
      </c>
      <c r="H167" s="18">
        <f t="shared" si="65"/>
        <v>0</v>
      </c>
    </row>
    <row r="168" spans="1:8" ht="15.6" x14ac:dyDescent="0.3">
      <c r="A168" s="606"/>
      <c r="B168" s="19" t="s">
        <v>73</v>
      </c>
      <c r="C168" s="11" t="s">
        <v>57</v>
      </c>
      <c r="D168" s="25">
        <f>Mangochi!G168+Mangochi!H168+Mangochi!I168</f>
        <v>0</v>
      </c>
      <c r="E168" s="25">
        <f>'Monkey Bay'!G168+'Monkey Bay'!H168+'Monkey Bay'!I168</f>
        <v>0</v>
      </c>
      <c r="F168" s="25">
        <f>Namwera!G168+Namwera!H168+Namwera!I168</f>
        <v>0</v>
      </c>
      <c r="G168" s="25">
        <f>Nkhudzi!G168+Nkhudzi!H168+Nkhudzi!I168</f>
        <v>0</v>
      </c>
      <c r="H168" s="18">
        <f t="shared" si="65"/>
        <v>0</v>
      </c>
    </row>
    <row r="169" spans="1:8" ht="15.6" x14ac:dyDescent="0.3">
      <c r="A169" s="606"/>
      <c r="B169" s="19" t="s">
        <v>72</v>
      </c>
      <c r="C169" s="11" t="s">
        <v>57</v>
      </c>
      <c r="D169" s="25">
        <f>Mangochi!G169+Mangochi!H169+Mangochi!I169</f>
        <v>0</v>
      </c>
      <c r="E169" s="25">
        <f>'Monkey Bay'!G169+'Monkey Bay'!H169+'Monkey Bay'!I169</f>
        <v>0</v>
      </c>
      <c r="F169" s="25">
        <f>Namwera!G169+Namwera!H169+Namwera!I169</f>
        <v>0</v>
      </c>
      <c r="G169" s="25">
        <f>Nkhudzi!G169+Nkhudzi!H169+Nkhudzi!I169</f>
        <v>0</v>
      </c>
      <c r="H169" s="18">
        <f t="shared" si="65"/>
        <v>0</v>
      </c>
    </row>
    <row r="170" spans="1:8" ht="15.6" x14ac:dyDescent="0.3">
      <c r="A170" s="606"/>
      <c r="B170" s="19" t="s">
        <v>71</v>
      </c>
      <c r="C170" s="11" t="s">
        <v>57</v>
      </c>
      <c r="D170" s="25">
        <f>Mangochi!G170+Mangochi!H170+Mangochi!I170</f>
        <v>0</v>
      </c>
      <c r="E170" s="25">
        <f>'Monkey Bay'!G170+'Monkey Bay'!H170+'Monkey Bay'!I170</f>
        <v>0</v>
      </c>
      <c r="F170" s="25">
        <f>Namwera!G170+Namwera!H170+Namwera!I170</f>
        <v>0</v>
      </c>
      <c r="G170" s="25">
        <f>Nkhudzi!G170+Nkhudzi!H170+Nkhudzi!I170</f>
        <v>0</v>
      </c>
      <c r="H170" s="18">
        <f t="shared" si="65"/>
        <v>0</v>
      </c>
    </row>
    <row r="171" spans="1:8" ht="15.6" x14ac:dyDescent="0.3">
      <c r="A171" s="606"/>
      <c r="B171" s="19" t="s">
        <v>52</v>
      </c>
      <c r="C171" s="11" t="s">
        <v>57</v>
      </c>
      <c r="D171" s="25">
        <f>Mangochi!G171+Mangochi!H171+Mangochi!I171</f>
        <v>0</v>
      </c>
      <c r="E171" s="25">
        <f>'Monkey Bay'!G171+'Monkey Bay'!H171+'Monkey Bay'!I171</f>
        <v>0</v>
      </c>
      <c r="F171" s="25">
        <f>Namwera!G171+Namwera!H171+Namwera!I171</f>
        <v>0</v>
      </c>
      <c r="G171" s="25">
        <f>Nkhudzi!G171+Nkhudzi!H171+Nkhudzi!I171</f>
        <v>0</v>
      </c>
      <c r="H171" s="18">
        <f t="shared" si="65"/>
        <v>0</v>
      </c>
    </row>
    <row r="172" spans="1:8" ht="15.6" x14ac:dyDescent="0.3">
      <c r="A172" s="606"/>
      <c r="B172" s="19" t="s">
        <v>62</v>
      </c>
      <c r="C172" s="11" t="s">
        <v>57</v>
      </c>
      <c r="D172" s="25">
        <f>Mangochi!G172+Mangochi!H172+Mangochi!I172</f>
        <v>0</v>
      </c>
      <c r="E172" s="25">
        <f>'Monkey Bay'!G172+'Monkey Bay'!H172+'Monkey Bay'!I172</f>
        <v>0</v>
      </c>
      <c r="F172" s="25">
        <f>Namwera!G172+Namwera!H172+Namwera!I172</f>
        <v>0</v>
      </c>
      <c r="G172" s="25">
        <f>Nkhudzi!G172+Nkhudzi!H172+Nkhudzi!I172</f>
        <v>0</v>
      </c>
      <c r="H172" s="18">
        <f t="shared" si="65"/>
        <v>0</v>
      </c>
    </row>
    <row r="173" spans="1:8" ht="15.6" x14ac:dyDescent="0.3">
      <c r="A173" s="606"/>
      <c r="B173" s="19" t="s">
        <v>61</v>
      </c>
      <c r="C173" s="11" t="s">
        <v>57</v>
      </c>
      <c r="D173" s="25">
        <f>Mangochi!G173+Mangochi!H173+Mangochi!I173</f>
        <v>0</v>
      </c>
      <c r="E173" s="25">
        <f>'Monkey Bay'!G173+'Monkey Bay'!H173+'Monkey Bay'!I173</f>
        <v>0</v>
      </c>
      <c r="F173" s="25">
        <f>Namwera!G173+Namwera!H173+Namwera!I173</f>
        <v>0</v>
      </c>
      <c r="G173" s="25">
        <f>Nkhudzi!G173+Nkhudzi!H173+Nkhudzi!I173</f>
        <v>0</v>
      </c>
      <c r="H173" s="18">
        <f t="shared" si="65"/>
        <v>0</v>
      </c>
    </row>
    <row r="174" spans="1:8" ht="15.6" x14ac:dyDescent="0.3">
      <c r="A174" s="606"/>
      <c r="B174" s="19" t="s">
        <v>60</v>
      </c>
      <c r="C174" s="11" t="s">
        <v>57</v>
      </c>
      <c r="D174" s="25">
        <f>Mangochi!G174+Mangochi!H174+Mangochi!I174</f>
        <v>0</v>
      </c>
      <c r="E174" s="25">
        <f>'Monkey Bay'!G174+'Monkey Bay'!H174+'Monkey Bay'!I174</f>
        <v>0</v>
      </c>
      <c r="F174" s="25">
        <f>Namwera!G174+Namwera!H174+Namwera!I174</f>
        <v>0</v>
      </c>
      <c r="G174" s="25">
        <f>Nkhudzi!G174+Nkhudzi!H174+Nkhudzi!I174</f>
        <v>0</v>
      </c>
      <c r="H174" s="18">
        <f t="shared" si="65"/>
        <v>0</v>
      </c>
    </row>
    <row r="175" spans="1:8" ht="15.6" x14ac:dyDescent="0.3">
      <c r="A175" s="607"/>
      <c r="B175" s="19" t="s">
        <v>69</v>
      </c>
      <c r="C175" s="11" t="s">
        <v>57</v>
      </c>
      <c r="D175" s="25">
        <f>Mangochi!G175+Mangochi!H175+Mangochi!I175</f>
        <v>0</v>
      </c>
      <c r="E175" s="25">
        <f>'Monkey Bay'!G175+'Monkey Bay'!H175+'Monkey Bay'!I175</f>
        <v>0</v>
      </c>
      <c r="F175" s="25">
        <f>Namwera!G175+Namwera!H175+Namwera!I175</f>
        <v>0</v>
      </c>
      <c r="G175" s="25">
        <f>Nkhudzi!G175+Nkhudzi!H175+Nkhudzi!I175</f>
        <v>0</v>
      </c>
      <c r="H175" s="18">
        <f t="shared" si="65"/>
        <v>0</v>
      </c>
    </row>
    <row r="176" spans="1:8" ht="15.6" x14ac:dyDescent="0.3">
      <c r="A176" s="605" t="s">
        <v>70</v>
      </c>
      <c r="B176" s="21" t="s">
        <v>63</v>
      </c>
      <c r="C176" s="11"/>
      <c r="D176" s="4"/>
      <c r="E176" s="4"/>
      <c r="F176" s="4"/>
      <c r="G176" s="4">
        <f>Nkhudzi!G176+Nkhudzi!H176+Nkhudzi!I176</f>
        <v>0</v>
      </c>
      <c r="H176" s="18">
        <f t="shared" si="65"/>
        <v>0</v>
      </c>
    </row>
    <row r="177" spans="1:8" ht="15.6" x14ac:dyDescent="0.3">
      <c r="A177" s="606"/>
      <c r="B177" s="19" t="s">
        <v>60</v>
      </c>
      <c r="C177" s="11" t="s">
        <v>57</v>
      </c>
      <c r="D177" s="25">
        <f>Mangochi!G177+Mangochi!H177+Mangochi!I177</f>
        <v>0</v>
      </c>
      <c r="E177" s="25">
        <f>'Monkey Bay'!G177+'Monkey Bay'!H177+'Monkey Bay'!I177</f>
        <v>0</v>
      </c>
      <c r="F177" s="25">
        <f>Namwera!G177+Namwera!H177+Namwera!I177</f>
        <v>0</v>
      </c>
      <c r="G177" s="25">
        <f>Nkhudzi!G177+Nkhudzi!H177+Nkhudzi!I177</f>
        <v>0</v>
      </c>
      <c r="H177" s="18">
        <f t="shared" si="65"/>
        <v>0</v>
      </c>
    </row>
    <row r="178" spans="1:8" ht="15.6" x14ac:dyDescent="0.3">
      <c r="A178" s="606"/>
      <c r="B178" s="19" t="s">
        <v>69</v>
      </c>
      <c r="C178" s="11" t="s">
        <v>57</v>
      </c>
      <c r="D178" s="25">
        <f>Mangochi!G178+Mangochi!H178+Mangochi!I178</f>
        <v>0</v>
      </c>
      <c r="E178" s="25">
        <f>'Monkey Bay'!G178+'Monkey Bay'!H178+'Monkey Bay'!I178</f>
        <v>0</v>
      </c>
      <c r="F178" s="25">
        <f>Namwera!G178+Namwera!H178+Namwera!I178</f>
        <v>0</v>
      </c>
      <c r="G178" s="25">
        <f>Nkhudzi!G178+Nkhudzi!H178+Nkhudzi!I178</f>
        <v>0</v>
      </c>
      <c r="H178" s="18">
        <f t="shared" si="65"/>
        <v>0</v>
      </c>
    </row>
    <row r="179" spans="1:8" ht="15.6" x14ac:dyDescent="0.3">
      <c r="A179" s="606"/>
      <c r="B179" s="19" t="s">
        <v>68</v>
      </c>
      <c r="C179" s="11" t="s">
        <v>57</v>
      </c>
      <c r="D179" s="25">
        <f>Mangochi!G179+Mangochi!H179+Mangochi!I179</f>
        <v>0</v>
      </c>
      <c r="E179" s="25">
        <f>'Monkey Bay'!G179+'Monkey Bay'!H179+'Monkey Bay'!I179</f>
        <v>0</v>
      </c>
      <c r="F179" s="25">
        <f>Namwera!G179+Namwera!H179+Namwera!I179</f>
        <v>0</v>
      </c>
      <c r="G179" s="25">
        <f>Nkhudzi!G179+Nkhudzi!H179+Nkhudzi!I179</f>
        <v>0</v>
      </c>
      <c r="H179" s="18">
        <f t="shared" si="65"/>
        <v>0</v>
      </c>
    </row>
    <row r="180" spans="1:8" ht="15.6" x14ac:dyDescent="0.3">
      <c r="A180" s="606"/>
      <c r="B180" s="19" t="s">
        <v>67</v>
      </c>
      <c r="C180" s="11" t="s">
        <v>57</v>
      </c>
      <c r="D180" s="25">
        <f>Mangochi!G180+Mangochi!H180+Mangochi!I180</f>
        <v>0</v>
      </c>
      <c r="E180" s="25">
        <f>'Monkey Bay'!G180+'Monkey Bay'!H180+'Monkey Bay'!I180</f>
        <v>0</v>
      </c>
      <c r="F180" s="25">
        <f>Namwera!G180+Namwera!H180+Namwera!I180</f>
        <v>0</v>
      </c>
      <c r="G180" s="25">
        <f>Nkhudzi!G180+Nkhudzi!H180+Nkhudzi!I180</f>
        <v>0</v>
      </c>
      <c r="H180" s="18">
        <f t="shared" si="65"/>
        <v>0</v>
      </c>
    </row>
    <row r="181" spans="1:8" ht="15.6" x14ac:dyDescent="0.3">
      <c r="A181" s="606"/>
      <c r="B181" s="19" t="s">
        <v>66</v>
      </c>
      <c r="C181" s="11" t="s">
        <v>57</v>
      </c>
      <c r="D181" s="25">
        <f>Mangochi!G181+Mangochi!H181+Mangochi!I181</f>
        <v>0</v>
      </c>
      <c r="E181" s="25">
        <f>'Monkey Bay'!G181+'Monkey Bay'!H181+'Monkey Bay'!I181</f>
        <v>0</v>
      </c>
      <c r="F181" s="25">
        <f>Namwera!G181+Namwera!H181+Namwera!I181</f>
        <v>0</v>
      </c>
      <c r="G181" s="25">
        <f>Nkhudzi!G181+Nkhudzi!H181+Nkhudzi!I181</f>
        <v>0</v>
      </c>
      <c r="H181" s="18">
        <f t="shared" si="65"/>
        <v>0</v>
      </c>
    </row>
    <row r="182" spans="1:8" ht="15.6" x14ac:dyDescent="0.3">
      <c r="A182" s="607"/>
      <c r="B182" s="19" t="s">
        <v>65</v>
      </c>
      <c r="C182" s="11" t="s">
        <v>57</v>
      </c>
      <c r="D182" s="25">
        <f>Mangochi!G182+Mangochi!H182+Mangochi!I182</f>
        <v>0</v>
      </c>
      <c r="E182" s="25">
        <f>'Monkey Bay'!G182+'Monkey Bay'!H182+'Monkey Bay'!I182</f>
        <v>0</v>
      </c>
      <c r="F182" s="25">
        <f>Namwera!G182+Namwera!H182+Namwera!I182</f>
        <v>0</v>
      </c>
      <c r="G182" s="25">
        <f>Nkhudzi!G182+Nkhudzi!H182+Nkhudzi!I182</f>
        <v>0</v>
      </c>
      <c r="H182" s="18">
        <f t="shared" si="65"/>
        <v>0</v>
      </c>
    </row>
    <row r="183" spans="1:8" ht="15.6" x14ac:dyDescent="0.3">
      <c r="A183" s="605" t="s">
        <v>211</v>
      </c>
      <c r="B183" s="21" t="s">
        <v>63</v>
      </c>
      <c r="C183" s="11"/>
      <c r="D183" s="4"/>
      <c r="E183" s="4"/>
      <c r="F183" s="4"/>
      <c r="G183" s="4">
        <f>Nkhudzi!G183+Nkhudzi!H183+Nkhudzi!I183</f>
        <v>0</v>
      </c>
      <c r="H183" s="18">
        <f t="shared" si="65"/>
        <v>0</v>
      </c>
    </row>
    <row r="184" spans="1:8" ht="15.6" x14ac:dyDescent="0.3">
      <c r="A184" s="606"/>
      <c r="B184" s="19" t="s">
        <v>73</v>
      </c>
      <c r="C184" s="11"/>
      <c r="D184" s="25">
        <f>Mangochi!G184+Mangochi!H184+Mangochi!I184</f>
        <v>0</v>
      </c>
      <c r="E184" s="25">
        <f>'Monkey Bay'!G184+'Monkey Bay'!H184+'Monkey Bay'!I184</f>
        <v>0</v>
      </c>
      <c r="F184" s="25">
        <f>Namwera!G184+Namwera!H184+Namwera!I184</f>
        <v>0</v>
      </c>
      <c r="G184" s="25">
        <f>Nkhudzi!G184+Nkhudzi!H184+Nkhudzi!I184</f>
        <v>0</v>
      </c>
      <c r="H184" s="18">
        <f t="shared" si="65"/>
        <v>0</v>
      </c>
    </row>
    <row r="185" spans="1:8" ht="15.6" x14ac:dyDescent="0.3">
      <c r="A185" s="606"/>
      <c r="B185" s="19" t="s">
        <v>72</v>
      </c>
      <c r="C185" s="11"/>
      <c r="D185" s="25">
        <f>Mangochi!G185+Mangochi!H185+Mangochi!I185</f>
        <v>0</v>
      </c>
      <c r="E185" s="25">
        <f>'Monkey Bay'!G185+'Monkey Bay'!H185+'Monkey Bay'!I185</f>
        <v>0</v>
      </c>
      <c r="F185" s="25">
        <f>Namwera!G185+Namwera!H185+Namwera!I185</f>
        <v>0</v>
      </c>
      <c r="G185" s="25">
        <f>Nkhudzi!G185+Nkhudzi!H185+Nkhudzi!I185</f>
        <v>0</v>
      </c>
      <c r="H185" s="18">
        <f t="shared" si="65"/>
        <v>0</v>
      </c>
    </row>
    <row r="186" spans="1:8" ht="15.6" x14ac:dyDescent="0.3">
      <c r="A186" s="606"/>
      <c r="B186" s="19" t="s">
        <v>53</v>
      </c>
      <c r="C186" s="11"/>
      <c r="D186" s="25">
        <f>Mangochi!G186+Mangochi!H186+Mangochi!I186</f>
        <v>0</v>
      </c>
      <c r="E186" s="25">
        <f>'Monkey Bay'!G186+'Monkey Bay'!H186+'Monkey Bay'!I186</f>
        <v>0</v>
      </c>
      <c r="F186" s="25">
        <f>Namwera!G186+Namwera!H186+Namwera!I186</f>
        <v>0</v>
      </c>
      <c r="G186" s="25">
        <f>Nkhudzi!G186+Nkhudzi!H186+Nkhudzi!I186</f>
        <v>0</v>
      </c>
      <c r="H186" s="18">
        <f t="shared" si="65"/>
        <v>0</v>
      </c>
    </row>
    <row r="187" spans="1:8" ht="15.6" x14ac:dyDescent="0.3">
      <c r="A187" s="607"/>
      <c r="B187" s="19" t="s">
        <v>52</v>
      </c>
      <c r="C187" s="11"/>
      <c r="D187" s="25">
        <f>Mangochi!G187+Mangochi!H187+Mangochi!I187</f>
        <v>0</v>
      </c>
      <c r="E187" s="25">
        <f>'Monkey Bay'!G187+'Monkey Bay'!H187+'Monkey Bay'!I187</f>
        <v>0</v>
      </c>
      <c r="F187" s="25">
        <f>Namwera!G187+Namwera!H187+Namwera!I187</f>
        <v>0</v>
      </c>
      <c r="G187" s="25">
        <f>Nkhudzi!G187+Nkhudzi!H187+Nkhudzi!I187</f>
        <v>0</v>
      </c>
      <c r="H187" s="18">
        <f t="shared" si="65"/>
        <v>0</v>
      </c>
    </row>
    <row r="188" spans="1:8" ht="15.6" x14ac:dyDescent="0.3">
      <c r="A188" s="605" t="s">
        <v>64</v>
      </c>
      <c r="B188" s="21" t="s">
        <v>63</v>
      </c>
      <c r="C188" s="11"/>
      <c r="D188" s="4"/>
      <c r="E188" s="4"/>
      <c r="F188" s="4"/>
      <c r="G188" s="4">
        <f>Nkhudzi!G188+Nkhudzi!H188+Nkhudzi!I188</f>
        <v>0</v>
      </c>
      <c r="H188" s="18">
        <f t="shared" si="65"/>
        <v>0</v>
      </c>
    </row>
    <row r="189" spans="1:8" ht="15.6" x14ac:dyDescent="0.3">
      <c r="A189" s="606"/>
      <c r="B189" s="20" t="s">
        <v>52</v>
      </c>
      <c r="C189" s="11" t="s">
        <v>57</v>
      </c>
      <c r="D189" s="25">
        <f>Mangochi!G189+Mangochi!H189+Mangochi!I189</f>
        <v>0</v>
      </c>
      <c r="E189" s="25">
        <f>'Monkey Bay'!G189+'Monkey Bay'!H189+'Monkey Bay'!I189</f>
        <v>0</v>
      </c>
      <c r="F189" s="25">
        <f>Namwera!G189+Namwera!H189+Namwera!I189</f>
        <v>0</v>
      </c>
      <c r="G189" s="25">
        <f>Nkhudzi!G189+Nkhudzi!H189+Nkhudzi!I189</f>
        <v>0</v>
      </c>
      <c r="H189" s="18">
        <f t="shared" si="65"/>
        <v>0</v>
      </c>
    </row>
    <row r="190" spans="1:8" ht="15.6" x14ac:dyDescent="0.3">
      <c r="A190" s="606"/>
      <c r="B190" s="19" t="s">
        <v>62</v>
      </c>
      <c r="C190" s="11" t="s">
        <v>57</v>
      </c>
      <c r="D190" s="25">
        <f>Mangochi!G190+Mangochi!H190+Mangochi!I190</f>
        <v>0</v>
      </c>
      <c r="E190" s="25">
        <f>'Monkey Bay'!G190+'Monkey Bay'!H190+'Monkey Bay'!I190</f>
        <v>0</v>
      </c>
      <c r="F190" s="25">
        <f>Namwera!G190+Namwera!H190+Namwera!I190</f>
        <v>0</v>
      </c>
      <c r="G190" s="25">
        <f>Nkhudzi!G190+Nkhudzi!H190+Nkhudzi!I190</f>
        <v>0</v>
      </c>
      <c r="H190" s="18">
        <f t="shared" si="65"/>
        <v>0</v>
      </c>
    </row>
    <row r="191" spans="1:8" ht="15.6" x14ac:dyDescent="0.3">
      <c r="A191" s="606"/>
      <c r="B191" s="19" t="s">
        <v>61</v>
      </c>
      <c r="C191" s="11" t="s">
        <v>57</v>
      </c>
      <c r="D191" s="25">
        <f>Mangochi!G191+Mangochi!H191+Mangochi!I191</f>
        <v>0</v>
      </c>
      <c r="E191" s="25">
        <f>'Monkey Bay'!G191+'Monkey Bay'!H191+'Monkey Bay'!I191</f>
        <v>0</v>
      </c>
      <c r="F191" s="25">
        <f>Namwera!G191+Namwera!H191+Namwera!I191</f>
        <v>0</v>
      </c>
      <c r="G191" s="25">
        <f>Nkhudzi!G191+Nkhudzi!H191+Nkhudzi!I191</f>
        <v>0</v>
      </c>
      <c r="H191" s="18">
        <f t="shared" si="65"/>
        <v>0</v>
      </c>
    </row>
    <row r="192" spans="1:8" ht="15.6" x14ac:dyDescent="0.3">
      <c r="A192" s="607"/>
      <c r="B192" s="19" t="s">
        <v>60</v>
      </c>
      <c r="C192" s="11" t="s">
        <v>57</v>
      </c>
      <c r="D192" s="25">
        <f>Mangochi!G192+Mangochi!H192+Mangochi!I192</f>
        <v>0</v>
      </c>
      <c r="E192" s="25">
        <f>'Monkey Bay'!G192+'Monkey Bay'!H192+'Monkey Bay'!I192</f>
        <v>0</v>
      </c>
      <c r="F192" s="25">
        <f>Namwera!G192+Namwera!H192+Namwera!I192</f>
        <v>0</v>
      </c>
      <c r="G192" s="25">
        <f>Nkhudzi!G192+Nkhudzi!H192+Nkhudzi!I192</f>
        <v>0</v>
      </c>
      <c r="H192" s="18">
        <f t="shared" si="65"/>
        <v>0</v>
      </c>
    </row>
    <row r="193" spans="1:8" ht="15.6" x14ac:dyDescent="0.3">
      <c r="A193" s="608" t="s">
        <v>59</v>
      </c>
      <c r="B193" s="609"/>
      <c r="C193" s="11"/>
      <c r="D193" s="10">
        <f>SUM(D153:D192)</f>
        <v>0</v>
      </c>
      <c r="E193" s="10">
        <f t="shared" ref="E193:H193" si="66">SUM(E153:E192)</f>
        <v>0</v>
      </c>
      <c r="F193" s="10">
        <f t="shared" si="66"/>
        <v>0</v>
      </c>
      <c r="G193" s="10">
        <f t="shared" si="66"/>
        <v>0</v>
      </c>
      <c r="H193" s="97">
        <f t="shared" si="66"/>
        <v>0</v>
      </c>
    </row>
    <row r="194" spans="1:8" ht="15.6" x14ac:dyDescent="0.3">
      <c r="A194" s="610" t="s">
        <v>58</v>
      </c>
      <c r="B194" s="611"/>
      <c r="C194" s="11" t="s">
        <v>57</v>
      </c>
      <c r="D194" s="25">
        <f>Mangochi!G194+Mangochi!H194+Mangochi!I194</f>
        <v>0</v>
      </c>
      <c r="E194" s="25">
        <f>'Monkey Bay'!G194+'Monkey Bay'!H194+'Monkey Bay'!I194</f>
        <v>0</v>
      </c>
      <c r="F194" s="25">
        <f>Namwera!G194+Namwera!H194+Namwera!I194</f>
        <v>0</v>
      </c>
      <c r="G194" s="25">
        <f>Nkhudzi!G194+Nkhudzi!H194+Nkhudzi!I194</f>
        <v>0</v>
      </c>
      <c r="H194" s="9">
        <f t="shared" ref="H194:H195" si="67">SUM(D194:G194)</f>
        <v>0</v>
      </c>
    </row>
    <row r="195" spans="1:8" ht="15.6" x14ac:dyDescent="0.3">
      <c r="A195" s="612"/>
      <c r="B195" s="613"/>
      <c r="C195" s="16" t="s">
        <v>55</v>
      </c>
      <c r="D195" s="25">
        <f>Mangochi!G195+Mangochi!H195+Mangochi!I195</f>
        <v>0</v>
      </c>
      <c r="E195" s="25">
        <f>'Monkey Bay'!G195+'Monkey Bay'!H195+'Monkey Bay'!I195</f>
        <v>0</v>
      </c>
      <c r="F195" s="25">
        <f>Namwera!G195+Namwera!H195+Namwera!I195</f>
        <v>0</v>
      </c>
      <c r="G195" s="25">
        <f>Nkhudzi!G195+Nkhudzi!H195+Nkhudzi!I195</f>
        <v>0</v>
      </c>
      <c r="H195" s="9">
        <f t="shared" si="67"/>
        <v>0</v>
      </c>
    </row>
    <row r="196" spans="1:8" ht="15.6" x14ac:dyDescent="0.3">
      <c r="A196" s="82" t="s">
        <v>204</v>
      </c>
      <c r="B196" s="83"/>
      <c r="C196" s="16" t="s">
        <v>55</v>
      </c>
      <c r="D196" s="25">
        <f>Mangochi!G196+Mangochi!H196+Mangochi!I196</f>
        <v>0</v>
      </c>
      <c r="E196" s="25">
        <f>'Monkey Bay'!G196+'Monkey Bay'!H196+'Monkey Bay'!I196</f>
        <v>0</v>
      </c>
      <c r="F196" s="25">
        <f>Namwera!G196+Namwera!H196+Namwera!I196</f>
        <v>0</v>
      </c>
      <c r="G196" s="25">
        <f>Nkhudzi!G196+Nkhudzi!H196+Nkhudzi!I196</f>
        <v>0</v>
      </c>
      <c r="H196" s="9"/>
    </row>
    <row r="197" spans="1:8" ht="15.6" x14ac:dyDescent="0.3">
      <c r="A197" s="549" t="s">
        <v>56</v>
      </c>
      <c r="B197" s="550"/>
      <c r="C197" s="16" t="s">
        <v>55</v>
      </c>
      <c r="D197" s="25">
        <f>Mangochi!G197+Mangochi!H197+Mangochi!I197</f>
        <v>0</v>
      </c>
      <c r="E197" s="25">
        <f>'Monkey Bay'!G197+'Monkey Bay'!H197+'Monkey Bay'!I197</f>
        <v>0</v>
      </c>
      <c r="F197" s="25">
        <f>Namwera!G197+Namwera!H197+Namwera!I197</f>
        <v>0</v>
      </c>
      <c r="G197" s="25">
        <f>Nkhudzi!G197+Nkhudzi!H197+Nkhudzi!I197</f>
        <v>0</v>
      </c>
      <c r="H197" s="9">
        <f t="shared" ref="H197" si="68">SUM(D197:G197)</f>
        <v>0</v>
      </c>
    </row>
    <row r="198" spans="1:8" x14ac:dyDescent="0.3">
      <c r="A198" s="543" t="s">
        <v>205</v>
      </c>
      <c r="B198" s="544"/>
      <c r="C198" s="544"/>
      <c r="D198" s="544"/>
      <c r="E198" s="544"/>
      <c r="F198" s="544"/>
      <c r="G198" s="544"/>
      <c r="H198" s="546"/>
    </row>
    <row r="199" spans="1:8" ht="15.6" x14ac:dyDescent="0.3">
      <c r="A199" s="610" t="s">
        <v>54</v>
      </c>
      <c r="B199" s="76" t="s">
        <v>53</v>
      </c>
      <c r="C199" s="11" t="s">
        <v>47</v>
      </c>
      <c r="D199" s="25">
        <f>Mangochi!G199+Mangochi!H199+Mangochi!I199</f>
        <v>0</v>
      </c>
      <c r="E199" s="25">
        <f>'Monkey Bay'!G199+'Monkey Bay'!H199+'Monkey Bay'!I199</f>
        <v>0</v>
      </c>
      <c r="F199" s="25">
        <f>Namwera!G199+Namwera!H199+Namwera!I199</f>
        <v>0</v>
      </c>
      <c r="G199" s="25">
        <f>Nkhudzi!G199+Nkhudzi!H199+Nkhudzi!I199</f>
        <v>0</v>
      </c>
      <c r="H199" s="9">
        <f t="shared" ref="H199:H203" si="69">SUM(D199:G199)</f>
        <v>0</v>
      </c>
    </row>
    <row r="200" spans="1:8" ht="15.6" x14ac:dyDescent="0.3">
      <c r="A200" s="614"/>
      <c r="B200" s="76" t="s">
        <v>52</v>
      </c>
      <c r="C200" s="11" t="s">
        <v>47</v>
      </c>
      <c r="D200" s="25">
        <f>Mangochi!G200+Mangochi!H200+Mangochi!I200</f>
        <v>0</v>
      </c>
      <c r="E200" s="25">
        <f>'Monkey Bay'!G200+'Monkey Bay'!H200+'Monkey Bay'!I200</f>
        <v>0</v>
      </c>
      <c r="F200" s="25">
        <f>Namwera!G200+Namwera!H200+Namwera!I200</f>
        <v>0</v>
      </c>
      <c r="G200" s="25">
        <f>Nkhudzi!G200+Nkhudzi!H200+Nkhudzi!I200</f>
        <v>0</v>
      </c>
      <c r="H200" s="9">
        <f t="shared" si="69"/>
        <v>0</v>
      </c>
    </row>
    <row r="201" spans="1:8" ht="15.6" x14ac:dyDescent="0.3">
      <c r="A201" s="614"/>
      <c r="B201" s="76" t="s">
        <v>51</v>
      </c>
      <c r="C201" s="11" t="s">
        <v>47</v>
      </c>
      <c r="D201" s="25">
        <f>Mangochi!G201+Mangochi!H201+Mangochi!I201</f>
        <v>0</v>
      </c>
      <c r="E201" s="25">
        <f>'Monkey Bay'!G201+'Monkey Bay'!H201+'Monkey Bay'!I201</f>
        <v>0</v>
      </c>
      <c r="F201" s="25">
        <f>Namwera!G201+Namwera!H201+Namwera!I201</f>
        <v>0</v>
      </c>
      <c r="G201" s="25">
        <f>Nkhudzi!G201+Nkhudzi!H201+Nkhudzi!I201</f>
        <v>0</v>
      </c>
      <c r="H201" s="9">
        <f t="shared" si="69"/>
        <v>0</v>
      </c>
    </row>
    <row r="202" spans="1:8" ht="15.6" x14ac:dyDescent="0.3">
      <c r="A202" s="614"/>
      <c r="B202" s="76" t="s">
        <v>50</v>
      </c>
      <c r="C202" s="11" t="s">
        <v>47</v>
      </c>
      <c r="D202" s="25">
        <f>Mangochi!G202+Mangochi!H202+Mangochi!I202</f>
        <v>0</v>
      </c>
      <c r="E202" s="25">
        <f>'Monkey Bay'!G202+'Monkey Bay'!H202+'Monkey Bay'!I202</f>
        <v>0</v>
      </c>
      <c r="F202" s="25">
        <f>Namwera!G202+Namwera!H202+Namwera!I202</f>
        <v>0</v>
      </c>
      <c r="G202" s="25">
        <f>Nkhudzi!G202+Nkhudzi!H202+Nkhudzi!I202</f>
        <v>0</v>
      </c>
      <c r="H202" s="9">
        <f t="shared" si="69"/>
        <v>0</v>
      </c>
    </row>
    <row r="203" spans="1:8" ht="15.6" x14ac:dyDescent="0.3">
      <c r="A203" s="612"/>
      <c r="B203" s="76" t="s">
        <v>49</v>
      </c>
      <c r="C203" s="11" t="s">
        <v>47</v>
      </c>
      <c r="D203" s="25">
        <f>Mangochi!G203+Mangochi!H203+Mangochi!I203</f>
        <v>0</v>
      </c>
      <c r="E203" s="25">
        <f>'Monkey Bay'!G203+'Monkey Bay'!H203+'Monkey Bay'!I203</f>
        <v>0</v>
      </c>
      <c r="F203" s="25">
        <f>Namwera!G203+Namwera!H203+Namwera!I203</f>
        <v>0</v>
      </c>
      <c r="G203" s="25">
        <f>Nkhudzi!G203+Nkhudzi!H203+Nkhudzi!I203</f>
        <v>0</v>
      </c>
      <c r="H203" s="9">
        <f t="shared" si="69"/>
        <v>0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70">SUM(D199:D203)</f>
        <v>0</v>
      </c>
      <c r="E204" s="15">
        <f t="shared" si="70"/>
        <v>0</v>
      </c>
      <c r="F204" s="15">
        <f t="shared" si="70"/>
        <v>0</v>
      </c>
      <c r="G204" s="15">
        <f t="shared" ref="G204" si="71">SUM(G199:G203)</f>
        <v>0</v>
      </c>
      <c r="H204" s="105">
        <f t="shared" ref="H204" si="72">SUM(D204:F204)</f>
        <v>0</v>
      </c>
    </row>
    <row r="205" spans="1:8" s="2" customFormat="1" x14ac:dyDescent="0.3">
      <c r="A205" s="543" t="s">
        <v>46</v>
      </c>
      <c r="B205" s="544"/>
      <c r="C205" s="544"/>
      <c r="D205" s="544"/>
      <c r="E205" s="544"/>
      <c r="F205" s="544"/>
      <c r="G205" s="544"/>
      <c r="H205" s="546"/>
    </row>
    <row r="206" spans="1:8" ht="15.6" x14ac:dyDescent="0.3">
      <c r="A206" s="549" t="s">
        <v>43</v>
      </c>
      <c r="B206" s="550"/>
      <c r="C206" s="11" t="s">
        <v>31</v>
      </c>
      <c r="D206" s="25">
        <f>Mangochi!G206+Mangochi!H206+Mangochi!I206</f>
        <v>0</v>
      </c>
      <c r="E206" s="25">
        <f>'Monkey Bay'!G206+'Monkey Bay'!H206+'Monkey Bay'!I206</f>
        <v>0</v>
      </c>
      <c r="F206" s="25">
        <f>Namwera!G206+Namwera!H206+Namwera!I206</f>
        <v>0</v>
      </c>
      <c r="G206" s="15">
        <f>Nkhudzi!G206+Nkhudzi!H206+Nkhudzi!I206</f>
        <v>0</v>
      </c>
      <c r="H206" s="9">
        <f t="shared" ref="H206:H209" si="73">SUM(D206:G206)</f>
        <v>0</v>
      </c>
    </row>
    <row r="207" spans="1:8" ht="15.6" x14ac:dyDescent="0.3">
      <c r="A207" s="549" t="s">
        <v>42</v>
      </c>
      <c r="B207" s="550"/>
      <c r="C207" s="11" t="s">
        <v>31</v>
      </c>
      <c r="D207" s="25">
        <f>Mangochi!G207+Mangochi!H207+Mangochi!I207</f>
        <v>0</v>
      </c>
      <c r="E207" s="25">
        <f>'Monkey Bay'!G207+'Monkey Bay'!H207+'Monkey Bay'!I207</f>
        <v>0</v>
      </c>
      <c r="F207" s="25">
        <f>Namwera!G207+Namwera!H207+Namwera!I207</f>
        <v>0</v>
      </c>
      <c r="G207" s="15">
        <f>Nkhudzi!G207+Nkhudzi!H207+Nkhudzi!I207</f>
        <v>0</v>
      </c>
      <c r="H207" s="9">
        <f t="shared" si="73"/>
        <v>0</v>
      </c>
    </row>
    <row r="208" spans="1:8" ht="15.6" x14ac:dyDescent="0.3">
      <c r="A208" s="547" t="s">
        <v>41</v>
      </c>
      <c r="B208" s="548"/>
      <c r="C208" s="11" t="s">
        <v>31</v>
      </c>
      <c r="D208" s="25">
        <f>Mangochi!G208+Mangochi!H208+Mangochi!I208</f>
        <v>0</v>
      </c>
      <c r="E208" s="25">
        <f>'Monkey Bay'!G208+'Monkey Bay'!H208+'Monkey Bay'!I208</f>
        <v>0</v>
      </c>
      <c r="F208" s="25">
        <f>Namwera!G208+Namwera!H208+Namwera!I208</f>
        <v>0</v>
      </c>
      <c r="G208" s="15">
        <f>Nkhudzi!G208+Nkhudzi!H208+Nkhudzi!I208</f>
        <v>0</v>
      </c>
      <c r="H208" s="9">
        <f t="shared" si="73"/>
        <v>0</v>
      </c>
    </row>
    <row r="209" spans="1:8" ht="15.6" x14ac:dyDescent="0.3">
      <c r="A209" s="549" t="s">
        <v>40</v>
      </c>
      <c r="B209" s="550"/>
      <c r="C209" s="11" t="s">
        <v>31</v>
      </c>
      <c r="D209" s="25">
        <f>Mangochi!G209+Mangochi!H209+Mangochi!I209</f>
        <v>0</v>
      </c>
      <c r="E209" s="25">
        <f>'Monkey Bay'!G209+'Monkey Bay'!H209+'Monkey Bay'!I209</f>
        <v>0</v>
      </c>
      <c r="F209" s="25">
        <f>Namwera!G209+Namwera!H209+Namwera!I209</f>
        <v>0</v>
      </c>
      <c r="G209" s="15">
        <f>Nkhudzi!G209+Nkhudzi!H209+Nkhudzi!I209</f>
        <v>0</v>
      </c>
      <c r="H209" s="9">
        <f t="shared" si="73"/>
        <v>0</v>
      </c>
    </row>
    <row r="210" spans="1:8" ht="15.6" x14ac:dyDescent="0.3">
      <c r="A210" s="618" t="s">
        <v>45</v>
      </c>
      <c r="B210" s="619"/>
      <c r="C210" s="11" t="s">
        <v>31</v>
      </c>
      <c r="D210" s="10">
        <f t="shared" ref="D210:F210" si="74">SUM(D206:D209)</f>
        <v>0</v>
      </c>
      <c r="E210" s="10">
        <f t="shared" si="74"/>
        <v>0</v>
      </c>
      <c r="F210" s="10">
        <f t="shared" si="74"/>
        <v>0</v>
      </c>
      <c r="G210" s="10">
        <f t="shared" ref="G210" si="75">SUM(G206:G209)</f>
        <v>0</v>
      </c>
      <c r="H210" s="9">
        <f>SUM(D210:F210)</f>
        <v>0</v>
      </c>
    </row>
    <row r="211" spans="1:8" s="2" customFormat="1" x14ac:dyDescent="0.3">
      <c r="A211" s="543" t="s">
        <v>44</v>
      </c>
      <c r="B211" s="544"/>
      <c r="C211" s="544"/>
      <c r="D211" s="544"/>
      <c r="E211" s="544"/>
      <c r="F211" s="544"/>
      <c r="G211" s="544"/>
      <c r="H211" s="546"/>
    </row>
    <row r="212" spans="1:8" ht="15.6" x14ac:dyDescent="0.3">
      <c r="A212" s="549" t="s">
        <v>43</v>
      </c>
      <c r="B212" s="550"/>
      <c r="C212" s="11" t="s">
        <v>31</v>
      </c>
      <c r="D212" s="25">
        <f>Mangochi!G212+Mangochi!H212+Mangochi!I212</f>
        <v>0</v>
      </c>
      <c r="E212" s="25">
        <f>'Monkey Bay'!G212+'Monkey Bay'!H212+'Monkey Bay'!I212</f>
        <v>0</v>
      </c>
      <c r="F212" s="25">
        <f>Namwera!G212+Namwera!H212+Namwera!I212</f>
        <v>0</v>
      </c>
      <c r="G212" s="15">
        <f>Nkhudzi!G212+Nkhudzi!H212+Nkhudzi!I212</f>
        <v>0</v>
      </c>
      <c r="H212" s="9">
        <f t="shared" ref="H212:H215" si="76">SUM(D212:G212)</f>
        <v>0</v>
      </c>
    </row>
    <row r="213" spans="1:8" ht="15.6" x14ac:dyDescent="0.3">
      <c r="A213" s="549" t="s">
        <v>42</v>
      </c>
      <c r="B213" s="550"/>
      <c r="C213" s="11" t="s">
        <v>31</v>
      </c>
      <c r="D213" s="25">
        <f>Mangochi!G213+Mangochi!H213+Mangochi!I213</f>
        <v>0</v>
      </c>
      <c r="E213" s="25">
        <f>'Monkey Bay'!G213+'Monkey Bay'!H213+'Monkey Bay'!I213</f>
        <v>0</v>
      </c>
      <c r="F213" s="25">
        <f>Namwera!G213+Namwera!H213+Namwera!I213</f>
        <v>0</v>
      </c>
      <c r="G213" s="15">
        <f>Nkhudzi!G213+Nkhudzi!H213+Nkhudzi!I213</f>
        <v>0</v>
      </c>
      <c r="H213" s="9">
        <f t="shared" si="76"/>
        <v>0</v>
      </c>
    </row>
    <row r="214" spans="1:8" ht="15.6" x14ac:dyDescent="0.3">
      <c r="A214" s="547" t="s">
        <v>41</v>
      </c>
      <c r="B214" s="548"/>
      <c r="C214" s="11" t="s">
        <v>31</v>
      </c>
      <c r="D214" s="25">
        <f>Mangochi!G214+Mangochi!H214+Mangochi!I214</f>
        <v>0</v>
      </c>
      <c r="E214" s="25">
        <f>'Monkey Bay'!G214+'Monkey Bay'!H214+'Monkey Bay'!I214</f>
        <v>0</v>
      </c>
      <c r="F214" s="25">
        <f>Namwera!G214+Namwera!H214+Namwera!I214</f>
        <v>0</v>
      </c>
      <c r="G214" s="15">
        <f>Nkhudzi!G214+Nkhudzi!H214+Nkhudzi!I214</f>
        <v>0</v>
      </c>
      <c r="H214" s="9">
        <f t="shared" si="76"/>
        <v>0</v>
      </c>
    </row>
    <row r="215" spans="1:8" ht="15.6" x14ac:dyDescent="0.3">
      <c r="A215" s="549" t="s">
        <v>40</v>
      </c>
      <c r="B215" s="550"/>
      <c r="C215" s="11" t="s">
        <v>31</v>
      </c>
      <c r="D215" s="25">
        <f>Mangochi!G215+Mangochi!H215+Mangochi!I215</f>
        <v>0</v>
      </c>
      <c r="E215" s="25">
        <f>'Monkey Bay'!G215+'Monkey Bay'!H215+'Monkey Bay'!I215</f>
        <v>0</v>
      </c>
      <c r="F215" s="25">
        <f>Namwera!G215+Namwera!H215+Namwera!I215</f>
        <v>0</v>
      </c>
      <c r="G215" s="15">
        <f>Nkhudzi!G215+Nkhudzi!H215+Nkhudzi!I215</f>
        <v>0</v>
      </c>
      <c r="H215" s="9">
        <f t="shared" si="76"/>
        <v>0</v>
      </c>
    </row>
    <row r="216" spans="1:8" ht="15.6" x14ac:dyDescent="0.3">
      <c r="A216" s="618" t="s">
        <v>39</v>
      </c>
      <c r="B216" s="619"/>
      <c r="C216" s="11" t="s">
        <v>31</v>
      </c>
      <c r="D216" s="10">
        <f t="shared" ref="D216:F216" si="77">SUM(D212:D215)</f>
        <v>0</v>
      </c>
      <c r="E216" s="10">
        <f t="shared" si="77"/>
        <v>0</v>
      </c>
      <c r="F216" s="10">
        <f t="shared" si="77"/>
        <v>0</v>
      </c>
      <c r="G216" s="10">
        <f t="shared" ref="G216" si="78">SUM(G212:G215)</f>
        <v>0</v>
      </c>
      <c r="H216" s="9">
        <f>SUM(D216:G216)</f>
        <v>0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0</v>
      </c>
      <c r="E217" s="10">
        <f t="shared" ref="E217:H217" si="79">E210+E216</f>
        <v>0</v>
      </c>
      <c r="F217" s="10">
        <f t="shared" si="79"/>
        <v>0</v>
      </c>
      <c r="G217" s="10">
        <f t="shared" si="79"/>
        <v>0</v>
      </c>
      <c r="H217" s="39">
        <f t="shared" si="79"/>
        <v>0</v>
      </c>
    </row>
    <row r="218" spans="1:8" s="2" customFormat="1" x14ac:dyDescent="0.3">
      <c r="A218" s="543" t="s">
        <v>37</v>
      </c>
      <c r="B218" s="544"/>
      <c r="C218" s="544"/>
      <c r="D218" s="544"/>
      <c r="E218" s="544"/>
      <c r="F218" s="544"/>
      <c r="G218" s="544"/>
      <c r="H218" s="546"/>
    </row>
    <row r="219" spans="1:8" ht="15.6" x14ac:dyDescent="0.3">
      <c r="A219" s="549" t="s">
        <v>35</v>
      </c>
      <c r="B219" s="550"/>
      <c r="C219" s="11" t="s">
        <v>31</v>
      </c>
      <c r="D219" s="25">
        <f>Mangochi!G219+Mangochi!H219+Mangochi!I219</f>
        <v>0</v>
      </c>
      <c r="E219" s="25">
        <f>'Monkey Bay'!G219+'Monkey Bay'!H219+'Monkey Bay'!I219</f>
        <v>0</v>
      </c>
      <c r="F219" s="25">
        <f>Namwera!G219+Namwera!H219+Namwera!I219</f>
        <v>0</v>
      </c>
      <c r="G219" s="15">
        <f>Nkhudzi!G219+Nkhudzi!H219+Nkhudzi!I219</f>
        <v>0</v>
      </c>
      <c r="H219" s="9">
        <f t="shared" ref="H219:H222" si="80">SUM(D219:G219)</f>
        <v>0</v>
      </c>
    </row>
    <row r="220" spans="1:8" ht="15.6" x14ac:dyDescent="0.3">
      <c r="A220" s="549" t="s">
        <v>34</v>
      </c>
      <c r="B220" s="550"/>
      <c r="C220" s="11" t="s">
        <v>31</v>
      </c>
      <c r="D220" s="25">
        <f>Mangochi!G220+Mangochi!H220+Mangochi!I220</f>
        <v>0</v>
      </c>
      <c r="E220" s="25">
        <f>'Monkey Bay'!G220+'Monkey Bay'!H220+'Monkey Bay'!I220</f>
        <v>0</v>
      </c>
      <c r="F220" s="25">
        <f>Namwera!G220+Namwera!H220+Namwera!I220</f>
        <v>0</v>
      </c>
      <c r="G220" s="15">
        <f>Nkhudzi!G220+Nkhudzi!H220+Nkhudzi!I220</f>
        <v>0</v>
      </c>
      <c r="H220" s="9">
        <f t="shared" si="80"/>
        <v>0</v>
      </c>
    </row>
    <row r="221" spans="1:8" ht="15.6" x14ac:dyDescent="0.3">
      <c r="A221" s="549" t="s">
        <v>33</v>
      </c>
      <c r="B221" s="550"/>
      <c r="C221" s="11" t="s">
        <v>31</v>
      </c>
      <c r="D221" s="25">
        <f>Mangochi!G221+Mangochi!H221+Mangochi!I221</f>
        <v>0</v>
      </c>
      <c r="E221" s="25">
        <f>'Monkey Bay'!G221+'Monkey Bay'!H221+'Monkey Bay'!I221</f>
        <v>0</v>
      </c>
      <c r="F221" s="25">
        <f>Namwera!G221+Namwera!H221+Namwera!I221</f>
        <v>0</v>
      </c>
      <c r="G221" s="15">
        <f>Nkhudzi!G221+Nkhudzi!H221+Nkhudzi!I221</f>
        <v>0</v>
      </c>
      <c r="H221" s="9">
        <f t="shared" si="80"/>
        <v>0</v>
      </c>
    </row>
    <row r="222" spans="1:8" ht="15.6" x14ac:dyDescent="0.3">
      <c r="A222" s="549" t="s">
        <v>32</v>
      </c>
      <c r="B222" s="550"/>
      <c r="C222" s="11" t="s">
        <v>31</v>
      </c>
      <c r="D222" s="25">
        <f>Mangochi!G222+Mangochi!H222+Mangochi!I222</f>
        <v>0</v>
      </c>
      <c r="E222" s="25">
        <f>'Monkey Bay'!G222+'Monkey Bay'!H222+'Monkey Bay'!I222</f>
        <v>0</v>
      </c>
      <c r="F222" s="25">
        <f>Namwera!G222+Namwera!H222+Namwera!I222</f>
        <v>0</v>
      </c>
      <c r="G222" s="15">
        <f>Nkhudzi!G222+Nkhudzi!H222+Nkhudzi!I222</f>
        <v>0</v>
      </c>
      <c r="H222" s="9">
        <f t="shared" si="80"/>
        <v>0</v>
      </c>
    </row>
    <row r="223" spans="1:8" ht="15.6" x14ac:dyDescent="0.3">
      <c r="A223" s="618" t="s">
        <v>36</v>
      </c>
      <c r="B223" s="619"/>
      <c r="C223" s="11" t="s">
        <v>31</v>
      </c>
      <c r="D223" s="12">
        <f t="shared" ref="D223:F223" si="81">SUM(D219:D222)</f>
        <v>0</v>
      </c>
      <c r="E223" s="10">
        <f t="shared" si="81"/>
        <v>0</v>
      </c>
      <c r="F223" s="10">
        <f t="shared" si="81"/>
        <v>0</v>
      </c>
      <c r="G223" s="10">
        <f t="shared" ref="G223" si="82">SUM(G219:G222)</f>
        <v>0</v>
      </c>
      <c r="H223" s="9">
        <f>SUM(D223:G223)</f>
        <v>0</v>
      </c>
    </row>
    <row r="224" spans="1:8" x14ac:dyDescent="0.3">
      <c r="A224" s="543" t="s">
        <v>213</v>
      </c>
      <c r="B224" s="544"/>
      <c r="C224" s="544"/>
      <c r="D224" s="544"/>
      <c r="E224" s="544"/>
      <c r="F224" s="544"/>
      <c r="G224" s="544"/>
      <c r="H224" s="546"/>
    </row>
    <row r="225" spans="1:8" ht="15.6" x14ac:dyDescent="0.3">
      <c r="A225" s="549" t="s">
        <v>35</v>
      </c>
      <c r="B225" s="550"/>
      <c r="C225" s="11" t="s">
        <v>31</v>
      </c>
      <c r="D225" s="25">
        <f>Mangochi!G225+Mangochi!H225+Mangochi!I225</f>
        <v>0</v>
      </c>
      <c r="E225" s="25">
        <f>'Monkey Bay'!G225+'Monkey Bay'!H225+'Monkey Bay'!I225</f>
        <v>0</v>
      </c>
      <c r="F225" s="25">
        <f>Namwera!G225+Namwera!H225+Namwera!I225</f>
        <v>0</v>
      </c>
      <c r="G225" s="15">
        <f>Nkhudzi!G225+Nkhudzi!H225+Nkhudzi!I225</f>
        <v>0</v>
      </c>
      <c r="H225" s="9">
        <f t="shared" ref="H225:H230" si="83">SUM(D225:G225)</f>
        <v>0</v>
      </c>
    </row>
    <row r="226" spans="1:8" ht="15.6" x14ac:dyDescent="0.3">
      <c r="A226" s="549" t="s">
        <v>34</v>
      </c>
      <c r="B226" s="550"/>
      <c r="C226" s="11" t="s">
        <v>31</v>
      </c>
      <c r="D226" s="25">
        <f>Mangochi!G226+Mangochi!H226+Mangochi!I226</f>
        <v>0</v>
      </c>
      <c r="E226" s="25">
        <f>'Monkey Bay'!G226+'Monkey Bay'!H226+'Monkey Bay'!I226</f>
        <v>0</v>
      </c>
      <c r="F226" s="25">
        <f>Namwera!G226+Namwera!H226+Namwera!I226</f>
        <v>0</v>
      </c>
      <c r="G226" s="15">
        <f>Nkhudzi!G226+Nkhudzi!H226+Nkhudzi!I226</f>
        <v>0</v>
      </c>
      <c r="H226" s="9">
        <f t="shared" si="83"/>
        <v>0</v>
      </c>
    </row>
    <row r="227" spans="1:8" ht="15.6" x14ac:dyDescent="0.3">
      <c r="A227" s="549" t="s">
        <v>33</v>
      </c>
      <c r="B227" s="550"/>
      <c r="C227" s="11" t="s">
        <v>31</v>
      </c>
      <c r="D227" s="25">
        <f>Mangochi!G227+Mangochi!H227+Mangochi!I227</f>
        <v>0</v>
      </c>
      <c r="E227" s="25">
        <f>'Monkey Bay'!G227+'Monkey Bay'!H227+'Monkey Bay'!I227</f>
        <v>0</v>
      </c>
      <c r="F227" s="25">
        <f>Namwera!G227+Namwera!H227+Namwera!I227</f>
        <v>0</v>
      </c>
      <c r="G227" s="15">
        <f>Nkhudzi!G227+Nkhudzi!H227+Nkhudzi!I227</f>
        <v>0</v>
      </c>
      <c r="H227" s="9">
        <f t="shared" si="83"/>
        <v>0</v>
      </c>
    </row>
    <row r="228" spans="1:8" ht="15.6" x14ac:dyDescent="0.3">
      <c r="A228" s="549" t="s">
        <v>32</v>
      </c>
      <c r="B228" s="550"/>
      <c r="C228" s="11" t="s">
        <v>31</v>
      </c>
      <c r="D228" s="25">
        <f>Mangochi!G228+Mangochi!H228+Mangochi!I228</f>
        <v>0</v>
      </c>
      <c r="E228" s="25">
        <f>'Monkey Bay'!G228+'Monkey Bay'!H228+'Monkey Bay'!I228</f>
        <v>0</v>
      </c>
      <c r="F228" s="25">
        <f>Namwera!G228+Namwera!H228+Namwera!I228</f>
        <v>0</v>
      </c>
      <c r="G228" s="15">
        <f>Nkhudzi!G228+Nkhudzi!H228+Nkhudzi!I228</f>
        <v>0</v>
      </c>
      <c r="H228" s="9">
        <f t="shared" si="83"/>
        <v>0</v>
      </c>
    </row>
    <row r="229" spans="1:8" ht="15.6" x14ac:dyDescent="0.3">
      <c r="A229" s="618" t="s">
        <v>214</v>
      </c>
      <c r="B229" s="619"/>
      <c r="C229" s="11" t="s">
        <v>31</v>
      </c>
      <c r="D229" s="12">
        <f t="shared" ref="D229:F229" si="84">SUM(D225:D228)</f>
        <v>0</v>
      </c>
      <c r="E229" s="10">
        <f t="shared" si="84"/>
        <v>0</v>
      </c>
      <c r="F229" s="10">
        <f t="shared" si="84"/>
        <v>0</v>
      </c>
      <c r="G229" s="10">
        <f t="shared" ref="G229" si="85">SUM(G225:G228)</f>
        <v>0</v>
      </c>
      <c r="H229" s="9">
        <f t="shared" si="83"/>
        <v>0</v>
      </c>
    </row>
    <row r="230" spans="1:8" ht="15.6" x14ac:dyDescent="0.3">
      <c r="A230" s="73" t="s">
        <v>215</v>
      </c>
      <c r="B230" s="114"/>
      <c r="C230" s="11" t="s">
        <v>31</v>
      </c>
      <c r="D230" s="12">
        <f>D223+D229</f>
        <v>0</v>
      </c>
      <c r="E230" s="12">
        <f t="shared" ref="E230:G230" si="86">E223+E229</f>
        <v>0</v>
      </c>
      <c r="F230" s="12">
        <f t="shared" si="86"/>
        <v>0</v>
      </c>
      <c r="G230" s="12">
        <f t="shared" si="86"/>
        <v>0</v>
      </c>
      <c r="H230" s="9">
        <f t="shared" si="83"/>
        <v>0</v>
      </c>
    </row>
    <row r="231" spans="1:8" x14ac:dyDescent="0.3">
      <c r="A231" s="543" t="s">
        <v>30</v>
      </c>
      <c r="B231" s="544"/>
      <c r="C231" s="544"/>
      <c r="D231" s="544"/>
      <c r="E231" s="544"/>
      <c r="F231" s="544"/>
      <c r="G231" s="544"/>
      <c r="H231" s="546"/>
    </row>
    <row r="232" spans="1:8" ht="15.6" x14ac:dyDescent="0.3">
      <c r="A232" s="549" t="s">
        <v>29</v>
      </c>
      <c r="B232" s="550"/>
      <c r="C232" s="11" t="s">
        <v>18</v>
      </c>
      <c r="D232" s="25">
        <f>Mangochi!G232+Mangochi!H232+Mangochi!I232</f>
        <v>0</v>
      </c>
      <c r="E232" s="25">
        <f>'Monkey Bay'!G232+'Monkey Bay'!H232+'Monkey Bay'!I232</f>
        <v>0</v>
      </c>
      <c r="F232" s="25">
        <f>Namwera!G232+Namwera!H232+Namwera!I232</f>
        <v>0</v>
      </c>
      <c r="G232" s="15">
        <f>Nkhudzi!G232+Nkhudzi!H232+Nkhudzi!I232</f>
        <v>0</v>
      </c>
      <c r="H232" s="9">
        <f t="shared" ref="H232:H235" si="87">SUM(D232:G232)</f>
        <v>0</v>
      </c>
    </row>
    <row r="233" spans="1:8" ht="15.6" x14ac:dyDescent="0.3">
      <c r="A233" s="549" t="s">
        <v>28</v>
      </c>
      <c r="B233" s="550"/>
      <c r="C233" s="11" t="s">
        <v>18</v>
      </c>
      <c r="D233" s="25">
        <f>Mangochi!G233+Mangochi!H233+Mangochi!I233</f>
        <v>0</v>
      </c>
      <c r="E233" s="25">
        <f>'Monkey Bay'!G233+'Monkey Bay'!H233+'Monkey Bay'!I233</f>
        <v>0</v>
      </c>
      <c r="F233" s="25">
        <f>Namwera!G233+Namwera!H233+Namwera!I233</f>
        <v>0</v>
      </c>
      <c r="G233" s="15">
        <f>Nkhudzi!G233+Nkhudzi!H233+Nkhudzi!I233</f>
        <v>0</v>
      </c>
      <c r="H233" s="9">
        <f t="shared" si="87"/>
        <v>0</v>
      </c>
    </row>
    <row r="234" spans="1:8" ht="15.6" x14ac:dyDescent="0.3">
      <c r="A234" s="549" t="s">
        <v>27</v>
      </c>
      <c r="B234" s="550"/>
      <c r="C234" s="11" t="s">
        <v>18</v>
      </c>
      <c r="D234" s="25">
        <f>Mangochi!G234+Mangochi!H234+Mangochi!I234</f>
        <v>0</v>
      </c>
      <c r="E234" s="25">
        <f>'Monkey Bay'!G234+'Monkey Bay'!H234+'Monkey Bay'!I234</f>
        <v>0</v>
      </c>
      <c r="F234" s="25">
        <f>Namwera!G234+Namwera!H234+Namwera!I234</f>
        <v>0</v>
      </c>
      <c r="G234" s="15">
        <f>Nkhudzi!G234+Nkhudzi!H234+Nkhudzi!I234</f>
        <v>0</v>
      </c>
      <c r="H234" s="9">
        <f t="shared" si="87"/>
        <v>0</v>
      </c>
    </row>
    <row r="235" spans="1:8" ht="15.6" x14ac:dyDescent="0.3">
      <c r="A235" s="549" t="s">
        <v>26</v>
      </c>
      <c r="B235" s="550"/>
      <c r="C235" s="11" t="s">
        <v>18</v>
      </c>
      <c r="D235" s="25">
        <f>Mangochi!G235+Mangochi!H235+Mangochi!I235</f>
        <v>0</v>
      </c>
      <c r="E235" s="25">
        <f>'Monkey Bay'!G235+'Monkey Bay'!H235+'Monkey Bay'!I235</f>
        <v>0</v>
      </c>
      <c r="F235" s="25">
        <f>Namwera!G235+Namwera!H235+Namwera!I235</f>
        <v>0</v>
      </c>
      <c r="G235" s="15">
        <f>Nkhudzi!G235+Nkhudzi!H235+Nkhudzi!I235</f>
        <v>0</v>
      </c>
      <c r="H235" s="9">
        <f t="shared" si="87"/>
        <v>0</v>
      </c>
    </row>
    <row r="236" spans="1:8" ht="15.6" x14ac:dyDescent="0.3">
      <c r="A236" s="618" t="s">
        <v>25</v>
      </c>
      <c r="B236" s="619"/>
      <c r="C236" s="11" t="s">
        <v>18</v>
      </c>
      <c r="D236" s="12">
        <f t="shared" ref="D236:F236" si="88">SUM(D232:D235)</f>
        <v>0</v>
      </c>
      <c r="E236" s="12">
        <f t="shared" si="88"/>
        <v>0</v>
      </c>
      <c r="F236" s="12">
        <f t="shared" si="88"/>
        <v>0</v>
      </c>
      <c r="G236" s="12"/>
      <c r="H236" s="39">
        <f t="shared" ref="H236" si="89">SUM(H232:H235)</f>
        <v>0</v>
      </c>
    </row>
    <row r="237" spans="1:8" x14ac:dyDescent="0.3">
      <c r="A237" s="543" t="s">
        <v>24</v>
      </c>
      <c r="B237" s="544"/>
      <c r="C237" s="544"/>
      <c r="D237" s="544"/>
      <c r="E237" s="544"/>
      <c r="F237" s="544"/>
      <c r="G237" s="544"/>
      <c r="H237" s="546"/>
    </row>
    <row r="238" spans="1:8" ht="15.6" x14ac:dyDescent="0.3">
      <c r="A238" s="549" t="s">
        <v>23</v>
      </c>
      <c r="B238" s="550"/>
      <c r="C238" s="11" t="s">
        <v>18</v>
      </c>
      <c r="D238" s="25">
        <f>Mangochi!G238+Mangochi!H238+Mangochi!I238</f>
        <v>0</v>
      </c>
      <c r="E238" s="25">
        <f>'Monkey Bay'!G238+'Monkey Bay'!H238+'Monkey Bay'!I238</f>
        <v>0</v>
      </c>
      <c r="F238" s="25">
        <f>Namwera!G238+Namwera!H238+Namwera!I238</f>
        <v>0</v>
      </c>
      <c r="G238" s="15">
        <f>Nkhudzi!G238+Nkhudzi!H238+Nkhudzi!I238</f>
        <v>0</v>
      </c>
      <c r="H238" s="9">
        <f t="shared" ref="H238:H242" si="90">SUM(D238:G238)</f>
        <v>0</v>
      </c>
    </row>
    <row r="239" spans="1:8" ht="15.6" x14ac:dyDescent="0.3">
      <c r="A239" s="549" t="s">
        <v>22</v>
      </c>
      <c r="B239" s="550"/>
      <c r="C239" s="11" t="s">
        <v>18</v>
      </c>
      <c r="D239" s="25">
        <f>Mangochi!G239+Mangochi!H239+Mangochi!I239</f>
        <v>0</v>
      </c>
      <c r="E239" s="25">
        <f>'Monkey Bay'!G239+'Monkey Bay'!H239+'Monkey Bay'!I239</f>
        <v>0</v>
      </c>
      <c r="F239" s="25">
        <f>Namwera!G239+Namwera!H239+Namwera!I239</f>
        <v>0</v>
      </c>
      <c r="G239" s="15">
        <f>Nkhudzi!G239+Nkhudzi!H239+Nkhudzi!I239</f>
        <v>0</v>
      </c>
      <c r="H239" s="9">
        <f t="shared" si="90"/>
        <v>0</v>
      </c>
    </row>
    <row r="240" spans="1:8" ht="15.6" x14ac:dyDescent="0.3">
      <c r="A240" s="549" t="s">
        <v>21</v>
      </c>
      <c r="B240" s="550"/>
      <c r="C240" s="11" t="s">
        <v>18</v>
      </c>
      <c r="D240" s="25">
        <f>Mangochi!G240+Mangochi!H240+Mangochi!I240</f>
        <v>0</v>
      </c>
      <c r="E240" s="25">
        <f>'Monkey Bay'!G240+'Monkey Bay'!H240+'Monkey Bay'!I240</f>
        <v>0</v>
      </c>
      <c r="F240" s="25">
        <f>Namwera!G240+Namwera!H240+Namwera!I240</f>
        <v>0</v>
      </c>
      <c r="G240" s="15">
        <f>Nkhudzi!G240+Nkhudzi!H240+Nkhudzi!I240</f>
        <v>0</v>
      </c>
      <c r="H240" s="9">
        <f t="shared" si="90"/>
        <v>0</v>
      </c>
    </row>
    <row r="241" spans="1:8" ht="15.6" x14ac:dyDescent="0.3">
      <c r="A241" s="549" t="s">
        <v>20</v>
      </c>
      <c r="B241" s="550"/>
      <c r="C241" s="11" t="s">
        <v>18</v>
      </c>
      <c r="D241" s="25">
        <f>Mangochi!G241+Mangochi!H241+Mangochi!I241</f>
        <v>0</v>
      </c>
      <c r="E241" s="25">
        <f>'Monkey Bay'!G241+'Monkey Bay'!H241+'Monkey Bay'!I241</f>
        <v>0</v>
      </c>
      <c r="F241" s="25">
        <f>Namwera!G241+Namwera!H241+Namwera!I241</f>
        <v>0</v>
      </c>
      <c r="G241" s="15">
        <f>Nkhudzi!G241+Nkhudzi!H241+Nkhudzi!I241</f>
        <v>0</v>
      </c>
      <c r="H241" s="9">
        <f t="shared" si="90"/>
        <v>0</v>
      </c>
    </row>
    <row r="242" spans="1:8" ht="15.6" x14ac:dyDescent="0.3">
      <c r="A242" s="618" t="s">
        <v>19</v>
      </c>
      <c r="B242" s="619"/>
      <c r="C242" s="11" t="s">
        <v>18</v>
      </c>
      <c r="D242" s="12">
        <f t="shared" ref="D242:F242" si="91">SUM(D238:D241)</f>
        <v>0</v>
      </c>
      <c r="E242" s="12">
        <f t="shared" si="91"/>
        <v>0</v>
      </c>
      <c r="F242" s="12">
        <f t="shared" si="91"/>
        <v>0</v>
      </c>
      <c r="G242" s="12">
        <f t="shared" ref="G242" si="92">SUM(G238:G241)</f>
        <v>0</v>
      </c>
      <c r="H242" s="39">
        <f t="shared" si="90"/>
        <v>0</v>
      </c>
    </row>
    <row r="243" spans="1:8" ht="15.6" x14ac:dyDescent="0.3">
      <c r="A243" s="618" t="s">
        <v>216</v>
      </c>
      <c r="B243" s="619"/>
      <c r="C243" s="11" t="s">
        <v>18</v>
      </c>
      <c r="D243" s="10">
        <f>D230+D236+D242</f>
        <v>0</v>
      </c>
      <c r="E243" s="10">
        <f t="shared" ref="E243:G243" si="93">E230+E236+E242</f>
        <v>0</v>
      </c>
      <c r="F243" s="10">
        <f t="shared" si="93"/>
        <v>0</v>
      </c>
      <c r="G243" s="10">
        <f t="shared" si="93"/>
        <v>0</v>
      </c>
      <c r="H243" s="39">
        <f t="shared" ref="H243" si="94">H216+H223+H236+H242</f>
        <v>0</v>
      </c>
    </row>
    <row r="244" spans="1:8" x14ac:dyDescent="0.3">
      <c r="A244" s="543" t="s">
        <v>206</v>
      </c>
      <c r="B244" s="544"/>
      <c r="C244" s="544"/>
      <c r="D244" s="544"/>
      <c r="E244" s="544"/>
      <c r="F244" s="544"/>
      <c r="G244" s="544"/>
      <c r="H244" s="546"/>
    </row>
    <row r="245" spans="1:8" ht="15.6" x14ac:dyDescent="0.3">
      <c r="A245" s="622" t="s">
        <v>207</v>
      </c>
      <c r="B245" s="623"/>
      <c r="C245" s="11" t="s">
        <v>18</v>
      </c>
      <c r="D245" s="15">
        <f>Mangochi!G245+Mangochi!H245+Mangochi!I245</f>
        <v>0</v>
      </c>
      <c r="E245" s="15">
        <f>'Monkey Bay'!G245+'Monkey Bay'!H245+'Monkey Bay'!I245</f>
        <v>0</v>
      </c>
      <c r="F245" s="15">
        <f>Namwera!G245+Namwera!H245+Namwera!I245</f>
        <v>0</v>
      </c>
      <c r="G245" s="15">
        <f>Nkhudzi!G245+Nkhudzi!H245+Nkhudzi!I245</f>
        <v>0</v>
      </c>
      <c r="H245" s="39">
        <f t="shared" ref="H245:H246" si="95">SUM(D245:G245)</f>
        <v>0</v>
      </c>
    </row>
    <row r="246" spans="1:8" ht="15.6" x14ac:dyDescent="0.3">
      <c r="A246" s="622" t="s">
        <v>208</v>
      </c>
      <c r="B246" s="623"/>
      <c r="C246" s="11" t="s">
        <v>18</v>
      </c>
      <c r="D246" s="15">
        <f>Mangochi!G246+Mangochi!H246+Mangochi!I246</f>
        <v>0</v>
      </c>
      <c r="E246" s="15">
        <f>'Monkey Bay'!G246+'Monkey Bay'!H246+'Monkey Bay'!I246</f>
        <v>0</v>
      </c>
      <c r="F246" s="15">
        <f>Namwera!G246+Namwera!H246+Namwera!I246</f>
        <v>0</v>
      </c>
      <c r="G246" s="15">
        <f>Nkhudzi!G246+Nkhudzi!H246+Nkhudzi!I246</f>
        <v>0</v>
      </c>
      <c r="H246" s="39">
        <f t="shared" si="95"/>
        <v>0</v>
      </c>
    </row>
    <row r="247" spans="1:8" ht="15.6" x14ac:dyDescent="0.3">
      <c r="A247" s="624" t="s">
        <v>209</v>
      </c>
      <c r="B247" s="625"/>
      <c r="C247" s="11" t="s">
        <v>18</v>
      </c>
      <c r="D247" s="132">
        <f>D245+D246</f>
        <v>0</v>
      </c>
      <c r="E247" s="132">
        <f t="shared" ref="E247:H247" si="96">E245+E246</f>
        <v>0</v>
      </c>
      <c r="F247" s="132">
        <f t="shared" si="96"/>
        <v>0</v>
      </c>
      <c r="G247" s="173">
        <f t="shared" si="96"/>
        <v>0</v>
      </c>
      <c r="H247" s="39">
        <f t="shared" si="96"/>
        <v>0</v>
      </c>
    </row>
    <row r="248" spans="1:8" x14ac:dyDescent="0.3">
      <c r="A248" s="543" t="s">
        <v>17</v>
      </c>
      <c r="B248" s="544"/>
      <c r="C248" s="544"/>
      <c r="D248" s="544"/>
      <c r="E248" s="544"/>
      <c r="F248" s="544"/>
      <c r="G248" s="544"/>
      <c r="H248" s="546"/>
    </row>
    <row r="249" spans="1:8" ht="15.6" x14ac:dyDescent="0.3">
      <c r="A249" s="567" t="s">
        <v>16</v>
      </c>
      <c r="B249" s="568"/>
      <c r="C249" s="5" t="s">
        <v>6</v>
      </c>
      <c r="D249" s="8" t="e">
        <f>D58/D243%</f>
        <v>#DIV/0!</v>
      </c>
      <c r="E249" s="8" t="e">
        <f t="shared" ref="E249:H249" si="97">E58/E243%</f>
        <v>#DIV/0!</v>
      </c>
      <c r="F249" s="8" t="e">
        <f t="shared" si="97"/>
        <v>#DIV/0!</v>
      </c>
      <c r="G249" s="8" t="e">
        <f t="shared" si="97"/>
        <v>#DIV/0!</v>
      </c>
      <c r="H249" s="8" t="e">
        <f t="shared" si="97"/>
        <v>#DIV/0!</v>
      </c>
    </row>
    <row r="250" spans="1:8" ht="15.6" x14ac:dyDescent="0.3">
      <c r="A250" s="567" t="s">
        <v>210</v>
      </c>
      <c r="B250" s="568"/>
      <c r="C250" s="5" t="s">
        <v>6</v>
      </c>
      <c r="D250" s="28" t="e">
        <f>D210/(D223+D245)%</f>
        <v>#DIV/0!</v>
      </c>
      <c r="E250" s="28" t="e">
        <f t="shared" ref="E250:H250" si="98">E210/(E223+E245)%</f>
        <v>#DIV/0!</v>
      </c>
      <c r="F250" s="28" t="e">
        <f t="shared" si="98"/>
        <v>#DIV/0!</v>
      </c>
      <c r="G250" s="28" t="e">
        <f t="shared" si="98"/>
        <v>#DIV/0!</v>
      </c>
      <c r="H250" s="28" t="e">
        <f t="shared" si="98"/>
        <v>#DIV/0!</v>
      </c>
    </row>
    <row r="251" spans="1:8" ht="16.2" thickBot="1" x14ac:dyDescent="0.35">
      <c r="A251" s="620" t="s">
        <v>15</v>
      </c>
      <c r="B251" s="621"/>
      <c r="C251" s="5" t="s">
        <v>6</v>
      </c>
      <c r="D251" s="7" t="e">
        <f>D210/D223%</f>
        <v>#DIV/0!</v>
      </c>
      <c r="E251" s="7" t="e">
        <f t="shared" ref="E251:H251" si="99">E210/E223%</f>
        <v>#DIV/0!</v>
      </c>
      <c r="F251" s="7" t="e">
        <f t="shared" si="99"/>
        <v>#DIV/0!</v>
      </c>
      <c r="G251" s="7" t="e">
        <f t="shared" si="99"/>
        <v>#DIV/0!</v>
      </c>
      <c r="H251" s="7" t="e">
        <f t="shared" si="99"/>
        <v>#DIV/0!</v>
      </c>
    </row>
    <row r="252" spans="1:8" x14ac:dyDescent="0.3">
      <c r="A252" s="599" t="s">
        <v>14</v>
      </c>
      <c r="B252" s="600"/>
      <c r="C252" s="600"/>
      <c r="D252" s="600"/>
      <c r="E252" s="600"/>
      <c r="F252" s="600"/>
      <c r="G252" s="600"/>
      <c r="H252" s="601"/>
    </row>
    <row r="253" spans="1:8" s="2" customFormat="1" ht="15" customHeight="1" x14ac:dyDescent="0.3">
      <c r="A253" s="567" t="s">
        <v>13</v>
      </c>
      <c r="B253" s="568"/>
      <c r="C253" s="5" t="s">
        <v>3</v>
      </c>
      <c r="D253" s="25">
        <f>Mangochi!G253+Mangochi!H253+Mangochi!I253</f>
        <v>0</v>
      </c>
      <c r="E253" s="25">
        <f>'Monkey Bay'!G253+'Monkey Bay'!H253+'Monkey Bay'!I253</f>
        <v>0</v>
      </c>
      <c r="F253" s="25">
        <f>Namwera!G253+Namwera!H253+Namwera!I253</f>
        <v>0</v>
      </c>
      <c r="G253" s="25">
        <f>Nkhudzi!G253+Nkhudzi!H253+Nkhudzi!I253</f>
        <v>0</v>
      </c>
      <c r="H253" s="108">
        <f t="shared" ref="H253:H257" si="100">SUM(D253:G253)</f>
        <v>0</v>
      </c>
    </row>
    <row r="254" spans="1:8" s="2" customFormat="1" ht="15.6" x14ac:dyDescent="0.3">
      <c r="A254" s="567" t="s">
        <v>12</v>
      </c>
      <c r="B254" s="568"/>
      <c r="C254" s="5" t="s">
        <v>3</v>
      </c>
      <c r="D254" s="25">
        <f>Mangochi!G254+Mangochi!H254+Mangochi!I254</f>
        <v>0</v>
      </c>
      <c r="E254" s="25">
        <f>'Monkey Bay'!G254+'Monkey Bay'!H254+'Monkey Bay'!I254</f>
        <v>0</v>
      </c>
      <c r="F254" s="25">
        <f>Namwera!G254+Namwera!H254+Namwera!I254</f>
        <v>0</v>
      </c>
      <c r="G254" s="25">
        <f>Nkhudzi!G254+Nkhudzi!H254+Nkhudzi!I254</f>
        <v>0</v>
      </c>
      <c r="H254" s="108">
        <f t="shared" si="100"/>
        <v>0</v>
      </c>
    </row>
    <row r="255" spans="1:8" ht="15.75" customHeight="1" x14ac:dyDescent="0.3">
      <c r="A255" s="567" t="s">
        <v>11</v>
      </c>
      <c r="B255" s="568"/>
      <c r="C255" s="5" t="s">
        <v>3</v>
      </c>
      <c r="D255" s="25">
        <f>Mangochi!G255+Mangochi!H255+Mangochi!I255</f>
        <v>0</v>
      </c>
      <c r="E255" s="25">
        <f>'Monkey Bay'!G255+'Monkey Bay'!H255+'Monkey Bay'!I255</f>
        <v>0</v>
      </c>
      <c r="F255" s="25">
        <f>Namwera!G255+Namwera!H255+Namwera!I255</f>
        <v>0</v>
      </c>
      <c r="G255" s="25">
        <f>Nkhudzi!G255+Nkhudzi!H255+Nkhudzi!I255</f>
        <v>0</v>
      </c>
      <c r="H255" s="108">
        <f t="shared" si="100"/>
        <v>0</v>
      </c>
    </row>
    <row r="256" spans="1:8" ht="15.6" x14ac:dyDescent="0.3">
      <c r="A256" s="567" t="s">
        <v>10</v>
      </c>
      <c r="B256" s="568"/>
      <c r="C256" s="5" t="s">
        <v>3</v>
      </c>
      <c r="D256" s="25">
        <f>Mangochi!G256+Mangochi!H256+Mangochi!I256</f>
        <v>0</v>
      </c>
      <c r="E256" s="25">
        <f>'Monkey Bay'!G256+'Monkey Bay'!H256+'Monkey Bay'!I256</f>
        <v>0</v>
      </c>
      <c r="F256" s="25">
        <f>Namwera!G256+Namwera!H256+Namwera!I256</f>
        <v>0</v>
      </c>
      <c r="G256" s="25">
        <f>Nkhudzi!G256+Nkhudzi!H256+Nkhudzi!I256</f>
        <v>0</v>
      </c>
      <c r="H256" s="108">
        <f t="shared" si="100"/>
        <v>0</v>
      </c>
    </row>
    <row r="257" spans="1:8" ht="15.6" customHeight="1" x14ac:dyDescent="0.3">
      <c r="A257" s="567" t="s">
        <v>9</v>
      </c>
      <c r="B257" s="568"/>
      <c r="C257" s="5" t="s">
        <v>3</v>
      </c>
      <c r="D257" s="25">
        <f>Mangochi!G257+Mangochi!H257+Mangochi!I257</f>
        <v>0</v>
      </c>
      <c r="E257" s="25">
        <f>'Monkey Bay'!G257+'Monkey Bay'!H257+'Monkey Bay'!I257</f>
        <v>0</v>
      </c>
      <c r="F257" s="25">
        <f>Namwera!G257+Namwera!H257+Namwera!I257</f>
        <v>0</v>
      </c>
      <c r="G257" s="25">
        <f>Nkhudzi!G257+Nkhudzi!H257+Nkhudzi!I257</f>
        <v>0</v>
      </c>
      <c r="H257" s="108">
        <f t="shared" si="100"/>
        <v>0</v>
      </c>
    </row>
    <row r="258" spans="1:8" ht="15.6" x14ac:dyDescent="0.3">
      <c r="A258" s="618" t="s">
        <v>8</v>
      </c>
      <c r="B258" s="619"/>
      <c r="C258" s="5" t="s">
        <v>3</v>
      </c>
      <c r="D258" s="1" t="e">
        <f t="shared" ref="D258:G258" si="101">D257/D256</f>
        <v>#DIV/0!</v>
      </c>
      <c r="E258" s="1" t="e">
        <f t="shared" si="101"/>
        <v>#DIV/0!</v>
      </c>
      <c r="F258" s="1" t="e">
        <f t="shared" si="101"/>
        <v>#DIV/0!</v>
      </c>
      <c r="G258" s="1" t="e">
        <f t="shared" si="101"/>
        <v>#DIV/0!</v>
      </c>
      <c r="H258" s="108" t="e">
        <f t="shared" ref="H258" si="102">H257/H256</f>
        <v>#DIV/0!</v>
      </c>
    </row>
    <row r="259" spans="1:8" ht="15.6" x14ac:dyDescent="0.3">
      <c r="A259" s="618" t="s">
        <v>7</v>
      </c>
      <c r="B259" s="619"/>
      <c r="C259" s="5" t="s">
        <v>6</v>
      </c>
      <c r="D259" s="1" t="e">
        <f t="shared" ref="D259:G259" si="103">D92/D255*100</f>
        <v>#DIV/0!</v>
      </c>
      <c r="E259" s="1" t="e">
        <f t="shared" si="103"/>
        <v>#DIV/0!</v>
      </c>
      <c r="F259" s="1" t="e">
        <f t="shared" si="103"/>
        <v>#DIV/0!</v>
      </c>
      <c r="G259" s="1" t="e">
        <f t="shared" si="103"/>
        <v>#DIV/0!</v>
      </c>
      <c r="H259" s="109" t="e">
        <f t="shared" ref="H259" si="104">H92/H255*100</f>
        <v>#DIV/0!</v>
      </c>
    </row>
    <row r="260" spans="1:8" x14ac:dyDescent="0.3">
      <c r="A260" s="543" t="s">
        <v>5</v>
      </c>
      <c r="B260" s="544"/>
      <c r="C260" s="544"/>
      <c r="D260" s="544"/>
      <c r="E260" s="544"/>
      <c r="F260" s="544"/>
      <c r="G260" s="544"/>
      <c r="H260" s="546"/>
    </row>
    <row r="261" spans="1:8" s="2" customFormat="1" ht="15" customHeight="1" x14ac:dyDescent="0.3">
      <c r="A261" s="567" t="s">
        <v>4</v>
      </c>
      <c r="B261" s="568"/>
      <c r="C261" s="5" t="s">
        <v>3</v>
      </c>
      <c r="D261" s="25">
        <f>Mangochi!G261+Mangochi!H261+Mangochi!I261</f>
        <v>0</v>
      </c>
      <c r="E261" s="25">
        <f>'Monkey Bay'!G261+'Monkey Bay'!H261+'Monkey Bay'!I261</f>
        <v>0</v>
      </c>
      <c r="F261" s="25">
        <f>Namwera!G261+Namwera!H261+Namwera!I261</f>
        <v>0</v>
      </c>
      <c r="G261" s="25">
        <f>Nkhudzi!G261+Nkhudzi!H261+Nkhudzi!I261</f>
        <v>0</v>
      </c>
      <c r="H261" s="108"/>
    </row>
    <row r="262" spans="1:8" s="2" customFormat="1" ht="15.75" customHeight="1" x14ac:dyDescent="0.3">
      <c r="A262" s="567" t="s">
        <v>2</v>
      </c>
      <c r="B262" s="568"/>
      <c r="C262" s="5" t="s">
        <v>0</v>
      </c>
      <c r="D262" s="25">
        <f>Mangochi!G262+Mangochi!H262+Mangochi!I262</f>
        <v>0</v>
      </c>
      <c r="E262" s="25">
        <f>'Monkey Bay'!G262+'Monkey Bay'!H262+'Monkey Bay'!I262</f>
        <v>0</v>
      </c>
      <c r="F262" s="25">
        <f>Namwera!G262+Namwera!H262+Namwera!I262</f>
        <v>0</v>
      </c>
      <c r="G262" s="25">
        <f>Nkhudzi!G262+Nkhudzi!H262+Nkhudzi!I262</f>
        <v>0</v>
      </c>
      <c r="H262" s="108"/>
    </row>
    <row r="263" spans="1:8" ht="16.2" thickBot="1" x14ac:dyDescent="0.35">
      <c r="A263" s="626" t="s">
        <v>1</v>
      </c>
      <c r="B263" s="627"/>
      <c r="C263" s="110" t="s">
        <v>0</v>
      </c>
      <c r="D263" s="141" t="e">
        <f>D261/D262</f>
        <v>#DIV/0!</v>
      </c>
      <c r="E263" s="141" t="e">
        <f t="shared" ref="E263:H263" si="105">E261/E262</f>
        <v>#DIV/0!</v>
      </c>
      <c r="F263" s="141" t="e">
        <f t="shared" si="105"/>
        <v>#DIV/0!</v>
      </c>
      <c r="G263" s="141" t="e">
        <f t="shared" si="105"/>
        <v>#DIV/0!</v>
      </c>
      <c r="H263" s="151" t="e">
        <f t="shared" si="105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263"/>
  <sheetViews>
    <sheetView workbookViewId="0">
      <pane ySplit="5" topLeftCell="A6" activePane="bottomLeft" state="frozen"/>
      <selection pane="bottomLef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0.109375" bestFit="1" customWidth="1"/>
    <col min="11" max="11" width="11.109375" bestFit="1" customWidth="1"/>
  </cols>
  <sheetData>
    <row r="1" spans="1:17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7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7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</row>
    <row r="4" spans="1:17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7" ht="14.4" customHeight="1" x14ac:dyDescent="0.3">
      <c r="A5" s="89" t="s">
        <v>222</v>
      </c>
      <c r="B5" s="90"/>
      <c r="C5" s="90"/>
      <c r="D5" s="176"/>
      <c r="E5" s="90"/>
      <c r="F5" s="90"/>
      <c r="G5" s="90"/>
      <c r="H5" s="120"/>
    </row>
    <row r="6" spans="1:17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7" ht="16.2" thickBot="1" x14ac:dyDescent="0.35">
      <c r="A7" s="536" t="s">
        <v>176</v>
      </c>
      <c r="B7" s="537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7" ht="15" thickBot="1" x14ac:dyDescent="0.35">
      <c r="A8" s="538" t="s">
        <v>161</v>
      </c>
      <c r="B8" s="539"/>
      <c r="C8" s="539"/>
      <c r="D8" s="539"/>
      <c r="E8" s="539"/>
      <c r="F8" s="539"/>
      <c r="G8" s="539"/>
      <c r="H8" s="540"/>
    </row>
    <row r="9" spans="1:17" ht="15.6" x14ac:dyDescent="0.3">
      <c r="A9" s="541" t="s">
        <v>178</v>
      </c>
      <c r="B9" s="542"/>
      <c r="C9" s="57" t="s">
        <v>154</v>
      </c>
      <c r="D9" s="56">
        <f>Mangochi!D9+Mangochi!E9+Mangochi!F9+Mangochi!G9+Mangochi!H9+Mangochi!I9</f>
        <v>305608</v>
      </c>
      <c r="E9" s="56">
        <f>'Monkey Bay'!D9+'Monkey Bay'!E9+'Monkey Bay'!F9+'Monkey Bay'!G9+'Monkey Bay'!H9+'Monkey Bay'!I9</f>
        <v>116050</v>
      </c>
      <c r="F9" s="56">
        <f>Namwera!D9+Namwera!E9+Namwera!F9+Namwera!G9+Namwera!H9+Namwera!I9</f>
        <v>8386</v>
      </c>
      <c r="G9" s="56">
        <f>Nkhudzi!D9+Nkhudzi!E9+Nkhudzi!F9+Nkhudzi!G9+Nkhudzi!H9+Nkhudzi!I9</f>
        <v>73551</v>
      </c>
      <c r="H9" s="142">
        <f>SUM(D9:G9)</f>
        <v>503595</v>
      </c>
    </row>
    <row r="10" spans="1:17" ht="15" thickBot="1" x14ac:dyDescent="0.35">
      <c r="A10" s="543" t="s">
        <v>179</v>
      </c>
      <c r="B10" s="544"/>
      <c r="C10" s="544"/>
      <c r="D10" s="545"/>
      <c r="E10" s="545"/>
      <c r="F10" s="545"/>
      <c r="G10" s="545"/>
      <c r="H10" s="628"/>
    </row>
    <row r="11" spans="1:17" ht="15.6" x14ac:dyDescent="0.3">
      <c r="A11" s="547" t="s">
        <v>159</v>
      </c>
      <c r="B11" s="548"/>
      <c r="C11" s="11" t="s">
        <v>154</v>
      </c>
      <c r="D11" s="25">
        <f>Mangochi!D11+Mangochi!E11+Mangochi!F11+Mangochi!G11+Mangochi!H11+Mangochi!I11</f>
        <v>113884</v>
      </c>
      <c r="E11" s="25">
        <f>'Monkey Bay'!D11+'Monkey Bay'!E11+'Monkey Bay'!F11+'Monkey Bay'!G11+'Monkey Bay'!H11+'Monkey Bay'!I11</f>
        <v>35792</v>
      </c>
      <c r="F11" s="25">
        <f>Namwera!D11+Namwera!E11+Namwera!F11+Namwera!G11+Namwera!H11+Namwera!I11</f>
        <v>21</v>
      </c>
      <c r="G11" s="171">
        <f>Nkhudzi!D11+Nkhudzi!E11+Nkhudzi!F11+Nkhudzi!G11+Nkhudzi!H11+Nkhudzi!I11</f>
        <v>227</v>
      </c>
      <c r="H11" s="54">
        <f t="shared" ref="H11:H15" si="0">SUM(D11:G11)</f>
        <v>149924</v>
      </c>
    </row>
    <row r="12" spans="1:17" ht="15.6" x14ac:dyDescent="0.3">
      <c r="A12" s="547" t="s">
        <v>158</v>
      </c>
      <c r="B12" s="548"/>
      <c r="C12" s="11" t="s">
        <v>154</v>
      </c>
      <c r="D12" s="25">
        <f>Mangochi!D12+Mangochi!E12+Mangochi!F12+Mangochi!G12+Mangochi!H12+Mangochi!I12</f>
        <v>0</v>
      </c>
      <c r="E12" s="25">
        <f>'Monkey Bay'!D12+'Monkey Bay'!E12+'Monkey Bay'!F12+'Monkey Bay'!G12+'Monkey Bay'!H12+'Monkey Bay'!I12</f>
        <v>0</v>
      </c>
      <c r="F12" s="25">
        <f>Namwera!D12+Namwera!E12+Namwera!F12+Namwera!G12+Namwera!H12+Namwera!I12</f>
        <v>0</v>
      </c>
      <c r="G12" s="25">
        <f>Nkhudzi!D12+Nkhudzi!E12+Nkhudzi!F12+Nkhudzi!G12+Nkhudzi!H12+Nkhudzi!I12</f>
        <v>0</v>
      </c>
      <c r="H12" s="54">
        <f t="shared" si="0"/>
        <v>0</v>
      </c>
    </row>
    <row r="13" spans="1:17" ht="15.6" x14ac:dyDescent="0.3">
      <c r="A13" s="547" t="s">
        <v>157</v>
      </c>
      <c r="B13" s="548"/>
      <c r="C13" s="11" t="s">
        <v>154</v>
      </c>
      <c r="D13" s="25">
        <f>Mangochi!D13+Mangochi!E13+Mangochi!F13+Mangochi!G13+Mangochi!H13+Mangochi!I13</f>
        <v>304</v>
      </c>
      <c r="E13" s="25">
        <f>'Monkey Bay'!D13+'Monkey Bay'!E13+'Monkey Bay'!F13+'Monkey Bay'!G13+'Monkey Bay'!H13+'Monkey Bay'!I13</f>
        <v>8915</v>
      </c>
      <c r="F13" s="25">
        <f>Namwera!D13+Namwera!E13+Namwera!F13+Namwera!G13+Namwera!H13+Namwera!I13</f>
        <v>7</v>
      </c>
      <c r="G13" s="25">
        <f>Nkhudzi!D13+Nkhudzi!E13+Nkhudzi!F13+Nkhudzi!G13+Nkhudzi!H13+Nkhudzi!I13</f>
        <v>403</v>
      </c>
      <c r="H13" s="54">
        <f t="shared" si="0"/>
        <v>9629</v>
      </c>
    </row>
    <row r="14" spans="1:17" ht="15.6" x14ac:dyDescent="0.3">
      <c r="A14" s="549" t="s">
        <v>156</v>
      </c>
      <c r="B14" s="550"/>
      <c r="C14" s="11" t="s">
        <v>154</v>
      </c>
      <c r="D14" s="25">
        <f>Mangochi!D14+Mangochi!E14+Mangochi!F14+Mangochi!G14+Mangochi!H14+Mangochi!I14</f>
        <v>143</v>
      </c>
      <c r="E14" s="25">
        <f>'Monkey Bay'!D14+'Monkey Bay'!E14+'Monkey Bay'!F14+'Monkey Bay'!G14+'Monkey Bay'!H14+'Monkey Bay'!I14</f>
        <v>0</v>
      </c>
      <c r="F14" s="25">
        <f>Namwera!D14+Namwera!E14+Namwera!F14+Namwera!G14+Namwera!H14+Namwera!I14</f>
        <v>0</v>
      </c>
      <c r="G14" s="25">
        <f>Nkhudzi!D14+Nkhudzi!E14+Nkhudzi!F14+Nkhudzi!G14+Nkhudzi!H14+Nkhudzi!I14</f>
        <v>2</v>
      </c>
      <c r="H14" s="54">
        <f t="shared" si="0"/>
        <v>145</v>
      </c>
    </row>
    <row r="15" spans="1:17" s="62" customFormat="1" ht="15.6" x14ac:dyDescent="0.3">
      <c r="A15" s="551" t="s">
        <v>160</v>
      </c>
      <c r="B15" s="552"/>
      <c r="C15" s="61" t="s">
        <v>154</v>
      </c>
      <c r="D15" s="33">
        <f t="shared" ref="D15:G15" si="1">SUM(D11:D14)</f>
        <v>114331</v>
      </c>
      <c r="E15" s="33">
        <f t="shared" si="1"/>
        <v>44707</v>
      </c>
      <c r="F15" s="33">
        <f t="shared" si="1"/>
        <v>28</v>
      </c>
      <c r="G15" s="33">
        <f t="shared" si="1"/>
        <v>632</v>
      </c>
      <c r="H15" s="54">
        <f t="shared" si="0"/>
        <v>159698</v>
      </c>
    </row>
    <row r="16" spans="1:17" s="2" customFormat="1" ht="15" thickBot="1" x14ac:dyDescent="0.35">
      <c r="A16" s="543" t="s">
        <v>180</v>
      </c>
      <c r="B16" s="544"/>
      <c r="C16" s="544"/>
      <c r="D16" s="544"/>
      <c r="E16" s="544"/>
      <c r="F16" s="544"/>
      <c r="G16" s="544"/>
      <c r="H16" s="546"/>
    </row>
    <row r="17" spans="1:11" s="2" customFormat="1" ht="15.6" x14ac:dyDescent="0.3">
      <c r="A17" s="547" t="s">
        <v>182</v>
      </c>
      <c r="B17" s="548"/>
      <c r="C17" s="11" t="s">
        <v>154</v>
      </c>
      <c r="D17" s="25">
        <f>Mangochi!D17+Mangochi!E17+Mangochi!F17+Mangochi!G17+Mangochi!H17+Mangochi!I17</f>
        <v>54757.599999999999</v>
      </c>
      <c r="E17" s="25">
        <f>'Monkey Bay'!D17+'Monkey Bay'!E17+'Monkey Bay'!F17+'Monkey Bay'!G17+'Monkey Bay'!H17+'Monkey Bay'!I17</f>
        <v>18175.100000000013</v>
      </c>
      <c r="F17" s="25">
        <f>Namwera!D17+Namwera!E17+Namwera!F17+Namwera!G17+Namwera!H17+Namwera!I17</f>
        <v>6849.7999999999993</v>
      </c>
      <c r="G17" s="171">
        <f>Nkhudzi!D17+Nkhudzi!E17+Nkhudzi!F17+Nkhudzi!G17+Nkhudzi!H17+Nkhudzi!I17</f>
        <v>48893.799999999916</v>
      </c>
      <c r="H17" s="54">
        <f t="shared" ref="H17:H22" si="2">SUM(D17:G17)</f>
        <v>128676.29999999993</v>
      </c>
    </row>
    <row r="18" spans="1:11" s="2" customFormat="1" ht="15.6" x14ac:dyDescent="0.3">
      <c r="A18" s="547" t="s">
        <v>183</v>
      </c>
      <c r="B18" s="548"/>
      <c r="C18" s="11" t="s">
        <v>154</v>
      </c>
      <c r="D18" s="25">
        <f>Mangochi!D18+Mangochi!E18+Mangochi!F18+Mangochi!G18+Mangochi!H18+Mangochi!I18</f>
        <v>9208.5</v>
      </c>
      <c r="E18" s="25">
        <f>'Monkey Bay'!D18+'Monkey Bay'!E18+'Monkey Bay'!F18+'Monkey Bay'!G18+'Monkey Bay'!H18+'Monkey Bay'!I18</f>
        <v>2244.6000000000004</v>
      </c>
      <c r="F18" s="25">
        <f>Namwera!D18+Namwera!E18+Namwera!F18+Namwera!G18+Namwera!H18+Namwera!I18</f>
        <v>0</v>
      </c>
      <c r="G18" s="25">
        <f>Nkhudzi!M18+Nkhudzi!N18+Nkhudzi!O18</f>
        <v>0</v>
      </c>
      <c r="H18" s="54">
        <f t="shared" si="2"/>
        <v>11453.1</v>
      </c>
    </row>
    <row r="19" spans="1:11" s="2" customFormat="1" ht="15.6" x14ac:dyDescent="0.3">
      <c r="A19" s="547" t="s">
        <v>184</v>
      </c>
      <c r="B19" s="548"/>
      <c r="C19" s="11" t="s">
        <v>154</v>
      </c>
      <c r="D19" s="25">
        <f>Mangochi!D19+Mangochi!E19+Mangochi!F19+Mangochi!G19+Mangochi!H19+Mangochi!I19</f>
        <v>10854.9</v>
      </c>
      <c r="E19" s="25">
        <f>'Monkey Bay'!D19+'Monkey Bay'!E19+'Monkey Bay'!F19+'Monkey Bay'!G19+'Monkey Bay'!H19+'Monkey Bay'!I19</f>
        <v>4598.5</v>
      </c>
      <c r="F19" s="25">
        <f>Namwera!D19+Namwera!E19+Namwera!F19+Namwera!G19+Namwera!H19+Namwera!I19</f>
        <v>753.90000000000009</v>
      </c>
      <c r="G19" s="25">
        <f>Nkhudzi!M19+Nkhudzi!N19+Nkhudzi!O19</f>
        <v>0</v>
      </c>
      <c r="H19" s="54">
        <f t="shared" si="2"/>
        <v>16207.3</v>
      </c>
    </row>
    <row r="20" spans="1:11" s="2" customFormat="1" ht="15.6" x14ac:dyDescent="0.3">
      <c r="A20" s="549" t="s">
        <v>185</v>
      </c>
      <c r="B20" s="550"/>
      <c r="C20" s="11" t="s">
        <v>154</v>
      </c>
      <c r="D20" s="25">
        <f>Mangochi!D20+Mangochi!E20+Mangochi!F20+Mangochi!G20+Mangochi!H20+Mangochi!I20</f>
        <v>4331.5999999999958</v>
      </c>
      <c r="E20" s="25">
        <f>'Monkey Bay'!D20+'Monkey Bay'!E20+'Monkey Bay'!F20+'Monkey Bay'!G20+'Monkey Bay'!H20+'Monkey Bay'!I20</f>
        <v>1167.8000000000002</v>
      </c>
      <c r="F20" s="25">
        <f>Namwera!D20+Namwera!E20+Namwera!F20+Namwera!G20+Namwera!H20+Namwera!I20</f>
        <v>27.799999999999997</v>
      </c>
      <c r="G20" s="25">
        <f>Nkhudzi!M20+Nkhudzi!N20+Nkhudzi!O20</f>
        <v>0</v>
      </c>
      <c r="H20" s="54">
        <f t="shared" si="2"/>
        <v>5527.1999999999962</v>
      </c>
    </row>
    <row r="21" spans="1:11" s="70" customFormat="1" ht="15.6" x14ac:dyDescent="0.3">
      <c r="A21" s="551" t="s">
        <v>186</v>
      </c>
      <c r="B21" s="552"/>
      <c r="C21" s="61" t="s">
        <v>154</v>
      </c>
      <c r="D21" s="33">
        <f>SUM(D17:D20)</f>
        <v>79152.599999999991</v>
      </c>
      <c r="E21" s="33">
        <f t="shared" ref="E21:G21" si="3">SUM(E17:E20)</f>
        <v>26186.000000000011</v>
      </c>
      <c r="F21" s="33">
        <f t="shared" si="3"/>
        <v>7631.4999999999991</v>
      </c>
      <c r="G21" s="33">
        <f t="shared" si="3"/>
        <v>48893.799999999916</v>
      </c>
      <c r="H21" s="54">
        <f t="shared" si="2"/>
        <v>161863.89999999991</v>
      </c>
    </row>
    <row r="22" spans="1:11" s="2" customFormat="1" ht="15.6" x14ac:dyDescent="0.3">
      <c r="A22" s="165" t="s">
        <v>187</v>
      </c>
      <c r="B22" s="158"/>
      <c r="C22" s="11" t="s">
        <v>154</v>
      </c>
      <c r="D22" s="33">
        <f>D21+D15</f>
        <v>193483.59999999998</v>
      </c>
      <c r="E22" s="33">
        <f t="shared" ref="E22:G22" si="4">E21+E15</f>
        <v>70893.000000000015</v>
      </c>
      <c r="F22" s="33">
        <f t="shared" si="4"/>
        <v>7659.4999999999991</v>
      </c>
      <c r="G22" s="33">
        <f t="shared" si="4"/>
        <v>49525.799999999916</v>
      </c>
      <c r="H22" s="54">
        <f t="shared" si="2"/>
        <v>321561.89999999991</v>
      </c>
      <c r="K22" s="156"/>
    </row>
    <row r="23" spans="1:11" x14ac:dyDescent="0.3">
      <c r="A23" s="543" t="s">
        <v>217</v>
      </c>
      <c r="B23" s="544"/>
      <c r="C23" s="544"/>
      <c r="D23" s="544"/>
      <c r="E23" s="544"/>
      <c r="F23" s="544"/>
      <c r="G23" s="544"/>
      <c r="H23" s="546"/>
    </row>
    <row r="24" spans="1:11" ht="15.6" x14ac:dyDescent="0.3">
      <c r="A24" s="553" t="s">
        <v>181</v>
      </c>
      <c r="B24" s="36" t="s">
        <v>155</v>
      </c>
      <c r="C24" s="5" t="s">
        <v>154</v>
      </c>
      <c r="D24" s="122">
        <f>D9-D22</f>
        <v>112124.40000000002</v>
      </c>
      <c r="E24" s="122">
        <f t="shared" ref="E24:H24" si="5">E9-E22</f>
        <v>45156.999999999985</v>
      </c>
      <c r="F24" s="122">
        <f t="shared" si="5"/>
        <v>726.50000000000091</v>
      </c>
      <c r="G24" s="53">
        <f t="shared" si="5"/>
        <v>24025.200000000084</v>
      </c>
      <c r="H24" s="54">
        <f t="shared" si="5"/>
        <v>182033.10000000009</v>
      </c>
    </row>
    <row r="25" spans="1:11" ht="15.6" x14ac:dyDescent="0.3">
      <c r="A25" s="554"/>
      <c r="B25" s="52" t="s">
        <v>153</v>
      </c>
      <c r="C25" s="51" t="s">
        <v>6</v>
      </c>
      <c r="D25" s="50">
        <f t="shared" ref="D25:H25" si="6">D24/D9</f>
        <v>0.36688961021962785</v>
      </c>
      <c r="E25" s="50">
        <f t="shared" si="6"/>
        <v>0.38911676001723383</v>
      </c>
      <c r="F25" s="50">
        <f t="shared" si="6"/>
        <v>8.6632482709277481E-2</v>
      </c>
      <c r="G25" s="50">
        <f t="shared" si="6"/>
        <v>0.3266468164946783</v>
      </c>
      <c r="H25" s="143">
        <f t="shared" si="6"/>
        <v>0.36146725046912714</v>
      </c>
    </row>
    <row r="26" spans="1:11" x14ac:dyDescent="0.3">
      <c r="A26" s="543" t="s">
        <v>152</v>
      </c>
      <c r="B26" s="544"/>
      <c r="C26" s="544"/>
      <c r="D26" s="544"/>
      <c r="E26" s="544"/>
      <c r="F26" s="544"/>
      <c r="G26" s="544"/>
      <c r="H26" s="546"/>
    </row>
    <row r="27" spans="1:11" x14ac:dyDescent="0.3">
      <c r="A27" s="559" t="s">
        <v>151</v>
      </c>
      <c r="B27" s="560"/>
      <c r="C27" s="560"/>
      <c r="D27" s="560"/>
      <c r="E27" s="560"/>
      <c r="F27" s="560"/>
      <c r="G27" s="560"/>
      <c r="H27" s="561"/>
    </row>
    <row r="28" spans="1:11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11" ht="15.6" x14ac:dyDescent="0.3">
      <c r="A29" s="562" t="s">
        <v>148</v>
      </c>
      <c r="B29" s="557">
        <v>3525.29</v>
      </c>
      <c r="C29" s="5" t="s">
        <v>142</v>
      </c>
      <c r="D29" s="25">
        <f>Mangochi!D29+Mangochi!E29+Mangochi!F29+Mangochi!G29+Mangochi!H29+Mangochi!I29</f>
        <v>1035.3900000000001</v>
      </c>
      <c r="E29" s="25">
        <f>'Monkey Bay'!D29+'Monkey Bay'!E29+'Monkey Bay'!F29+'Monkey Bay'!G29+'Monkey Bay'!H29+'Monkey Bay'!I29</f>
        <v>230</v>
      </c>
      <c r="F29" s="25">
        <f>Namwera!D29+Namwera!E29+Namwera!F29+Namwera!G29+Namwera!H29+Namwera!I29</f>
        <v>8.5</v>
      </c>
      <c r="G29" s="4">
        <f>Nkhudzi!D29+Nkhudzi!E29+Nkhudzi!F29+Nkhudzi!G29+Nkhudzi!H29+Nkhudzi!I29</f>
        <v>139.11000000000001</v>
      </c>
      <c r="H29" s="44">
        <f>SUM(D29:G29)</f>
        <v>1413</v>
      </c>
    </row>
    <row r="30" spans="1:11" ht="15.6" x14ac:dyDescent="0.3">
      <c r="A30" s="563"/>
      <c r="B30" s="558"/>
      <c r="C30" s="41" t="s">
        <v>141</v>
      </c>
      <c r="D30" s="15">
        <f t="shared" ref="D30:H30" si="7">D29/(D9/1000)</f>
        <v>3.3879675924714014</v>
      </c>
      <c r="E30" s="15">
        <f t="shared" si="7"/>
        <v>1.981904351572598</v>
      </c>
      <c r="F30" s="15">
        <f t="shared" si="7"/>
        <v>1.013594085380396</v>
      </c>
      <c r="G30" s="15">
        <f t="shared" si="7"/>
        <v>1.8913407023697844</v>
      </c>
      <c r="H30" s="97">
        <f t="shared" si="7"/>
        <v>2.8058261102671787</v>
      </c>
    </row>
    <row r="31" spans="1:11" ht="15.6" x14ac:dyDescent="0.3">
      <c r="A31" s="555" t="s">
        <v>147</v>
      </c>
      <c r="B31" s="557">
        <v>1060.0102199999999</v>
      </c>
      <c r="C31" s="5" t="s">
        <v>142</v>
      </c>
      <c r="D31" s="25">
        <f>Mangochi!D31+Mangochi!E31+Mangochi!F31+Mangochi!G31+Mangochi!H31+Mangochi!I31</f>
        <v>0</v>
      </c>
      <c r="E31" s="25">
        <f>'Monkey Bay'!D31+'Monkey Bay'!E31+'Monkey Bay'!F31+'Monkey Bay'!G31+'Monkey Bay'!H31+'Monkey Bay'!I31</f>
        <v>0</v>
      </c>
      <c r="F31" s="25">
        <f>Namwera!D31+Namwera!E31+Namwera!F31+Namwera!G31+Namwera!H31+Namwera!I31</f>
        <v>0</v>
      </c>
      <c r="G31" s="4">
        <f>Nkhudzi!D31+Nkhudzi!E31+Nkhudzi!F31+Nkhudzi!G31+Nkhudzi!H31+Nkhudzi!I31</f>
        <v>0</v>
      </c>
      <c r="H31" s="44">
        <f>SUM(D31:G31)</f>
        <v>0</v>
      </c>
    </row>
    <row r="32" spans="1:11" ht="15.6" x14ac:dyDescent="0.3">
      <c r="A32" s="556"/>
      <c r="B32" s="558"/>
      <c r="C32" s="41" t="s">
        <v>141</v>
      </c>
      <c r="D32" s="15">
        <f t="shared" ref="D32:F32" si="8">D31/(D9/1000)</f>
        <v>0</v>
      </c>
      <c r="E32" s="15">
        <f t="shared" si="8"/>
        <v>0</v>
      </c>
      <c r="F32" s="15">
        <f t="shared" si="8"/>
        <v>0</v>
      </c>
      <c r="G32" s="15" t="e">
        <f>Nkhudzi!D32+Nkhudzi!E32+Nkhudzi!F32+Nkhudzi!G32+Nkhudzi!H32+Nkhudzi!I32</f>
        <v>#DIV/0!</v>
      </c>
      <c r="H32" s="97">
        <f t="shared" ref="H32" si="9">H31/(H9/1000)</f>
        <v>0</v>
      </c>
    </row>
    <row r="33" spans="1:8" ht="15.6" x14ac:dyDescent="0.3">
      <c r="A33" s="555" t="s">
        <v>146</v>
      </c>
      <c r="B33" s="557">
        <v>1228.2886000000001</v>
      </c>
      <c r="C33" s="5" t="s">
        <v>142</v>
      </c>
      <c r="D33" s="25">
        <f>Mangochi!D33+Mangochi!E33+Mangochi!F33+Mangochi!G33+Mangochi!H33+Mangochi!I33</f>
        <v>0</v>
      </c>
      <c r="E33" s="25">
        <f>'Monkey Bay'!D33+'Monkey Bay'!E33+'Monkey Bay'!F33+'Monkey Bay'!G33+'Monkey Bay'!H33+'Monkey Bay'!I33</f>
        <v>0</v>
      </c>
      <c r="F33" s="25">
        <f>Namwera!D33+Namwera!E33+Namwera!F33+Namwera!G33+Namwera!H33+Namwera!I33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56"/>
      <c r="B34" s="558"/>
      <c r="C34" s="41" t="s">
        <v>141</v>
      </c>
      <c r="D34" s="15">
        <f t="shared" ref="D34:F34" si="10">D33/(D9/1000)</f>
        <v>0</v>
      </c>
      <c r="E34" s="15">
        <f t="shared" si="10"/>
        <v>0</v>
      </c>
      <c r="F34" s="15">
        <f t="shared" si="10"/>
        <v>0</v>
      </c>
      <c r="G34" s="15" t="e">
        <f>Nkhudzi!D34+Nkhudzi!E34+Nkhudzi!F34+Nkhudzi!G34+Nkhudzi!H34+Nkhudzi!I34</f>
        <v>#DIV/0!</v>
      </c>
      <c r="H34" s="97">
        <f t="shared" ref="H34" si="11">H33/(H9/1000)</f>
        <v>0</v>
      </c>
    </row>
    <row r="35" spans="1:8" ht="15.6" x14ac:dyDescent="0.3">
      <c r="A35" s="555" t="s">
        <v>145</v>
      </c>
      <c r="B35" s="557">
        <v>3726.7258000000002</v>
      </c>
      <c r="C35" s="5" t="s">
        <v>128</v>
      </c>
      <c r="D35" s="25">
        <f>Mangochi!D35+Mangochi!E35+Mangochi!F35+Mangochi!G35+Mangochi!H35+Mangochi!I35</f>
        <v>0</v>
      </c>
      <c r="E35" s="25">
        <f>'Monkey Bay'!D35+'Monkey Bay'!E35+'Monkey Bay'!F35+'Monkey Bay'!G35+'Monkey Bay'!H35+'Monkey Bay'!I35</f>
        <v>0</v>
      </c>
      <c r="F35" s="25">
        <f>Namwera!D35+Namwera!E35+Namwera!F35+Namwera!G35+Namwera!H35+Namwera!I35</f>
        <v>0</v>
      </c>
      <c r="G35" s="4">
        <f>Nkhudzi!D35+Nkhudzi!E35+Nkhudzi!F35+Nkhudzi!G35+Nkhudzi!H35+Nkhudzi!I35</f>
        <v>0</v>
      </c>
      <c r="H35" s="44"/>
    </row>
    <row r="36" spans="1:8" ht="15.6" x14ac:dyDescent="0.3">
      <c r="A36" s="556"/>
      <c r="B36" s="558"/>
      <c r="C36" s="5" t="s">
        <v>144</v>
      </c>
      <c r="D36" s="13"/>
      <c r="E36" s="13"/>
      <c r="F36" s="13"/>
      <c r="G36" s="15">
        <f>Nkhudzi!D36+Nkhudzi!E36+Nkhudzi!F36+Nkhudzi!G36+Nkhudzi!H36+Nkhudzi!I36</f>
        <v>0</v>
      </c>
      <c r="H36" s="44"/>
    </row>
    <row r="37" spans="1:8" ht="15.6" x14ac:dyDescent="0.3">
      <c r="A37" s="555" t="s">
        <v>188</v>
      </c>
      <c r="B37" s="557">
        <v>3951.5935999999997</v>
      </c>
      <c r="C37" s="5" t="s">
        <v>128</v>
      </c>
      <c r="D37" s="25">
        <f>Mangochi!D37+Mangochi!E37+Mangochi!F37+Mangochi!G37+Mangochi!H37+Mangochi!I37</f>
        <v>0</v>
      </c>
      <c r="E37" s="25">
        <f>'Monkey Bay'!D37+'Monkey Bay'!E37+'Monkey Bay'!F37+'Monkey Bay'!G37+'Monkey Bay'!H37+'Monkey Bay'!I37</f>
        <v>0</v>
      </c>
      <c r="F37" s="25">
        <f>Namwera!D37+Namwera!E37+Namwera!F37+Namwera!G37+Namwera!H37+Namwera!I37</f>
        <v>0</v>
      </c>
      <c r="G37" s="4">
        <f>Nkhudzi!D37+Nkhudzi!E37+Nkhudzi!F37+Nkhudzi!G37+Nkhudzi!H37+Nkhudzi!I37</f>
        <v>0</v>
      </c>
      <c r="H37" s="44">
        <f>SUM(D37:F37)</f>
        <v>0</v>
      </c>
    </row>
    <row r="38" spans="1:8" ht="15.6" x14ac:dyDescent="0.3">
      <c r="A38" s="556"/>
      <c r="B38" s="558"/>
      <c r="C38" s="5" t="s">
        <v>144</v>
      </c>
      <c r="D38" s="15">
        <f t="shared" ref="D38:F38" si="12">D37/(D9/1000)</f>
        <v>0</v>
      </c>
      <c r="E38" s="15">
        <f t="shared" si="12"/>
        <v>0</v>
      </c>
      <c r="F38" s="15">
        <f t="shared" si="12"/>
        <v>0</v>
      </c>
      <c r="G38" s="15" t="e">
        <f>Nkhudzi!D38+Nkhudzi!E38+Nkhudzi!F38+Nkhudzi!G38+Nkhudzi!H38+Nkhudzi!I38</f>
        <v>#DIV/0!</v>
      </c>
      <c r="H38" s="97">
        <f t="shared" ref="H38" si="13">H37/(H9/1000)</f>
        <v>0</v>
      </c>
    </row>
    <row r="39" spans="1:8" ht="15.6" x14ac:dyDescent="0.3">
      <c r="A39" s="555" t="s">
        <v>143</v>
      </c>
      <c r="B39" s="557">
        <v>1950</v>
      </c>
      <c r="C39" s="5" t="s">
        <v>142</v>
      </c>
      <c r="D39" s="25">
        <f>Mangochi!D39+Mangochi!E39+Mangochi!F39+Mangochi!G39+Mangochi!H39+Mangochi!I39</f>
        <v>0</v>
      </c>
      <c r="E39" s="25">
        <f>'Monkey Bay'!D39+'Monkey Bay'!E39+'Monkey Bay'!F39+'Monkey Bay'!G39+'Monkey Bay'!H39+'Monkey Bay'!I39</f>
        <v>0</v>
      </c>
      <c r="F39" s="25">
        <f>Namwera!D39+Namwera!E39+Namwera!F39+Namwera!G39+Namwera!H39+Namwera!I39</f>
        <v>0</v>
      </c>
      <c r="G39" s="4">
        <f>Nkhudzi!D39+Nkhudzi!E39+Nkhudzi!F39+Nkhudzi!G39+Nkhudzi!H39+Nkhudzi!I39</f>
        <v>0</v>
      </c>
      <c r="H39" s="44">
        <f>SUM(D39:F39)</f>
        <v>0</v>
      </c>
    </row>
    <row r="40" spans="1:8" ht="15.6" x14ac:dyDescent="0.3">
      <c r="A40" s="556"/>
      <c r="B40" s="558"/>
      <c r="C40" s="41" t="s">
        <v>141</v>
      </c>
      <c r="D40" s="15">
        <f t="shared" ref="D40:F40" si="14">D39/(D9/1000)</f>
        <v>0</v>
      </c>
      <c r="E40" s="15">
        <f t="shared" si="14"/>
        <v>0</v>
      </c>
      <c r="F40" s="15">
        <f t="shared" si="14"/>
        <v>0</v>
      </c>
      <c r="G40" s="15" t="e">
        <f>Nkhudzi!D40+Nkhudzi!E40+Nkhudzi!F40+Nkhudzi!G40+Nkhudzi!H40+Nkhudzi!I40</f>
        <v>#DIV/0!</v>
      </c>
      <c r="H40" s="97">
        <f t="shared" ref="H40" si="15">H39/(H9/1000)</f>
        <v>0</v>
      </c>
    </row>
    <row r="41" spans="1:8" ht="15.6" x14ac:dyDescent="0.3">
      <c r="A41" s="549" t="s">
        <v>140</v>
      </c>
      <c r="B41" s="550"/>
      <c r="C41" s="11" t="s">
        <v>31</v>
      </c>
      <c r="D41" s="40">
        <f>(D29*$B29)+(D31*$B31)+(D33*$B33)+(D35*$B35)+(D37*$B37)+(D39*$B39)</f>
        <v>3650050.0131000001</v>
      </c>
      <c r="E41" s="40">
        <f t="shared" ref="E41:G41" si="16">(E29*$B29)+(E31*$B31)+(E33*$B33)+(E35*$B35)+(E37*$B37)+(E39*$B39)</f>
        <v>810816.7</v>
      </c>
      <c r="F41" s="40">
        <f t="shared" si="16"/>
        <v>29964.965</v>
      </c>
      <c r="G41" s="40">
        <f t="shared" si="16"/>
        <v>490403.09190000006</v>
      </c>
      <c r="H41" s="38">
        <f>SUM(D41:G41)</f>
        <v>4981234.7700000005</v>
      </c>
    </row>
    <row r="42" spans="1:8" ht="15.6" x14ac:dyDescent="0.3">
      <c r="A42" s="569" t="s">
        <v>139</v>
      </c>
      <c r="B42" s="570"/>
      <c r="C42" s="41" t="s">
        <v>117</v>
      </c>
      <c r="D42" s="15">
        <f t="shared" ref="D42:H42" si="17">D41/D9</f>
        <v>11.943568274063507</v>
      </c>
      <c r="E42" s="15">
        <f t="shared" si="17"/>
        <v>6.9867875915553634</v>
      </c>
      <c r="F42" s="15">
        <f t="shared" si="17"/>
        <v>3.5732130932506561</v>
      </c>
      <c r="G42" s="15">
        <f t="shared" si="17"/>
        <v>6.6675244646571779</v>
      </c>
      <c r="H42" s="43">
        <f t="shared" si="17"/>
        <v>9.8913507282637845</v>
      </c>
    </row>
    <row r="43" spans="1:8" x14ac:dyDescent="0.3">
      <c r="A43" s="564" t="s">
        <v>138</v>
      </c>
      <c r="B43" s="565"/>
      <c r="C43" s="565"/>
      <c r="D43" s="565"/>
      <c r="E43" s="565"/>
      <c r="F43" s="565"/>
      <c r="G43" s="565"/>
      <c r="H43" s="566"/>
    </row>
    <row r="44" spans="1:8" ht="15.6" x14ac:dyDescent="0.3">
      <c r="A44" s="549" t="s">
        <v>137</v>
      </c>
      <c r="B44" s="550"/>
      <c r="C44" s="11" t="s">
        <v>136</v>
      </c>
      <c r="D44" s="25">
        <f>Mangochi!D44+Mangochi!E44+Mangochi!F44+Mangochi!G44+Mangochi!H44+Mangochi!I44</f>
        <v>56848.160000000003</v>
      </c>
      <c r="E44" s="25">
        <f>'Monkey Bay'!D44+'Monkey Bay'!E44+'Monkey Bay'!F44+'Monkey Bay'!G44+'Monkey Bay'!H44+'Monkey Bay'!I44</f>
        <v>50914</v>
      </c>
      <c r="F44" s="25">
        <f>Namwera!D44+Namwera!E44+Namwera!F44+Namwera!G44+Namwera!H44+Namwera!I44</f>
        <v>8410</v>
      </c>
      <c r="G44" s="4">
        <f>Nkhudzi!D44+Nkhudzi!E44+Nkhudzi!F44+Nkhudzi!G44+Nkhudzi!H44+Nkhudzi!I44</f>
        <v>189524</v>
      </c>
      <c r="H44" s="38">
        <f>SUM(D44:G44)</f>
        <v>305696.16000000003</v>
      </c>
    </row>
    <row r="45" spans="1:8" ht="15.6" x14ac:dyDescent="0.3">
      <c r="A45" s="569" t="s">
        <v>135</v>
      </c>
      <c r="B45" s="570"/>
      <c r="C45" s="41" t="s">
        <v>134</v>
      </c>
      <c r="D45" s="15">
        <f t="shared" ref="D45:H45" si="18">D44/D9</f>
        <v>0.18601659642417739</v>
      </c>
      <c r="E45" s="15">
        <f t="shared" si="18"/>
        <v>0.43872468763464023</v>
      </c>
      <c r="F45" s="15">
        <f t="shared" si="18"/>
        <v>1.0028619127116623</v>
      </c>
      <c r="G45" s="15">
        <f t="shared" si="18"/>
        <v>2.5767698603689957</v>
      </c>
      <c r="H45" s="97">
        <f t="shared" si="18"/>
        <v>0.60702779018854447</v>
      </c>
    </row>
    <row r="46" spans="1:8" ht="15.6" x14ac:dyDescent="0.3">
      <c r="A46" s="567" t="s">
        <v>133</v>
      </c>
      <c r="B46" s="568"/>
      <c r="C46" s="5" t="s">
        <v>31</v>
      </c>
      <c r="D46" s="25">
        <f>Mangochi!D46+Mangochi!E46+Mangochi!F46+Mangochi!G46+Mangochi!H46+Mangochi!I46</f>
        <v>9619767.2684000023</v>
      </c>
      <c r="E46" s="25">
        <f>'Monkey Bay'!D46+'Monkey Bay'!E46+'Monkey Bay'!F46+'Monkey Bay'!G46+'Monkey Bay'!H46+'Monkey Bay'!I46</f>
        <v>8627709.2349999994</v>
      </c>
      <c r="F46" s="25">
        <f>Namwera!D46+Namwera!E46+Namwera!F46+Namwera!G46+Namwera!H46+Namwera!I46</f>
        <v>1521996.7750000001</v>
      </c>
      <c r="G46" s="4">
        <f>Nkhudzi!D46+Nkhudzi!E46+Nkhudzi!F46+Nkhudzi!G46+Nkhudzi!H46+Nkhudzi!I46</f>
        <v>31800182.509999998</v>
      </c>
      <c r="H46" s="38">
        <f>SUM(D46:G46)</f>
        <v>51569655.788399994</v>
      </c>
    </row>
    <row r="47" spans="1:8" s="2" customFormat="1" ht="15.6" x14ac:dyDescent="0.3">
      <c r="A47" s="549" t="s">
        <v>132</v>
      </c>
      <c r="B47" s="550"/>
      <c r="C47" s="11" t="s">
        <v>117</v>
      </c>
      <c r="D47" s="15">
        <f t="shared" ref="D47:H47" si="19">D46/D9</f>
        <v>31.477472017748234</v>
      </c>
      <c r="E47" s="15">
        <f t="shared" si="19"/>
        <v>74.344758595432992</v>
      </c>
      <c r="F47" s="15">
        <f t="shared" si="19"/>
        <v>181.49257989506322</v>
      </c>
      <c r="G47" s="15">
        <f t="shared" si="19"/>
        <v>432.35554254870766</v>
      </c>
      <c r="H47" s="97">
        <f t="shared" si="19"/>
        <v>102.40303376403656</v>
      </c>
    </row>
    <row r="48" spans="1:8" ht="15" thickBot="1" x14ac:dyDescent="0.35">
      <c r="A48" s="564" t="s">
        <v>131</v>
      </c>
      <c r="B48" s="565"/>
      <c r="C48" s="565"/>
      <c r="D48" s="565"/>
      <c r="E48" s="565"/>
      <c r="F48" s="565"/>
      <c r="G48" s="565"/>
      <c r="H48" s="566"/>
    </row>
    <row r="49" spans="1:8" ht="15.6" x14ac:dyDescent="0.3">
      <c r="A49" s="549" t="s">
        <v>130</v>
      </c>
      <c r="B49" s="550"/>
      <c r="C49" s="5" t="s">
        <v>129</v>
      </c>
      <c r="D49" s="25">
        <f>Mangochi!D49+Mangochi!E49+Mangochi!F49+Mangochi!G49+Mangochi!H49+Mangochi!I49</f>
        <v>4429</v>
      </c>
      <c r="E49" s="25">
        <f>'Monkey Bay'!D49+'Monkey Bay'!E49+'Monkey Bay'!F49+'Monkey Bay'!G49+'Monkey Bay'!H49+'Monkey Bay'!I49</f>
        <v>0</v>
      </c>
      <c r="F49" s="25">
        <f>Namwera!D49+Namwera!E49+Namwera!F49+Namwera!G49+Namwera!H49+Namwera!I49</f>
        <v>0</v>
      </c>
      <c r="G49" s="171">
        <f>Nkhudzi!D49+Nkhudzi!E49+Nkhudzi!F49+Nkhudzi!G49+Nkhudzi!H49+Nkhudzi!I49</f>
        <v>0</v>
      </c>
      <c r="H49" s="38">
        <f t="shared" ref="H49:H52" si="20">SUM(D49:G49)</f>
        <v>4429</v>
      </c>
    </row>
    <row r="50" spans="1:8" ht="15.6" x14ac:dyDescent="0.3">
      <c r="A50" s="549" t="s">
        <v>189</v>
      </c>
      <c r="B50" s="550"/>
      <c r="C50" s="5" t="s">
        <v>128</v>
      </c>
      <c r="D50" s="25">
        <f>Mangochi!D50+Mangochi!E50+Mangochi!F50+Mangochi!G50+Mangochi!H50+Mangochi!I50</f>
        <v>544.79999999999995</v>
      </c>
      <c r="E50" s="25">
        <f>'Monkey Bay'!D50+'Monkey Bay'!E50+'Monkey Bay'!F50+'Monkey Bay'!G50+'Monkey Bay'!H50+'Monkey Bay'!I50</f>
        <v>0</v>
      </c>
      <c r="F50" s="25">
        <f>Namwera!D50+Namwera!E50+Namwera!F50+Namwera!G50+Namwera!H50+Namwera!I50</f>
        <v>0</v>
      </c>
      <c r="G50" s="25">
        <f>Nkhudzi!D50+Nkhudzi!E50+Nkhudzi!F50+Nkhudzi!G50+Nkhudzi!H50+Nkhudzi!I50</f>
        <v>0</v>
      </c>
      <c r="H50" s="38">
        <f t="shared" si="20"/>
        <v>544.79999999999995</v>
      </c>
    </row>
    <row r="51" spans="1:8" ht="15.6" x14ac:dyDescent="0.3">
      <c r="A51" s="567" t="s">
        <v>127</v>
      </c>
      <c r="B51" s="568"/>
      <c r="C51" s="5" t="s">
        <v>31</v>
      </c>
      <c r="D51" s="25">
        <f>Mangochi!D51+Mangochi!E51+Mangochi!F51+Mangochi!G51+Mangochi!H51+Mangochi!I51</f>
        <v>3630827.6</v>
      </c>
      <c r="E51" s="25">
        <f>'Monkey Bay'!D51+'Monkey Bay'!E51+'Monkey Bay'!F51+'Monkey Bay'!G51+'Monkey Bay'!H51+'Monkey Bay'!I51</f>
        <v>0</v>
      </c>
      <c r="F51" s="25">
        <f>Namwera!D51+Namwera!E51+Namwera!F51+Namwera!G51+Namwera!H51+Namwera!I51</f>
        <v>0</v>
      </c>
      <c r="G51" s="25">
        <f>Nkhudzi!D51+Nkhudzi!E51+Nkhudzi!F51+Nkhudzi!G51+Nkhudzi!H51+Nkhudzi!I51</f>
        <v>0</v>
      </c>
      <c r="H51" s="39">
        <f t="shared" si="20"/>
        <v>3630827.6</v>
      </c>
    </row>
    <row r="52" spans="1:8" ht="15.6" x14ac:dyDescent="0.3">
      <c r="A52" s="549" t="s">
        <v>126</v>
      </c>
      <c r="B52" s="550"/>
      <c r="C52" s="5" t="s">
        <v>31</v>
      </c>
      <c r="D52" s="13">
        <f>Mangochi!D52+Mangochi!E52+Mangochi!F52+Mangochi!G52+Mangochi!H52+Mangochi!I52</f>
        <v>0</v>
      </c>
      <c r="E52" s="13">
        <f>Mangochi!E52+Mangochi!F52+Mangochi!G52+Mangochi!H52+Mangochi!I52+Mangochi!J52</f>
        <v>0</v>
      </c>
      <c r="F52" s="13">
        <f>Mangochi!F52+Mangochi!G52+Mangochi!H52+Mangochi!I52+Mangochi!J52+Mangochi!K52</f>
        <v>0</v>
      </c>
      <c r="G52" s="25">
        <f>Nkhudzi!D52+Nkhudzi!E52+Nkhudzi!F52+Nkhudzi!G52+Nkhudzi!H52+Nkhudzi!I52</f>
        <v>0</v>
      </c>
      <c r="H52" s="39">
        <f t="shared" si="20"/>
        <v>0</v>
      </c>
    </row>
    <row r="53" spans="1:8" ht="15" thickBot="1" x14ac:dyDescent="0.35">
      <c r="A53" s="564" t="s">
        <v>125</v>
      </c>
      <c r="B53" s="565"/>
      <c r="C53" s="565"/>
      <c r="D53" s="565"/>
      <c r="E53" s="565"/>
      <c r="F53" s="565"/>
      <c r="G53" s="565"/>
      <c r="H53" s="566"/>
    </row>
    <row r="54" spans="1:8" ht="15.6" x14ac:dyDescent="0.3">
      <c r="A54" s="549" t="s">
        <v>124</v>
      </c>
      <c r="B54" s="550"/>
      <c r="C54" s="11" t="s">
        <v>18</v>
      </c>
      <c r="D54" s="25">
        <f>Mangochi!D54+Mangochi!E54+Mangochi!F54+Mangochi!G54+Mangochi!H54+Mangochi!I54</f>
        <v>65632218.710000008</v>
      </c>
      <c r="E54" s="25">
        <f>'Monkey Bay'!D54+'Monkey Bay'!E54+'Monkey Bay'!F54+'Monkey Bay'!G54+'Monkey Bay'!H54+'Monkey Bay'!I54</f>
        <v>8219217.9299999997</v>
      </c>
      <c r="F54" s="25">
        <f>Namwera!D54+Namwera!E54+Namwera!F54+Namwera!G54+Namwera!H54+Namwera!I54</f>
        <v>8496202.5799999982</v>
      </c>
      <c r="G54" s="174">
        <f>Nkhudzi!D54+Nkhudzi!E54+Nkhudzi!F54+Nkhudzi!G54+Nkhudzi!H54+Nkhudzi!I54</f>
        <v>18178963.100000001</v>
      </c>
      <c r="H54" s="38">
        <f t="shared" ref="H54:H56" si="21">SUM(D54:G54)</f>
        <v>100526602.32000002</v>
      </c>
    </row>
    <row r="55" spans="1:8" ht="15.6" x14ac:dyDescent="0.3">
      <c r="A55" s="157" t="s">
        <v>123</v>
      </c>
      <c r="B55" s="158"/>
      <c r="C55" s="11" t="s">
        <v>18</v>
      </c>
      <c r="D55" s="25">
        <f>Mangochi!D55+Mangochi!E55+Mangochi!F55+Mangochi!G55+Mangochi!H55+Mangochi!I55</f>
        <v>9331735.4124999996</v>
      </c>
      <c r="E55" s="25">
        <f>'Monkey Bay'!D55+'Monkey Bay'!E55+'Monkey Bay'!F55+'Monkey Bay'!G55+'Monkey Bay'!H55+'Monkey Bay'!I55</f>
        <v>3219061.7774999999</v>
      </c>
      <c r="F55" s="25">
        <f>Namwera!D55+Namwera!E55+Namwera!F55+Namwera!G55+Namwera!H55+Namwera!I55</f>
        <v>1853959.0899999999</v>
      </c>
      <c r="G55" s="25">
        <f>Nkhudzi!D55+Nkhudzi!E55+Nkhudzi!F55+Nkhudzi!G55+Nkhudzi!H55+Nkhudzi!I55</f>
        <v>11666524.439999999</v>
      </c>
      <c r="H55" s="38">
        <f t="shared" si="21"/>
        <v>26071280.719999999</v>
      </c>
    </row>
    <row r="56" spans="1:8" ht="15.6" x14ac:dyDescent="0.3">
      <c r="A56" s="549" t="s">
        <v>122</v>
      </c>
      <c r="B56" s="550"/>
      <c r="C56" s="5" t="s">
        <v>18</v>
      </c>
      <c r="D56" s="25">
        <f>Mangochi!D56+Mangochi!E56+Mangochi!F56+Mangochi!G56+Mangochi!H56+Mangochi!I56</f>
        <v>7312980</v>
      </c>
      <c r="E56" s="25">
        <f>'Monkey Bay'!D56+'Monkey Bay'!E56+'Monkey Bay'!F56+'Monkey Bay'!G56+'Monkey Bay'!H56+'Monkey Bay'!I56</f>
        <v>2008340</v>
      </c>
      <c r="F56" s="25">
        <f>Namwera!D56+Namwera!E56+Namwera!F56+Namwera!G56+Namwera!H56+Namwera!I56</f>
        <v>484410</v>
      </c>
      <c r="G56" s="4">
        <f>Nkhudzi!D56+Nkhudzi!E56+Nkhudzi!F56+Nkhudzi!G56+Nkhudzi!H56+Nkhudzi!I56</f>
        <v>2511940</v>
      </c>
      <c r="H56" s="38">
        <f t="shared" si="21"/>
        <v>12317670</v>
      </c>
    </row>
    <row r="57" spans="1:8" x14ac:dyDescent="0.3">
      <c r="A57" s="564" t="s">
        <v>121</v>
      </c>
      <c r="B57" s="565"/>
      <c r="C57" s="565"/>
      <c r="D57" s="565"/>
      <c r="E57" s="565"/>
      <c r="F57" s="565"/>
      <c r="G57" s="565"/>
      <c r="H57" s="566"/>
    </row>
    <row r="58" spans="1:8" ht="15.6" x14ac:dyDescent="0.3">
      <c r="A58" s="567" t="s">
        <v>120</v>
      </c>
      <c r="B58" s="568"/>
      <c r="C58" s="5" t="s">
        <v>18</v>
      </c>
      <c r="D58" s="13">
        <f>D41+D46+D51+D52+D54+D55+D56</f>
        <v>99177579.004000008</v>
      </c>
      <c r="E58" s="13">
        <f t="shared" ref="E58:G58" si="22">E41+E46+E51+E52+E54+E55+E56</f>
        <v>22885145.642499998</v>
      </c>
      <c r="F58" s="13">
        <f t="shared" si="22"/>
        <v>12386533.409999998</v>
      </c>
      <c r="G58" s="13">
        <f t="shared" si="22"/>
        <v>64648013.141899996</v>
      </c>
      <c r="H58" s="38">
        <f>SUM(D58:G58)</f>
        <v>199097271.19840002</v>
      </c>
    </row>
    <row r="59" spans="1:8" ht="15.6" x14ac:dyDescent="0.3">
      <c r="A59" s="567" t="s">
        <v>119</v>
      </c>
      <c r="B59" s="568"/>
      <c r="C59" s="5" t="s">
        <v>117</v>
      </c>
      <c r="D59" s="15">
        <f t="shared" ref="D59:H59" si="23">D58/D9</f>
        <v>324.52546727834351</v>
      </c>
      <c r="E59" s="15">
        <f t="shared" si="23"/>
        <v>197.20073797931926</v>
      </c>
      <c r="F59" s="15">
        <f t="shared" si="23"/>
        <v>1477.0490591461958</v>
      </c>
      <c r="G59" s="15">
        <f t="shared" si="23"/>
        <v>878.95491756604258</v>
      </c>
      <c r="H59" s="39">
        <f t="shared" si="23"/>
        <v>395.35196179151905</v>
      </c>
    </row>
    <row r="60" spans="1:8" ht="15.6" x14ac:dyDescent="0.3">
      <c r="A60" s="567" t="s">
        <v>118</v>
      </c>
      <c r="B60" s="568"/>
      <c r="C60" s="5" t="s">
        <v>117</v>
      </c>
      <c r="D60" s="15">
        <f>D58/D22</f>
        <v>512.5890721694243</v>
      </c>
      <c r="E60" s="15">
        <f t="shared" ref="E60:G60" si="24">E58/E22</f>
        <v>322.81248702269608</v>
      </c>
      <c r="F60" s="15">
        <f t="shared" si="24"/>
        <v>1617.1464730073765</v>
      </c>
      <c r="G60" s="15">
        <f t="shared" si="24"/>
        <v>1305.3401084263173</v>
      </c>
      <c r="H60" s="166">
        <f>H58/H22</f>
        <v>619.15690633249801</v>
      </c>
    </row>
    <row r="61" spans="1:8" ht="15.6" x14ac:dyDescent="0.3">
      <c r="A61" s="549" t="s">
        <v>116</v>
      </c>
      <c r="B61" s="550"/>
      <c r="C61" s="5" t="s">
        <v>3</v>
      </c>
      <c r="D61" s="25">
        <f>Mangochi!I61</f>
        <v>0</v>
      </c>
      <c r="E61" s="25">
        <f>'Monkey Bay'!I61</f>
        <v>0</v>
      </c>
      <c r="F61" s="25">
        <f>Namwera!I61</f>
        <v>0</v>
      </c>
      <c r="G61" s="4">
        <f>Nkhudzi!I61</f>
        <v>0</v>
      </c>
      <c r="H61" s="38">
        <f>SUM(D61:G61)</f>
        <v>0</v>
      </c>
    </row>
    <row r="62" spans="1:8" ht="15.6" customHeight="1" x14ac:dyDescent="0.3">
      <c r="A62" s="567" t="s">
        <v>115</v>
      </c>
      <c r="B62" s="568"/>
      <c r="C62" s="5" t="s">
        <v>114</v>
      </c>
      <c r="D62" s="15">
        <f t="shared" ref="D62:H62" si="25">(D61*1000*31)/D9</f>
        <v>0</v>
      </c>
      <c r="E62" s="15">
        <f t="shared" si="25"/>
        <v>0</v>
      </c>
      <c r="F62" s="15">
        <f t="shared" si="25"/>
        <v>0</v>
      </c>
      <c r="G62" s="15">
        <f t="shared" si="25"/>
        <v>0</v>
      </c>
      <c r="H62" s="39">
        <f t="shared" si="25"/>
        <v>0</v>
      </c>
    </row>
    <row r="63" spans="1:8" ht="15.6" x14ac:dyDescent="0.3">
      <c r="A63" s="571" t="s">
        <v>113</v>
      </c>
      <c r="B63" s="572"/>
      <c r="C63" s="37" t="s">
        <v>3</v>
      </c>
      <c r="D63" s="25">
        <f>Mangochi!I63</f>
        <v>0</v>
      </c>
      <c r="E63" s="25">
        <f>'Monkey Bay'!I63</f>
        <v>0</v>
      </c>
      <c r="F63" s="25">
        <f>Namwera!I63</f>
        <v>0</v>
      </c>
      <c r="G63" s="4">
        <f>Nkhudzi!I63</f>
        <v>0</v>
      </c>
      <c r="H63" s="38">
        <f>SUM(D63:G63)</f>
        <v>0</v>
      </c>
    </row>
    <row r="64" spans="1:8" x14ac:dyDescent="0.3">
      <c r="A64" s="573"/>
      <c r="B64" s="574"/>
      <c r="C64" s="574"/>
      <c r="D64" s="574"/>
      <c r="E64" s="574"/>
      <c r="F64" s="574"/>
      <c r="G64" s="574"/>
      <c r="H64" s="575"/>
    </row>
    <row r="65" spans="1:8" ht="14.4" customHeight="1" x14ac:dyDescent="0.3">
      <c r="A65" s="564" t="s">
        <v>112</v>
      </c>
      <c r="B65" s="565"/>
      <c r="C65" s="565"/>
      <c r="D65" s="565"/>
      <c r="E65" s="565"/>
      <c r="F65" s="565"/>
      <c r="G65" s="565"/>
      <c r="H65" s="566"/>
    </row>
    <row r="66" spans="1:8" ht="15.6" x14ac:dyDescent="0.3">
      <c r="A66" s="582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Namwera!D66</f>
        <v>76</v>
      </c>
      <c r="G66" s="25">
        <f>Nkhudzi!M66</f>
        <v>0</v>
      </c>
      <c r="H66" s="167">
        <f t="shared" ref="H66:H70" si="26">SUM(D66:G66)</f>
        <v>2131</v>
      </c>
    </row>
    <row r="67" spans="1:8" ht="15.6" x14ac:dyDescent="0.3">
      <c r="A67" s="583"/>
      <c r="B67" s="23" t="s">
        <v>106</v>
      </c>
      <c r="C67" s="5" t="s">
        <v>3</v>
      </c>
      <c r="D67" s="25">
        <f>Mangochi!D67+Mangochi!E67+Mangochi!F67+Mangochi!G67+Mangochi!H67+Mangochi!I67</f>
        <v>253</v>
      </c>
      <c r="E67" s="25">
        <f>'Monkey Bay'!D67+'Monkey Bay'!E67+'Monkey Bay'!F67+'Monkey Bay'!G67+'Monkey Bay'!H67+'Monkey Bay'!I67</f>
        <v>57</v>
      </c>
      <c r="F67" s="25">
        <f>Namwera!D67+Namwera!E67+Namwera!F67+Namwera!G67+Namwera!H67+Namwera!I67</f>
        <v>17</v>
      </c>
      <c r="G67" s="25">
        <f>Nkhudzi!M67+Nkhudzi!N67+Nkhudzi!O67</f>
        <v>0</v>
      </c>
      <c r="H67" s="167">
        <f t="shared" si="26"/>
        <v>327</v>
      </c>
    </row>
    <row r="68" spans="1:8" ht="27" x14ac:dyDescent="0.3">
      <c r="A68" s="583"/>
      <c r="B68" s="23" t="s">
        <v>105</v>
      </c>
      <c r="C68" s="5" t="s">
        <v>3</v>
      </c>
      <c r="D68" s="25">
        <f>Mangochi!D68+Mangochi!E68+Mangochi!F68+Mangochi!G68+Mangochi!H68+Mangochi!I68</f>
        <v>0</v>
      </c>
      <c r="E68" s="25">
        <f>'Monkey Bay'!D68+'Monkey Bay'!E68+'Monkey Bay'!F68+'Monkey Bay'!G68+'Monkey Bay'!H68+'Monkey Bay'!I68</f>
        <v>0</v>
      </c>
      <c r="F68" s="25">
        <f>Namwera!D68+Namwera!E68+Namwera!F68+Namwera!G68+Namwera!H68+Namwera!I68</f>
        <v>0</v>
      </c>
      <c r="G68" s="25">
        <f>Nkhudzi!M68+Nkhudzi!N68+Nkhudzi!O68</f>
        <v>0</v>
      </c>
      <c r="H68" s="167">
        <f t="shared" si="26"/>
        <v>0</v>
      </c>
    </row>
    <row r="69" spans="1:8" s="2" customFormat="1" ht="27" x14ac:dyDescent="0.3">
      <c r="A69" s="583"/>
      <c r="B69" s="23" t="s">
        <v>104</v>
      </c>
      <c r="C69" s="11" t="s">
        <v>3</v>
      </c>
      <c r="D69" s="25">
        <f>Mangochi!D69+Mangochi!E69+Mangochi!F69+Mangochi!G69+Mangochi!H69+Mangochi!I69</f>
        <v>184</v>
      </c>
      <c r="E69" s="25">
        <f>'Monkey Bay'!D69+'Monkey Bay'!E69+'Monkey Bay'!F69+'Monkey Bay'!G69+'Monkey Bay'!H69+'Monkey Bay'!I69</f>
        <v>107</v>
      </c>
      <c r="F69" s="25">
        <f>Namwera!D69+Namwera!E69+Namwera!F69+Namwera!G69+Namwera!H69+Namwera!I69</f>
        <v>9</v>
      </c>
      <c r="G69" s="25">
        <f>Nkhudzi!M69+Nkhudzi!N69+Nkhudzi!O69</f>
        <v>0</v>
      </c>
      <c r="H69" s="167">
        <f t="shared" si="26"/>
        <v>300</v>
      </c>
    </row>
    <row r="70" spans="1:8" s="2" customFormat="1" ht="15.6" x14ac:dyDescent="0.3">
      <c r="A70" s="583"/>
      <c r="B70" s="23" t="s">
        <v>190</v>
      </c>
      <c r="C70" s="11" t="s">
        <v>3</v>
      </c>
      <c r="D70" s="4">
        <f>D68+D69</f>
        <v>184</v>
      </c>
      <c r="E70" s="4">
        <f t="shared" ref="E70:F70" si="27">E68+E69</f>
        <v>107</v>
      </c>
      <c r="F70" s="4">
        <f t="shared" si="27"/>
        <v>9</v>
      </c>
      <c r="G70" s="25">
        <f>Nkhudzi!M70+Nkhudzi!N70+Nkhudzi!O70</f>
        <v>0</v>
      </c>
      <c r="H70" s="148">
        <f t="shared" si="26"/>
        <v>300</v>
      </c>
    </row>
    <row r="71" spans="1:8" ht="15.6" x14ac:dyDescent="0.3">
      <c r="A71" s="584"/>
      <c r="B71" s="36" t="s">
        <v>81</v>
      </c>
      <c r="C71" s="5" t="s">
        <v>3</v>
      </c>
      <c r="D71" s="25">
        <f>D66+D67-D70</f>
        <v>2047</v>
      </c>
      <c r="E71" s="25">
        <f t="shared" ref="E71:G71" si="28">E66+E67-E70</f>
        <v>27</v>
      </c>
      <c r="F71" s="25">
        <f t="shared" si="28"/>
        <v>84</v>
      </c>
      <c r="G71" s="25">
        <f t="shared" si="28"/>
        <v>0</v>
      </c>
      <c r="H71" s="146">
        <f>H66+H67-H70</f>
        <v>2158</v>
      </c>
    </row>
    <row r="72" spans="1:8" ht="15.6" x14ac:dyDescent="0.3">
      <c r="A72" s="582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Namwera!D72</f>
        <v>0</v>
      </c>
      <c r="G72" s="25">
        <f>Nkhudzi!M72+Nkhudzi!N72+Nkhudzi!O72</f>
        <v>0</v>
      </c>
      <c r="H72" s="167">
        <f t="shared" ref="H72:H76" si="29">SUM(D72:G72)</f>
        <v>4</v>
      </c>
    </row>
    <row r="73" spans="1:8" ht="15.6" x14ac:dyDescent="0.3">
      <c r="A73" s="583"/>
      <c r="B73" s="23" t="s">
        <v>106</v>
      </c>
      <c r="C73" s="5" t="s">
        <v>3</v>
      </c>
      <c r="D73" s="25">
        <f>Mangochi!D73+Mangochi!E73+Mangochi!F73+Mangochi!G73+Mangochi!H73+Mangochi!I73</f>
        <v>0</v>
      </c>
      <c r="E73" s="25">
        <f>'Monkey Bay'!D73+'Monkey Bay'!E73+'Monkey Bay'!F73+'Monkey Bay'!G73+'Monkey Bay'!H73+'Monkey Bay'!I73</f>
        <v>0</v>
      </c>
      <c r="F73" s="25">
        <f>Namwera!D73+Namwera!E73+Namwera!F73+Namwera!G73+Namwera!H73+Namwera!I73</f>
        <v>0</v>
      </c>
      <c r="G73" s="25">
        <f>Nkhudzi!M73+Nkhudzi!N73+Nkhudzi!O73</f>
        <v>0</v>
      </c>
      <c r="H73" s="167">
        <f t="shared" si="29"/>
        <v>0</v>
      </c>
    </row>
    <row r="74" spans="1:8" ht="27" x14ac:dyDescent="0.3">
      <c r="A74" s="583"/>
      <c r="B74" s="23" t="s">
        <v>105</v>
      </c>
      <c r="C74" s="5" t="s">
        <v>3</v>
      </c>
      <c r="D74" s="25">
        <f>Mangochi!D74+Mangochi!E74+Mangochi!F74+Mangochi!G74+Mangochi!H74+Mangochi!I74</f>
        <v>0</v>
      </c>
      <c r="E74" s="25">
        <f>'Monkey Bay'!D74+'Monkey Bay'!E74+'Monkey Bay'!F74+'Monkey Bay'!G74+'Monkey Bay'!H74+'Monkey Bay'!I74</f>
        <v>0</v>
      </c>
      <c r="F74" s="25">
        <f>Namwera!D74+Namwera!E74+Namwera!F74+Namwera!G74+Namwera!H74+Namwera!I74</f>
        <v>0</v>
      </c>
      <c r="G74" s="25">
        <f>Nkhudzi!M74+Nkhudzi!N74+Nkhudzi!O74</f>
        <v>0</v>
      </c>
      <c r="H74" s="167">
        <f t="shared" si="29"/>
        <v>0</v>
      </c>
    </row>
    <row r="75" spans="1:8" s="2" customFormat="1" ht="27" x14ac:dyDescent="0.3">
      <c r="A75" s="583"/>
      <c r="B75" s="23" t="s">
        <v>104</v>
      </c>
      <c r="C75" s="11" t="s">
        <v>3</v>
      </c>
      <c r="D75" s="25">
        <f>Mangochi!D75+Mangochi!E75+Mangochi!F75+Mangochi!G75+Mangochi!H75+Mangochi!I75</f>
        <v>0</v>
      </c>
      <c r="E75" s="25">
        <f>'Monkey Bay'!D75+'Monkey Bay'!E75+'Monkey Bay'!F75+'Monkey Bay'!G75+'Monkey Bay'!H75+'Monkey Bay'!I75</f>
        <v>0</v>
      </c>
      <c r="F75" s="25">
        <f>Namwera!D75+Namwera!E75+Namwera!F75+Namwera!G75+Namwera!H75+Namwera!I75</f>
        <v>0</v>
      </c>
      <c r="G75" s="25">
        <f>Nkhudzi!M75+Nkhudzi!N75+Nkhudzi!O75</f>
        <v>0</v>
      </c>
      <c r="H75" s="145">
        <f t="shared" si="29"/>
        <v>0</v>
      </c>
    </row>
    <row r="76" spans="1:8" s="2" customFormat="1" ht="15.6" x14ac:dyDescent="0.3">
      <c r="A76" s="583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Nkhudzi!M76+Nkhudzi!N76+Nkhudzi!O76</f>
        <v>0</v>
      </c>
      <c r="H76" s="148">
        <f t="shared" si="29"/>
        <v>0</v>
      </c>
    </row>
    <row r="77" spans="1:8" ht="15.6" x14ac:dyDescent="0.3">
      <c r="A77" s="584"/>
      <c r="B77" s="36" t="s">
        <v>81</v>
      </c>
      <c r="C77" s="5" t="s">
        <v>3</v>
      </c>
      <c r="D77" s="25">
        <f>D73+D74-D76</f>
        <v>0</v>
      </c>
      <c r="E77" s="25">
        <f t="shared" ref="E77:G77" si="31">E73+E74-E76</f>
        <v>0</v>
      </c>
      <c r="F77" s="25">
        <f t="shared" si="31"/>
        <v>0</v>
      </c>
      <c r="G77" s="25">
        <f t="shared" si="31"/>
        <v>0</v>
      </c>
      <c r="H77" s="146">
        <f>H72+H73-H76</f>
        <v>4</v>
      </c>
    </row>
    <row r="78" spans="1:8" ht="15.6" customHeight="1" x14ac:dyDescent="0.3">
      <c r="A78" s="582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Namwera!D78</f>
        <v>0</v>
      </c>
      <c r="G78" s="25">
        <f>Nkhudzi!M78+Nkhudzi!N78+Nkhudzi!O78</f>
        <v>0</v>
      </c>
      <c r="H78" s="167">
        <f>SUM(D78:F78)</f>
        <v>7</v>
      </c>
    </row>
    <row r="79" spans="1:8" ht="15.6" x14ac:dyDescent="0.3">
      <c r="A79" s="583"/>
      <c r="B79" s="23" t="s">
        <v>106</v>
      </c>
      <c r="C79" s="5" t="s">
        <v>3</v>
      </c>
      <c r="D79" s="25">
        <f>Mangochi!D79+Mangochi!E79+Mangochi!F79+Mangochi!G79+Mangochi!H79+Mangochi!I79</f>
        <v>0</v>
      </c>
      <c r="E79" s="25">
        <f>'Monkey Bay'!D79+'Monkey Bay'!E79+'Monkey Bay'!F79+'Monkey Bay'!G79+'Monkey Bay'!H79+'Monkey Bay'!I79</f>
        <v>0</v>
      </c>
      <c r="F79" s="25">
        <f>Namwera!D79+Namwera!E79+Namwera!F79+Namwera!G79+Namwera!H79+Namwera!I79</f>
        <v>0</v>
      </c>
      <c r="G79" s="25">
        <f>Nkhudzi!M79+Nkhudzi!N79+Nkhudzi!O79</f>
        <v>0</v>
      </c>
      <c r="H79" s="167">
        <f t="shared" ref="H79:H82" si="32">SUM(D79:G79)</f>
        <v>0</v>
      </c>
    </row>
    <row r="80" spans="1:8" ht="27" x14ac:dyDescent="0.3">
      <c r="A80" s="583"/>
      <c r="B80" s="23" t="s">
        <v>105</v>
      </c>
      <c r="C80" s="5" t="s">
        <v>3</v>
      </c>
      <c r="D80" s="25">
        <f>Mangochi!D80+Mangochi!E80+Mangochi!F80+Mangochi!G80+Mangochi!H80+Mangochi!I80</f>
        <v>0</v>
      </c>
      <c r="E80" s="25">
        <f>'Monkey Bay'!D80+'Monkey Bay'!E80+'Monkey Bay'!F80+'Monkey Bay'!G80+'Monkey Bay'!H80+'Monkey Bay'!I80</f>
        <v>0</v>
      </c>
      <c r="F80" s="25">
        <f>Namwera!D80+Namwera!E80+Namwera!F80+Namwera!G80+Namwera!H80+Namwera!I80</f>
        <v>0</v>
      </c>
      <c r="G80" s="25">
        <f>Nkhudzi!M80+Nkhudzi!N80+Nkhudzi!O80</f>
        <v>0</v>
      </c>
      <c r="H80" s="167">
        <f t="shared" si="32"/>
        <v>0</v>
      </c>
    </row>
    <row r="81" spans="1:8" s="2" customFormat="1" ht="27" x14ac:dyDescent="0.3">
      <c r="A81" s="583"/>
      <c r="B81" s="23" t="s">
        <v>104</v>
      </c>
      <c r="C81" s="11" t="s">
        <v>3</v>
      </c>
      <c r="D81" s="25">
        <f>Mangochi!D81+Mangochi!E81+Mangochi!F81+Mangochi!G81+Mangochi!H81+Mangochi!I81</f>
        <v>0</v>
      </c>
      <c r="E81" s="25">
        <f>'Monkey Bay'!D81+'Monkey Bay'!E81+'Monkey Bay'!F81+'Monkey Bay'!G81+'Monkey Bay'!H81+'Monkey Bay'!I81</f>
        <v>2</v>
      </c>
      <c r="F81" s="25">
        <f>Namwera!D81+Namwera!E81+Namwera!F81+Namwera!G81+Namwera!H81+Namwera!I81</f>
        <v>0</v>
      </c>
      <c r="G81" s="25">
        <f>Nkhudzi!M81+Nkhudzi!N81+Nkhudzi!O81</f>
        <v>0</v>
      </c>
      <c r="H81" s="145">
        <f t="shared" si="32"/>
        <v>2</v>
      </c>
    </row>
    <row r="82" spans="1:8" s="2" customFormat="1" ht="15.6" x14ac:dyDescent="0.3">
      <c r="A82" s="583"/>
      <c r="B82" s="23" t="s">
        <v>190</v>
      </c>
      <c r="C82" s="11" t="s">
        <v>3</v>
      </c>
      <c r="D82" s="4">
        <f>D81+D80</f>
        <v>0</v>
      </c>
      <c r="E82" s="4">
        <f t="shared" ref="E82:F82" si="33">E81+E80</f>
        <v>2</v>
      </c>
      <c r="F82" s="4">
        <f t="shared" si="33"/>
        <v>0</v>
      </c>
      <c r="G82" s="25">
        <f>Nkhudzi!M82+Nkhudzi!N82+Nkhudzi!O82</f>
        <v>0</v>
      </c>
      <c r="H82" s="148">
        <f t="shared" si="32"/>
        <v>2</v>
      </c>
    </row>
    <row r="83" spans="1:8" ht="15.6" x14ac:dyDescent="0.3">
      <c r="A83" s="584"/>
      <c r="B83" s="36" t="s">
        <v>81</v>
      </c>
      <c r="C83" s="5" t="s">
        <v>3</v>
      </c>
      <c r="D83" s="25">
        <f>D78+D79-D82</f>
        <v>0</v>
      </c>
      <c r="E83" s="25">
        <f t="shared" ref="E83:F83" si="34">E78+E79-E82</f>
        <v>5</v>
      </c>
      <c r="F83" s="25">
        <f t="shared" si="34"/>
        <v>0</v>
      </c>
      <c r="G83" s="25">
        <f>Nkhudzi!M83+Nkhudzi!N83+Nkhudzi!O83</f>
        <v>0</v>
      </c>
      <c r="H83" s="146">
        <f>H78+H79-H82</f>
        <v>5</v>
      </c>
    </row>
    <row r="84" spans="1:8" ht="15.6" x14ac:dyDescent="0.3">
      <c r="A84" s="585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Namwera!D84</f>
        <v>0</v>
      </c>
      <c r="G84" s="25">
        <f>Nkhudzi!M84+Nkhudzi!N84+Nkhudzi!O84</f>
        <v>0</v>
      </c>
      <c r="H84" s="167">
        <f t="shared" ref="H84:H88" si="35">SUM(D84:G84)</f>
        <v>10</v>
      </c>
    </row>
    <row r="85" spans="1:8" ht="15.6" x14ac:dyDescent="0.3">
      <c r="A85" s="586"/>
      <c r="B85" s="36" t="s">
        <v>106</v>
      </c>
      <c r="C85" s="5" t="s">
        <v>3</v>
      </c>
      <c r="D85" s="25">
        <f>Mangochi!D85+Mangochi!E85+Mangochi!F85+Mangochi!G85+Mangochi!H85+Mangochi!I85</f>
        <v>0</v>
      </c>
      <c r="E85" s="25">
        <f>'Monkey Bay'!D85+'Monkey Bay'!E85+'Monkey Bay'!F85+'Monkey Bay'!G85+'Monkey Bay'!H85+'Monkey Bay'!I85</f>
        <v>0</v>
      </c>
      <c r="F85" s="25">
        <f>Namwera!D85+Namwera!E85+Namwera!F85+Namwera!G85+Namwera!H85+Namwera!I85</f>
        <v>0</v>
      </c>
      <c r="G85" s="25">
        <f>Nkhudzi!M85+Nkhudzi!N85+Nkhudzi!O85</f>
        <v>0</v>
      </c>
      <c r="H85" s="167">
        <f t="shared" si="35"/>
        <v>0</v>
      </c>
    </row>
    <row r="86" spans="1:8" ht="27" x14ac:dyDescent="0.3">
      <c r="A86" s="586"/>
      <c r="B86" s="36" t="s">
        <v>105</v>
      </c>
      <c r="C86" s="5" t="s">
        <v>3</v>
      </c>
      <c r="D86" s="25">
        <f>Mangochi!D86+Mangochi!E86+Mangochi!F86+Mangochi!G86+Mangochi!H86+Mangochi!I86</f>
        <v>0</v>
      </c>
      <c r="E86" s="25">
        <f>'Monkey Bay'!D86+'Monkey Bay'!E86+'Monkey Bay'!F86+'Monkey Bay'!G86+'Monkey Bay'!H86+'Monkey Bay'!I86</f>
        <v>0</v>
      </c>
      <c r="F86" s="25">
        <f>Namwera!D86+Namwera!E86+Namwera!F86+Namwera!G86+Namwera!H86+Namwera!I86</f>
        <v>0</v>
      </c>
      <c r="G86" s="25">
        <f>Nkhudzi!M86+Nkhudzi!N86+Nkhudzi!O86</f>
        <v>0</v>
      </c>
      <c r="H86" s="167">
        <f t="shared" si="35"/>
        <v>0</v>
      </c>
    </row>
    <row r="87" spans="1:8" s="2" customFormat="1" ht="27" x14ac:dyDescent="0.3">
      <c r="A87" s="586"/>
      <c r="B87" s="23" t="s">
        <v>104</v>
      </c>
      <c r="C87" s="11" t="s">
        <v>3</v>
      </c>
      <c r="D87" s="25">
        <f>Mangochi!D87+Mangochi!E87+Mangochi!F87+Mangochi!G87+Mangochi!H87+Mangochi!I87</f>
        <v>1</v>
      </c>
      <c r="E87" s="25">
        <f>'Monkey Bay'!D87+'Monkey Bay'!E87+'Monkey Bay'!F87+'Monkey Bay'!G87+'Monkey Bay'!H87+'Monkey Bay'!I87</f>
        <v>0</v>
      </c>
      <c r="F87" s="25">
        <f>Namwera!D87+Namwera!E87+Namwera!F87+Namwera!G87+Namwera!H87+Namwera!I87</f>
        <v>0</v>
      </c>
      <c r="G87" s="25">
        <f>Nkhudzi!M87+Nkhudzi!N87+Nkhudzi!O87</f>
        <v>0</v>
      </c>
      <c r="H87" s="145">
        <f t="shared" si="35"/>
        <v>1</v>
      </c>
    </row>
    <row r="88" spans="1:8" s="2" customFormat="1" ht="15.6" x14ac:dyDescent="0.3">
      <c r="A88" s="586"/>
      <c r="B88" s="23" t="s">
        <v>190</v>
      </c>
      <c r="C88" s="11" t="s">
        <v>3</v>
      </c>
      <c r="D88" s="4">
        <f>D87+D86</f>
        <v>1</v>
      </c>
      <c r="E88" s="4">
        <f t="shared" ref="E88:F88" si="36">E87+E86</f>
        <v>0</v>
      </c>
      <c r="F88" s="4">
        <f t="shared" si="36"/>
        <v>0</v>
      </c>
      <c r="G88" s="25">
        <f>Nkhudzi!M88+Nkhudzi!N88+Nkhudzi!O88</f>
        <v>0</v>
      </c>
      <c r="H88" s="145">
        <f t="shared" si="35"/>
        <v>1</v>
      </c>
    </row>
    <row r="89" spans="1:8" ht="15.6" x14ac:dyDescent="0.3">
      <c r="A89" s="587"/>
      <c r="B89" s="35" t="s">
        <v>81</v>
      </c>
      <c r="C89" s="5" t="s">
        <v>3</v>
      </c>
      <c r="D89" s="25">
        <f>D84+D85-D88</f>
        <v>9</v>
      </c>
      <c r="E89" s="25">
        <f t="shared" ref="E89:F89" si="37">E84+E85-E88</f>
        <v>0</v>
      </c>
      <c r="F89" s="25">
        <f t="shared" si="37"/>
        <v>0</v>
      </c>
      <c r="G89" s="25">
        <f>Nkhudzi!M89+Nkhudzi!N89+Nkhudzi!O89</f>
        <v>0</v>
      </c>
      <c r="H89" s="146">
        <f>H84+H85-H88</f>
        <v>9</v>
      </c>
    </row>
    <row r="90" spans="1:8" ht="15.6" x14ac:dyDescent="0.3">
      <c r="A90" s="588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G93" si="38">E66+E72+E78+E84</f>
        <v>84</v>
      </c>
      <c r="F90" s="125">
        <f t="shared" si="38"/>
        <v>76</v>
      </c>
      <c r="G90" s="125">
        <f t="shared" si="38"/>
        <v>0</v>
      </c>
      <c r="H90" s="167">
        <f t="shared" ref="H90:H94" si="39">SUM(D90:G90)</f>
        <v>2152</v>
      </c>
    </row>
    <row r="91" spans="1:8" ht="15.6" x14ac:dyDescent="0.3">
      <c r="A91" s="589"/>
      <c r="B91" s="23" t="s">
        <v>106</v>
      </c>
      <c r="C91" s="11" t="s">
        <v>3</v>
      </c>
      <c r="D91" s="125">
        <f t="shared" ref="D91:F93" si="40">D67+D73+D79+D85</f>
        <v>253</v>
      </c>
      <c r="E91" s="125">
        <f t="shared" si="40"/>
        <v>57</v>
      </c>
      <c r="F91" s="125">
        <f t="shared" si="40"/>
        <v>17</v>
      </c>
      <c r="G91" s="125">
        <f t="shared" si="38"/>
        <v>0</v>
      </c>
      <c r="H91" s="167">
        <f t="shared" si="39"/>
        <v>327</v>
      </c>
    </row>
    <row r="92" spans="1:8" ht="27" x14ac:dyDescent="0.3">
      <c r="A92" s="589"/>
      <c r="B92" s="23" t="s">
        <v>105</v>
      </c>
      <c r="C92" s="11" t="s">
        <v>3</v>
      </c>
      <c r="D92" s="125">
        <f t="shared" si="40"/>
        <v>0</v>
      </c>
      <c r="E92" s="125">
        <f t="shared" si="40"/>
        <v>0</v>
      </c>
      <c r="F92" s="125">
        <f t="shared" si="40"/>
        <v>0</v>
      </c>
      <c r="G92" s="125">
        <f t="shared" si="38"/>
        <v>0</v>
      </c>
      <c r="H92" s="167">
        <f t="shared" si="39"/>
        <v>0</v>
      </c>
    </row>
    <row r="93" spans="1:8" s="2" customFormat="1" ht="27" x14ac:dyDescent="0.3">
      <c r="A93" s="589"/>
      <c r="B93" s="23" t="s">
        <v>104</v>
      </c>
      <c r="C93" s="11"/>
      <c r="D93" s="125">
        <f t="shared" si="40"/>
        <v>185</v>
      </c>
      <c r="E93" s="125">
        <f t="shared" si="40"/>
        <v>109</v>
      </c>
      <c r="F93" s="125">
        <f t="shared" si="40"/>
        <v>9</v>
      </c>
      <c r="G93" s="125">
        <f t="shared" si="38"/>
        <v>0</v>
      </c>
      <c r="H93" s="167">
        <f t="shared" si="39"/>
        <v>303</v>
      </c>
    </row>
    <row r="94" spans="1:8" s="2" customFormat="1" ht="15.6" x14ac:dyDescent="0.3">
      <c r="A94" s="589"/>
      <c r="B94" s="23" t="s">
        <v>190</v>
      </c>
      <c r="C94" s="11" t="s">
        <v>3</v>
      </c>
      <c r="D94" s="126">
        <f>D93+D92</f>
        <v>185</v>
      </c>
      <c r="E94" s="126">
        <f t="shared" ref="E94:G94" si="41">E93+E92</f>
        <v>109</v>
      </c>
      <c r="F94" s="126">
        <f t="shared" si="41"/>
        <v>9</v>
      </c>
      <c r="G94" s="126">
        <f t="shared" si="41"/>
        <v>0</v>
      </c>
      <c r="H94" s="168">
        <f t="shared" si="39"/>
        <v>303</v>
      </c>
    </row>
    <row r="95" spans="1:8" ht="16.2" thickBot="1" x14ac:dyDescent="0.35">
      <c r="A95" s="590"/>
      <c r="B95" s="23" t="s">
        <v>81</v>
      </c>
      <c r="C95" s="11" t="s">
        <v>3</v>
      </c>
      <c r="D95" s="127">
        <f>D90+D91-D94</f>
        <v>2060</v>
      </c>
      <c r="E95" s="127">
        <f t="shared" ref="E95:G95" si="42">E90+E91-E94</f>
        <v>32</v>
      </c>
      <c r="F95" s="127">
        <f t="shared" si="42"/>
        <v>84</v>
      </c>
      <c r="G95" s="127">
        <f t="shared" si="42"/>
        <v>0</v>
      </c>
      <c r="H95" s="169">
        <f>H90+H91-H94</f>
        <v>2176</v>
      </c>
    </row>
    <row r="96" spans="1:8" ht="16.2" customHeight="1" thickBot="1" x14ac:dyDescent="0.35">
      <c r="A96" s="591"/>
      <c r="B96" s="592"/>
      <c r="C96" s="592"/>
      <c r="D96" s="592"/>
      <c r="E96" s="592"/>
      <c r="F96" s="592"/>
      <c r="G96" s="592"/>
      <c r="H96" s="593"/>
    </row>
    <row r="97" spans="1:8" s="2" customFormat="1" ht="15.75" customHeight="1" thickBot="1" x14ac:dyDescent="0.35">
      <c r="A97" s="576" t="s">
        <v>191</v>
      </c>
      <c r="B97" s="577"/>
      <c r="C97" s="577"/>
      <c r="D97" s="577"/>
      <c r="E97" s="577"/>
      <c r="F97" s="577"/>
      <c r="G97" s="577"/>
      <c r="H97" s="578"/>
    </row>
    <row r="98" spans="1:8" ht="15.6" x14ac:dyDescent="0.3">
      <c r="A98" s="85" t="s">
        <v>192</v>
      </c>
      <c r="B98" s="68"/>
      <c r="C98" s="11" t="s">
        <v>3</v>
      </c>
      <c r="D98" s="25">
        <f>Mangochi!D98+Mangochi!E98+Mangochi!F98+Mangochi!G98+Mangochi!H98+Mangochi!I98</f>
        <v>185</v>
      </c>
      <c r="E98" s="25">
        <f>'Monkey Bay'!D98+'Monkey Bay'!E98+'Monkey Bay'!F98+'Monkey Bay'!G98+'Monkey Bay'!H98+'Monkey Bay'!I98</f>
        <v>109</v>
      </c>
      <c r="F98" s="25">
        <f>Namwera!D98+Namwera!E98+Namwera!F98+Namwera!G98+Namwera!H98+Namwera!I98</f>
        <v>9</v>
      </c>
      <c r="G98" s="171">
        <f>Nkhudzi!M98+Nkhudzi!N98+Nkhudzi!O98</f>
        <v>0</v>
      </c>
      <c r="H98" s="155">
        <f t="shared" ref="H98" si="43">SUM(D98:G98)</f>
        <v>303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49" t="s">
        <v>102</v>
      </c>
      <c r="B101" s="550"/>
      <c r="C101" s="11" t="s">
        <v>3</v>
      </c>
      <c r="D101" s="25">
        <f>Mangochi!I101</f>
        <v>0</v>
      </c>
      <c r="E101" s="25">
        <f>'Monkey Bay'!I101</f>
        <v>0</v>
      </c>
      <c r="F101" s="25">
        <f>Namwera!I101</f>
        <v>0</v>
      </c>
      <c r="G101" s="174">
        <f>Nkhudzi!O101</f>
        <v>0</v>
      </c>
      <c r="H101" s="31">
        <f t="shared" ref="H101:H104" si="44">SUM(D101:G101)</f>
        <v>0</v>
      </c>
    </row>
    <row r="102" spans="1:8" ht="15.6" x14ac:dyDescent="0.3">
      <c r="A102" s="549" t="s">
        <v>101</v>
      </c>
      <c r="B102" s="550"/>
      <c r="C102" s="11" t="s">
        <v>3</v>
      </c>
      <c r="D102" s="25">
        <f>Mangochi!I102</f>
        <v>0</v>
      </c>
      <c r="E102" s="25">
        <f>'Monkey Bay'!I102</f>
        <v>0</v>
      </c>
      <c r="F102" s="25">
        <f>Namwera!I102</f>
        <v>0</v>
      </c>
      <c r="G102" s="25">
        <f>Nkhudzi!O102</f>
        <v>0</v>
      </c>
      <c r="H102" s="31">
        <f t="shared" si="44"/>
        <v>0</v>
      </c>
    </row>
    <row r="103" spans="1:8" ht="15.6" customHeight="1" x14ac:dyDescent="0.3">
      <c r="A103" s="547" t="s">
        <v>100</v>
      </c>
      <c r="B103" s="548"/>
      <c r="C103" s="11" t="s">
        <v>3</v>
      </c>
      <c r="D103" s="25">
        <f>Mangochi!I103</f>
        <v>0</v>
      </c>
      <c r="E103" s="25">
        <f>'Monkey Bay'!I103</f>
        <v>0</v>
      </c>
      <c r="F103" s="25">
        <f>Namwera!I103</f>
        <v>0</v>
      </c>
      <c r="G103" s="25">
        <f>Nkhudzi!O103</f>
        <v>0</v>
      </c>
      <c r="H103" s="31">
        <f t="shared" si="44"/>
        <v>0</v>
      </c>
    </row>
    <row r="104" spans="1:8" ht="15.6" x14ac:dyDescent="0.3">
      <c r="A104" s="547" t="s">
        <v>99</v>
      </c>
      <c r="B104" s="548"/>
      <c r="C104" s="11" t="s">
        <v>3</v>
      </c>
      <c r="D104" s="25">
        <f>Mangochi!I104</f>
        <v>0</v>
      </c>
      <c r="E104" s="25">
        <f>'Monkey Bay'!I104</f>
        <v>0</v>
      </c>
      <c r="F104" s="25">
        <f>Namwera!I104</f>
        <v>0</v>
      </c>
      <c r="G104" s="25">
        <f>Nkhudzi!O104</f>
        <v>0</v>
      </c>
      <c r="H104" s="31">
        <f t="shared" si="44"/>
        <v>0</v>
      </c>
    </row>
    <row r="105" spans="1:8" ht="15.6" x14ac:dyDescent="0.3">
      <c r="A105" s="594" t="s">
        <v>98</v>
      </c>
      <c r="B105" s="595"/>
      <c r="C105" s="11" t="s">
        <v>3</v>
      </c>
      <c r="D105" s="32">
        <f>SUM(D101:D104)</f>
        <v>0</v>
      </c>
      <c r="E105" s="32">
        <f t="shared" ref="E105:H105" si="45">SUM(E101:E104)</f>
        <v>0</v>
      </c>
      <c r="F105" s="32">
        <f t="shared" si="45"/>
        <v>0</v>
      </c>
      <c r="G105" s="32">
        <f t="shared" si="45"/>
        <v>0</v>
      </c>
      <c r="H105" s="54">
        <f t="shared" si="45"/>
        <v>0</v>
      </c>
    </row>
    <row r="106" spans="1:8" s="2" customFormat="1" ht="15.6" customHeight="1" thickBot="1" x14ac:dyDescent="0.35">
      <c r="A106" s="596" t="s">
        <v>212</v>
      </c>
      <c r="B106" s="597"/>
      <c r="C106" s="597"/>
      <c r="D106" s="597"/>
      <c r="E106" s="597"/>
      <c r="F106" s="597"/>
      <c r="G106" s="597"/>
      <c r="H106" s="598"/>
    </row>
    <row r="107" spans="1:8" ht="15.6" x14ac:dyDescent="0.3">
      <c r="A107" s="549" t="s">
        <v>195</v>
      </c>
      <c r="B107" s="550"/>
      <c r="C107" s="11" t="s">
        <v>3</v>
      </c>
      <c r="D107" s="25">
        <f>Mangochi!I107</f>
        <v>0</v>
      </c>
      <c r="E107" s="25">
        <f>'Monkey Bay'!I107</f>
        <v>0</v>
      </c>
      <c r="F107" s="25">
        <f>Namwera!I107</f>
        <v>0</v>
      </c>
      <c r="G107" s="174">
        <f>Nkhudzi!O107</f>
        <v>0</v>
      </c>
      <c r="H107" s="31">
        <f t="shared" ref="H107:H110" si="46">SUM(D107:G107)</f>
        <v>0</v>
      </c>
    </row>
    <row r="108" spans="1:8" ht="15.6" x14ac:dyDescent="0.3">
      <c r="A108" s="549" t="s">
        <v>196</v>
      </c>
      <c r="B108" s="550"/>
      <c r="C108" s="11" t="s">
        <v>3</v>
      </c>
      <c r="D108" s="25">
        <f>Mangochi!I108</f>
        <v>0</v>
      </c>
      <c r="E108" s="25">
        <f>'Monkey Bay'!I108</f>
        <v>0</v>
      </c>
      <c r="F108" s="25">
        <f>Namwera!I108</f>
        <v>0</v>
      </c>
      <c r="G108" s="25">
        <f>Nkhudzi!O108</f>
        <v>0</v>
      </c>
      <c r="H108" s="31">
        <f t="shared" si="46"/>
        <v>0</v>
      </c>
    </row>
    <row r="109" spans="1:8" ht="15.6" x14ac:dyDescent="0.3">
      <c r="A109" s="549" t="s">
        <v>197</v>
      </c>
      <c r="B109" s="550"/>
      <c r="C109" s="11" t="s">
        <v>3</v>
      </c>
      <c r="D109" s="25">
        <f>Mangochi!I109</f>
        <v>0</v>
      </c>
      <c r="E109" s="25">
        <f>'Monkey Bay'!I109</f>
        <v>0</v>
      </c>
      <c r="F109" s="25">
        <f>Namwera!I109</f>
        <v>0</v>
      </c>
      <c r="G109" s="25">
        <f>Nkhudzi!O109</f>
        <v>0</v>
      </c>
      <c r="H109" s="31">
        <f t="shared" si="46"/>
        <v>0</v>
      </c>
    </row>
    <row r="110" spans="1:8" ht="15.6" x14ac:dyDescent="0.3">
      <c r="A110" s="549" t="s">
        <v>198</v>
      </c>
      <c r="B110" s="550"/>
      <c r="C110" s="11" t="s">
        <v>3</v>
      </c>
      <c r="D110" s="25">
        <f>Mangochi!I110</f>
        <v>0</v>
      </c>
      <c r="E110" s="25">
        <f>'Monkey Bay'!I110</f>
        <v>0</v>
      </c>
      <c r="F110" s="25">
        <f>Namwera!I110</f>
        <v>0</v>
      </c>
      <c r="G110" s="25">
        <f>Nkhudzi!O110</f>
        <v>0</v>
      </c>
      <c r="H110" s="31">
        <f t="shared" si="46"/>
        <v>0</v>
      </c>
    </row>
    <row r="111" spans="1:8" ht="15.6" x14ac:dyDescent="0.3">
      <c r="A111" s="551" t="s">
        <v>97</v>
      </c>
      <c r="B111" s="552"/>
      <c r="C111" s="11" t="s">
        <v>3</v>
      </c>
      <c r="D111" s="32">
        <f>SUM(D107:D110)</f>
        <v>0</v>
      </c>
      <c r="E111" s="32">
        <f t="shared" ref="E111:H111" si="47">SUM(E107:E110)</f>
        <v>0</v>
      </c>
      <c r="F111" s="32">
        <f t="shared" si="47"/>
        <v>0</v>
      </c>
      <c r="G111" s="32">
        <f t="shared" si="47"/>
        <v>0</v>
      </c>
      <c r="H111" s="54">
        <f t="shared" si="47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49" t="s">
        <v>199</v>
      </c>
      <c r="B113" s="550"/>
      <c r="C113" s="11" t="s">
        <v>3</v>
      </c>
      <c r="D113" s="25">
        <f>Mangochi!I113</f>
        <v>0</v>
      </c>
      <c r="E113" s="25">
        <f>'Monkey Bay'!I113</f>
        <v>0</v>
      </c>
      <c r="F113" s="25">
        <f>Namwera!I113</f>
        <v>0</v>
      </c>
      <c r="G113" s="174">
        <f>Nkhudzi!O113</f>
        <v>0</v>
      </c>
      <c r="H113" s="31">
        <f t="shared" ref="H113:H116" si="48">SUM(D113:G113)</f>
        <v>0</v>
      </c>
    </row>
    <row r="114" spans="1:8" ht="15.6" x14ac:dyDescent="0.3">
      <c r="A114" s="549" t="s">
        <v>200</v>
      </c>
      <c r="B114" s="550"/>
      <c r="C114" s="11" t="s">
        <v>3</v>
      </c>
      <c r="D114" s="25">
        <f>Mangochi!I114</f>
        <v>0</v>
      </c>
      <c r="E114" s="25">
        <f>'Monkey Bay'!I114</f>
        <v>0</v>
      </c>
      <c r="F114" s="25">
        <f>Namwera!I114</f>
        <v>0</v>
      </c>
      <c r="G114" s="25">
        <f>Nkhudzi!O114</f>
        <v>0</v>
      </c>
      <c r="H114" s="31">
        <f t="shared" si="48"/>
        <v>0</v>
      </c>
    </row>
    <row r="115" spans="1:8" ht="15.6" x14ac:dyDescent="0.3">
      <c r="A115" s="549" t="s">
        <v>201</v>
      </c>
      <c r="B115" s="550"/>
      <c r="C115" s="11" t="s">
        <v>3</v>
      </c>
      <c r="D115" s="25">
        <f>Mangochi!I115</f>
        <v>0</v>
      </c>
      <c r="E115" s="25">
        <f>'Monkey Bay'!I115</f>
        <v>0</v>
      </c>
      <c r="F115" s="25">
        <f>Namwera!I115</f>
        <v>0</v>
      </c>
      <c r="G115" s="25">
        <f>Nkhudzi!O115</f>
        <v>0</v>
      </c>
      <c r="H115" s="31">
        <f t="shared" si="48"/>
        <v>0</v>
      </c>
    </row>
    <row r="116" spans="1:8" ht="15.6" x14ac:dyDescent="0.3">
      <c r="A116" s="549" t="s">
        <v>202</v>
      </c>
      <c r="B116" s="550"/>
      <c r="C116" s="11" t="s">
        <v>3</v>
      </c>
      <c r="D116" s="25">
        <f>Mangochi!I116</f>
        <v>0</v>
      </c>
      <c r="E116" s="25">
        <f>'Monkey Bay'!I116</f>
        <v>0</v>
      </c>
      <c r="F116" s="25">
        <f>Namwera!I116</f>
        <v>0</v>
      </c>
      <c r="G116" s="25">
        <f>Nkhudzi!O116</f>
        <v>0</v>
      </c>
      <c r="H116" s="31">
        <f t="shared" si="48"/>
        <v>0</v>
      </c>
    </row>
    <row r="117" spans="1:8" ht="15.6" x14ac:dyDescent="0.3">
      <c r="A117" s="551" t="s">
        <v>96</v>
      </c>
      <c r="B117" s="552"/>
      <c r="C117" s="11" t="s">
        <v>3</v>
      </c>
      <c r="D117" s="32">
        <f>SUM(D113:D116)</f>
        <v>0</v>
      </c>
      <c r="E117" s="32">
        <f t="shared" ref="E117:H117" si="49">SUM(E113:E116)</f>
        <v>0</v>
      </c>
      <c r="F117" s="32">
        <f t="shared" si="49"/>
        <v>0</v>
      </c>
      <c r="G117" s="32">
        <f t="shared" si="49"/>
        <v>0</v>
      </c>
      <c r="H117" s="54">
        <f t="shared" si="49"/>
        <v>0</v>
      </c>
    </row>
    <row r="118" spans="1:8" s="2" customFormat="1" ht="15.6" x14ac:dyDescent="0.3">
      <c r="A118" s="159" t="s">
        <v>193</v>
      </c>
      <c r="B118" s="160"/>
      <c r="C118" s="11" t="s">
        <v>3</v>
      </c>
      <c r="D118" s="32">
        <f>D111+D117</f>
        <v>0</v>
      </c>
      <c r="E118" s="32">
        <f t="shared" ref="E118:F118" si="50">E111+E117</f>
        <v>0</v>
      </c>
      <c r="F118" s="32">
        <f t="shared" si="50"/>
        <v>0</v>
      </c>
      <c r="G118" s="32">
        <f t="shared" ref="G118" si="51">G117+G111</f>
        <v>0</v>
      </c>
      <c r="H118" s="54">
        <f t="shared" ref="H118" si="52">H117+H112</f>
        <v>0</v>
      </c>
    </row>
    <row r="119" spans="1:8" ht="15.6" x14ac:dyDescent="0.3">
      <c r="A119" s="551" t="s">
        <v>194</v>
      </c>
      <c r="B119" s="552"/>
      <c r="C119" s="11" t="s">
        <v>3</v>
      </c>
      <c r="D119" s="32">
        <f>D118+D105</f>
        <v>0</v>
      </c>
      <c r="E119" s="32">
        <f t="shared" ref="E119:G119" si="53">E118+E105</f>
        <v>0</v>
      </c>
      <c r="F119" s="32">
        <f t="shared" si="53"/>
        <v>0</v>
      </c>
      <c r="G119" s="32">
        <f t="shared" si="53"/>
        <v>0</v>
      </c>
      <c r="H119" s="54">
        <f t="shared" ref="H119" si="54">H118+H106</f>
        <v>0</v>
      </c>
    </row>
    <row r="120" spans="1:8" ht="15" thickBot="1" x14ac:dyDescent="0.35">
      <c r="A120" s="543" t="s">
        <v>203</v>
      </c>
      <c r="B120" s="544"/>
      <c r="C120" s="544"/>
      <c r="D120" s="544"/>
      <c r="E120" s="544"/>
      <c r="F120" s="544"/>
      <c r="G120" s="544"/>
      <c r="H120" s="546"/>
    </row>
    <row r="121" spans="1:8" ht="16.2" thickBot="1" x14ac:dyDescent="0.35">
      <c r="A121" s="549" t="s">
        <v>95</v>
      </c>
      <c r="B121" s="550"/>
      <c r="C121" s="5" t="s">
        <v>3</v>
      </c>
      <c r="D121" s="25">
        <f>Mangochi!I121</f>
        <v>0</v>
      </c>
      <c r="E121" s="25">
        <f>'Monkey Bay'!I121</f>
        <v>0</v>
      </c>
      <c r="F121" s="25">
        <f>Namwera!I121</f>
        <v>0</v>
      </c>
      <c r="G121" s="174">
        <f>Nkhudzi!O121</f>
        <v>0</v>
      </c>
      <c r="H121" s="31">
        <f>SUM(D121:G121)</f>
        <v>0</v>
      </c>
    </row>
    <row r="122" spans="1:8" ht="15.6" x14ac:dyDescent="0.3">
      <c r="A122" s="549" t="s">
        <v>94</v>
      </c>
      <c r="B122" s="550"/>
      <c r="C122" s="5" t="s">
        <v>3</v>
      </c>
      <c r="D122" s="25">
        <f>Mangochi!I122</f>
        <v>0</v>
      </c>
      <c r="E122" s="25">
        <f>'Monkey Bay'!I122</f>
        <v>0</v>
      </c>
      <c r="F122" s="25">
        <f>Namwera!I122</f>
        <v>0</v>
      </c>
      <c r="G122" s="174">
        <f>Nkhudzi!O122</f>
        <v>0</v>
      </c>
      <c r="H122" s="31">
        <f>SUM(D122:G122)</f>
        <v>0</v>
      </c>
    </row>
    <row r="123" spans="1:8" ht="15.6" x14ac:dyDescent="0.3">
      <c r="A123" s="603" t="s">
        <v>93</v>
      </c>
      <c r="B123" s="604"/>
      <c r="C123" s="29" t="s">
        <v>6</v>
      </c>
      <c r="D123" s="28" t="e">
        <f t="shared" ref="D123:H123" si="55">D122/D121</f>
        <v>#DIV/0!</v>
      </c>
      <c r="E123" s="28" t="e">
        <f t="shared" si="55"/>
        <v>#DIV/0!</v>
      </c>
      <c r="F123" s="28" t="e">
        <f t="shared" si="55"/>
        <v>#DIV/0!</v>
      </c>
      <c r="G123" s="28" t="e">
        <f t="shared" si="55"/>
        <v>#DIV/0!</v>
      </c>
      <c r="H123" s="103" t="e">
        <f t="shared" si="55"/>
        <v>#DIV/0!</v>
      </c>
    </row>
    <row r="124" spans="1:8" x14ac:dyDescent="0.3">
      <c r="A124" s="599" t="s">
        <v>92</v>
      </c>
      <c r="B124" s="600"/>
      <c r="C124" s="600"/>
      <c r="D124" s="600"/>
      <c r="E124" s="600"/>
      <c r="F124" s="600"/>
      <c r="G124" s="600"/>
      <c r="H124" s="601"/>
    </row>
    <row r="125" spans="1:8" ht="15.6" x14ac:dyDescent="0.3">
      <c r="A125" s="555" t="s">
        <v>91</v>
      </c>
      <c r="B125" s="23" t="s">
        <v>85</v>
      </c>
      <c r="C125" s="11" t="s">
        <v>3</v>
      </c>
      <c r="D125" s="25">
        <f>Mangochi!D125</f>
        <v>1</v>
      </c>
      <c r="E125" s="25">
        <f>'Monkey Bay'!D125</f>
        <v>0</v>
      </c>
      <c r="F125" s="25">
        <f>Namwera!D125</f>
        <v>0</v>
      </c>
      <c r="G125" s="25">
        <f>Nkhudzi!M125</f>
        <v>0</v>
      </c>
      <c r="H125" s="167">
        <f>D125</f>
        <v>1</v>
      </c>
    </row>
    <row r="126" spans="1:8" ht="15.6" x14ac:dyDescent="0.3">
      <c r="A126" s="602"/>
      <c r="B126" s="23" t="s">
        <v>84</v>
      </c>
      <c r="C126" s="11" t="s">
        <v>3</v>
      </c>
      <c r="D126" s="25">
        <f>Mangochi!D126+Mangochi!E126+Mangochi!F126+Mangochi!G126+Mangochi!H126+Mangochi!I126</f>
        <v>0</v>
      </c>
      <c r="E126" s="25">
        <f>'Monkey Bay'!D126+'Monkey Bay'!E126+'Monkey Bay'!F126+'Monkey Bay'!G126+'Monkey Bay'!H126+'Monkey Bay'!I126</f>
        <v>0</v>
      </c>
      <c r="F126" s="25">
        <f>Namwera!D126+Namwera!E126+Namwera!F126+Namwera!G126+Namwera!H126+Namwera!I126</f>
        <v>0</v>
      </c>
      <c r="G126" s="25">
        <f>Nkhudzi!M126+Nkhudzi!N126+Nkhudzi!O126</f>
        <v>0</v>
      </c>
      <c r="H126" s="167">
        <f>SUM(D126:F126)</f>
        <v>0</v>
      </c>
    </row>
    <row r="127" spans="1:8" ht="15.6" x14ac:dyDescent="0.3">
      <c r="A127" s="602"/>
      <c r="B127" s="79" t="s">
        <v>88</v>
      </c>
      <c r="C127" s="11" t="s">
        <v>3</v>
      </c>
      <c r="D127" s="25">
        <f>Mangochi!D127+Mangochi!E127+Mangochi!F127+Mangochi!G127+Mangochi!H127+Mangochi!I127</f>
        <v>0</v>
      </c>
      <c r="E127" s="25">
        <f>'Monkey Bay'!D127+'Monkey Bay'!E127+'Monkey Bay'!F127+'Monkey Bay'!G127+'Monkey Bay'!H127+'Monkey Bay'!I127</f>
        <v>0</v>
      </c>
      <c r="F127" s="25">
        <f>Namwera!D127+Namwera!E127+Namwera!F127+Namwera!G127+Namwera!H127+Namwera!I127</f>
        <v>0</v>
      </c>
      <c r="G127" s="25">
        <f>Nkhudzi!M127+Nkhudzi!N127+Nkhudzi!O127</f>
        <v>0</v>
      </c>
      <c r="H127" s="167">
        <f>SUM(D127:F127)</f>
        <v>0</v>
      </c>
    </row>
    <row r="128" spans="1:8" ht="15.6" x14ac:dyDescent="0.3">
      <c r="A128" s="602"/>
      <c r="B128" s="23" t="s">
        <v>82</v>
      </c>
      <c r="C128" s="11" t="s">
        <v>3</v>
      </c>
      <c r="D128" s="25">
        <f>Mangochi!D128+Mangochi!E128+Mangochi!F128+Mangochi!G128+Mangochi!H128+Mangochi!I128</f>
        <v>0</v>
      </c>
      <c r="E128" s="25">
        <f>'Monkey Bay'!D128+'Monkey Bay'!E128+'Monkey Bay'!F128+'Monkey Bay'!G128+'Monkey Bay'!H128+'Monkey Bay'!I128</f>
        <v>0</v>
      </c>
      <c r="F128" s="25">
        <f>Namwera!D128+Namwera!E128+Namwera!F128+Namwera!G128+Namwera!H128+Namwera!I128</f>
        <v>0</v>
      </c>
      <c r="G128" s="25">
        <f>Nkhudzi!M128+Nkhudzi!N128+Nkhudzi!O128</f>
        <v>0</v>
      </c>
      <c r="H128" s="167">
        <f>SUM(D128:F128)</f>
        <v>0</v>
      </c>
    </row>
    <row r="129" spans="1:8" ht="15.6" x14ac:dyDescent="0.3">
      <c r="A129" s="556"/>
      <c r="B129" s="23" t="s">
        <v>81</v>
      </c>
      <c r="C129" s="11" t="s">
        <v>3</v>
      </c>
      <c r="D129" s="129">
        <f t="shared" ref="D129:G129" si="56">D125+D126-D127-D128</f>
        <v>1</v>
      </c>
      <c r="E129" s="129">
        <f t="shared" si="56"/>
        <v>0</v>
      </c>
      <c r="F129" s="129">
        <f t="shared" si="56"/>
        <v>0</v>
      </c>
      <c r="G129" s="130">
        <f t="shared" si="56"/>
        <v>0</v>
      </c>
      <c r="H129" s="34">
        <f>H125+H126-H127-H128</f>
        <v>1</v>
      </c>
    </row>
    <row r="130" spans="1:8" ht="15.6" x14ac:dyDescent="0.3">
      <c r="A130" s="555" t="s">
        <v>90</v>
      </c>
      <c r="B130" s="27" t="s">
        <v>85</v>
      </c>
      <c r="C130" s="26" t="s">
        <v>3</v>
      </c>
      <c r="D130" s="25">
        <f>Mangochi!D130</f>
        <v>0</v>
      </c>
      <c r="E130" s="25">
        <f>'Monkey Bay'!D130</f>
        <v>0</v>
      </c>
      <c r="F130" s="25">
        <f>Namwera!D130</f>
        <v>0</v>
      </c>
      <c r="G130" s="25">
        <f>Nkhudzi!M130</f>
        <v>0</v>
      </c>
      <c r="H130" s="167">
        <f>D130</f>
        <v>0</v>
      </c>
    </row>
    <row r="131" spans="1:8" ht="15.6" x14ac:dyDescent="0.3">
      <c r="A131" s="602"/>
      <c r="B131" s="23" t="s">
        <v>84</v>
      </c>
      <c r="C131" s="11" t="s">
        <v>3</v>
      </c>
      <c r="D131" s="25">
        <f>Mangochi!D131+Mangochi!E131+Mangochi!F131+Mangochi!G131+Mangochi!H131+Mangochi!I131</f>
        <v>0</v>
      </c>
      <c r="E131" s="25">
        <f>'Monkey Bay'!D131+'Monkey Bay'!E131+'Monkey Bay'!F131+'Monkey Bay'!G131+'Monkey Bay'!H131+'Monkey Bay'!I131</f>
        <v>0</v>
      </c>
      <c r="F131" s="25">
        <f>Namwera!D131+Namwera!E131+Namwera!F131+Namwera!G131+Namwera!H131+Namwera!I131</f>
        <v>0</v>
      </c>
      <c r="G131" s="25">
        <f>Nkhudzi!M131+Nkhudzi!N131+Nkhudzi!O131</f>
        <v>0</v>
      </c>
      <c r="H131" s="167">
        <f>SUM(D131:F131)</f>
        <v>0</v>
      </c>
    </row>
    <row r="132" spans="1:8" ht="15.6" x14ac:dyDescent="0.3">
      <c r="A132" s="602"/>
      <c r="B132" s="79" t="s">
        <v>88</v>
      </c>
      <c r="C132" s="11" t="s">
        <v>3</v>
      </c>
      <c r="D132" s="25">
        <f>Mangochi!D132+Mangochi!E132+Mangochi!F132+Mangochi!G132+Mangochi!H132+Mangochi!I132</f>
        <v>0</v>
      </c>
      <c r="E132" s="25">
        <f>'Monkey Bay'!D132+'Monkey Bay'!E132+'Monkey Bay'!F132+'Monkey Bay'!G132+'Monkey Bay'!H132+'Monkey Bay'!I132</f>
        <v>0</v>
      </c>
      <c r="F132" s="25">
        <f>Namwera!D132+Namwera!E132+Namwera!F132+Namwera!G132+Namwera!H132+Namwera!I132</f>
        <v>0</v>
      </c>
      <c r="G132" s="25">
        <f>Nkhudzi!M132+Nkhudzi!N132+Nkhudzi!O132</f>
        <v>0</v>
      </c>
      <c r="H132" s="167">
        <f>SUM(D132:F132)</f>
        <v>0</v>
      </c>
    </row>
    <row r="133" spans="1:8" ht="15.6" x14ac:dyDescent="0.3">
      <c r="A133" s="602"/>
      <c r="B133" s="23" t="s">
        <v>82</v>
      </c>
      <c r="C133" s="11" t="s">
        <v>3</v>
      </c>
      <c r="D133" s="25">
        <f>Mangochi!D133+Mangochi!E133+Mangochi!F133+Mangochi!G133+Mangochi!H133+Mangochi!I133</f>
        <v>0</v>
      </c>
      <c r="E133" s="25">
        <f>'Monkey Bay'!D133+'Monkey Bay'!E133+'Monkey Bay'!F133+'Monkey Bay'!G133+'Monkey Bay'!H133+'Monkey Bay'!I133</f>
        <v>0</v>
      </c>
      <c r="F133" s="25">
        <f>Namwera!D133+Namwera!E133+Namwera!F133+Namwera!G133+Namwera!H133+Namwera!I133</f>
        <v>0</v>
      </c>
      <c r="G133" s="25">
        <f>Nkhudzi!M133+Nkhudzi!N133+Nkhudzi!O133</f>
        <v>0</v>
      </c>
      <c r="H133" s="167">
        <f>SUM(D133:F133)</f>
        <v>0</v>
      </c>
    </row>
    <row r="134" spans="1:8" ht="15.6" x14ac:dyDescent="0.3">
      <c r="A134" s="556"/>
      <c r="B134" s="23" t="s">
        <v>81</v>
      </c>
      <c r="C134" s="11" t="s">
        <v>3</v>
      </c>
      <c r="D134" s="129">
        <f t="shared" ref="D134:G134" si="57">D130+D131-D132-D133</f>
        <v>0</v>
      </c>
      <c r="E134" s="129">
        <f t="shared" si="57"/>
        <v>0</v>
      </c>
      <c r="F134" s="129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555" t="s">
        <v>89</v>
      </c>
      <c r="B135" s="23" t="s">
        <v>85</v>
      </c>
      <c r="C135" s="11" t="s">
        <v>3</v>
      </c>
      <c r="D135" s="25">
        <f>Mangochi!D135</f>
        <v>0</v>
      </c>
      <c r="E135" s="25">
        <f>'Monkey Bay'!D135</f>
        <v>0</v>
      </c>
      <c r="F135" s="25">
        <f>Namwera!D135</f>
        <v>0</v>
      </c>
      <c r="G135" s="25">
        <f>Nkhudzi!M135</f>
        <v>0</v>
      </c>
      <c r="H135" s="167">
        <f>D135</f>
        <v>0</v>
      </c>
    </row>
    <row r="136" spans="1:8" ht="15.6" x14ac:dyDescent="0.3">
      <c r="A136" s="602"/>
      <c r="B136" s="23" t="s">
        <v>84</v>
      </c>
      <c r="C136" s="11" t="s">
        <v>3</v>
      </c>
      <c r="D136" s="25">
        <f>Mangochi!D136+Mangochi!E136+Mangochi!F136+Mangochi!G136+Mangochi!H136+Mangochi!I136</f>
        <v>0</v>
      </c>
      <c r="E136" s="25">
        <f>'Monkey Bay'!D136+'Monkey Bay'!E136+'Monkey Bay'!F136+'Monkey Bay'!G136+'Monkey Bay'!H136+'Monkey Bay'!I136</f>
        <v>0</v>
      </c>
      <c r="F136" s="25">
        <f>Namwera!D136+Namwera!E136+Namwera!F136+Namwera!G136+Namwera!H136+Namwera!I136</f>
        <v>0</v>
      </c>
      <c r="G136" s="25">
        <f>Nkhudzi!M136+Nkhudzi!N136+Nkhudzi!O136</f>
        <v>0</v>
      </c>
      <c r="H136" s="167">
        <f>SUM(D136:F136)</f>
        <v>0</v>
      </c>
    </row>
    <row r="137" spans="1:8" ht="15.6" x14ac:dyDescent="0.3">
      <c r="A137" s="602"/>
      <c r="B137" s="79" t="s">
        <v>88</v>
      </c>
      <c r="C137" s="11" t="s">
        <v>3</v>
      </c>
      <c r="D137" s="25">
        <f>Mangochi!D137+Mangochi!E137+Mangochi!F137+Mangochi!G137+Mangochi!H137+Mangochi!I137</f>
        <v>0</v>
      </c>
      <c r="E137" s="25">
        <f>'Monkey Bay'!D137+'Monkey Bay'!E137+'Monkey Bay'!F137+'Monkey Bay'!G137+'Monkey Bay'!H137+'Monkey Bay'!I137</f>
        <v>0</v>
      </c>
      <c r="F137" s="25">
        <f>Namwera!D137+Namwera!E137+Namwera!F137+Namwera!G137+Namwera!H137+Namwera!I137</f>
        <v>0</v>
      </c>
      <c r="G137" s="25">
        <f>Nkhudzi!M137+Nkhudzi!N137+Nkhudzi!O137</f>
        <v>0</v>
      </c>
      <c r="H137" s="167">
        <f>SUM(D137:F137)</f>
        <v>0</v>
      </c>
    </row>
    <row r="138" spans="1:8" ht="15.6" x14ac:dyDescent="0.3">
      <c r="A138" s="602"/>
      <c r="B138" s="23" t="s">
        <v>82</v>
      </c>
      <c r="C138" s="11" t="s">
        <v>3</v>
      </c>
      <c r="D138" s="25">
        <f>Mangochi!D138+Mangochi!E138+Mangochi!F138+Mangochi!G138+Mangochi!H138+Mangochi!I138</f>
        <v>0</v>
      </c>
      <c r="E138" s="25">
        <f>'Monkey Bay'!D138+'Monkey Bay'!E138+'Monkey Bay'!F138+'Monkey Bay'!G138+'Monkey Bay'!H138+'Monkey Bay'!I138</f>
        <v>0</v>
      </c>
      <c r="F138" s="25">
        <f>Namwera!D138+Namwera!E138+Namwera!F138+Namwera!G138+Namwera!H138+Namwera!I138</f>
        <v>0</v>
      </c>
      <c r="G138" s="25">
        <f>Nkhudzi!M138+Nkhudzi!N138+Nkhudzi!O138</f>
        <v>0</v>
      </c>
      <c r="H138" s="167">
        <f>SUM(D138:F138)</f>
        <v>0</v>
      </c>
    </row>
    <row r="139" spans="1:8" ht="15.6" x14ac:dyDescent="0.3">
      <c r="A139" s="556"/>
      <c r="B139" s="23" t="s">
        <v>81</v>
      </c>
      <c r="C139" s="11" t="s">
        <v>3</v>
      </c>
      <c r="D139" s="129">
        <f t="shared" ref="D139:G139" si="58">D135+D136-D137-D138</f>
        <v>0</v>
      </c>
      <c r="E139" s="129">
        <f t="shared" si="58"/>
        <v>0</v>
      </c>
      <c r="F139" s="129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555" t="s">
        <v>87</v>
      </c>
      <c r="B140" s="23" t="s">
        <v>85</v>
      </c>
      <c r="C140" s="11" t="s">
        <v>3</v>
      </c>
      <c r="D140" s="25">
        <f>Mangochi!D140</f>
        <v>420</v>
      </c>
      <c r="E140" s="25">
        <f>'Monkey Bay'!D140</f>
        <v>8</v>
      </c>
      <c r="F140" s="25">
        <f>Namwera!D140</f>
        <v>5</v>
      </c>
      <c r="G140" s="25">
        <f>Nkhudzi!M140</f>
        <v>0</v>
      </c>
      <c r="H140" s="167">
        <f>D140</f>
        <v>420</v>
      </c>
    </row>
    <row r="141" spans="1:8" ht="15.6" x14ac:dyDescent="0.3">
      <c r="A141" s="602"/>
      <c r="B141" s="23" t="s">
        <v>84</v>
      </c>
      <c r="C141" s="11" t="s">
        <v>3</v>
      </c>
      <c r="D141" s="25">
        <f>Mangochi!D141+Mangochi!E141+Mangochi!F141+Mangochi!G141+Mangochi!H141+Mangochi!I141</f>
        <v>277</v>
      </c>
      <c r="E141" s="25">
        <f>'Monkey Bay'!D141+'Monkey Bay'!E141+'Monkey Bay'!F141+'Monkey Bay'!G141+'Monkey Bay'!H141+'Monkey Bay'!I141</f>
        <v>22</v>
      </c>
      <c r="F141" s="25">
        <f>Namwera!D141+Namwera!E141+Namwera!F141+Namwera!G141+Namwera!H141+Namwera!I141</f>
        <v>7</v>
      </c>
      <c r="G141" s="25">
        <f>Nkhudzi!M141+Nkhudzi!N141+Nkhudzi!O141</f>
        <v>0</v>
      </c>
      <c r="H141" s="167">
        <f>SUM(D141:F141)</f>
        <v>306</v>
      </c>
    </row>
    <row r="142" spans="1:8" ht="15.6" x14ac:dyDescent="0.3">
      <c r="A142" s="602"/>
      <c r="B142" s="23" t="s">
        <v>83</v>
      </c>
      <c r="C142" s="11" t="s">
        <v>3</v>
      </c>
      <c r="D142" s="25">
        <f>Mangochi!D142+Mangochi!E142+Mangochi!F142+Mangochi!G142+Mangochi!H142+Mangochi!I142</f>
        <v>0</v>
      </c>
      <c r="E142" s="25">
        <f>'Monkey Bay'!D142+'Monkey Bay'!E142+'Monkey Bay'!F142+'Monkey Bay'!G142+'Monkey Bay'!H142+'Monkey Bay'!I142</f>
        <v>0</v>
      </c>
      <c r="F142" s="25">
        <f>Namwera!D142+Namwera!E142+Namwera!F142+Namwera!G142+Namwera!H142+Namwera!I142</f>
        <v>11</v>
      </c>
      <c r="G142" s="25">
        <f>Nkhudzi!M142+Nkhudzi!N142+Nkhudzi!O142</f>
        <v>0</v>
      </c>
      <c r="H142" s="167">
        <f>SUM(D142:F142)</f>
        <v>11</v>
      </c>
    </row>
    <row r="143" spans="1:8" ht="15.6" x14ac:dyDescent="0.3">
      <c r="A143" s="602"/>
      <c r="B143" s="23" t="s">
        <v>82</v>
      </c>
      <c r="C143" s="11" t="s">
        <v>3</v>
      </c>
      <c r="D143" s="25">
        <f>Mangochi!D143+Mangochi!E143+Mangochi!F143+Mangochi!G143+Mangochi!H143+Mangochi!I143</f>
        <v>59</v>
      </c>
      <c r="E143" s="25">
        <f>'Monkey Bay'!D143+'Monkey Bay'!E143+'Monkey Bay'!F143+'Monkey Bay'!G143+'Monkey Bay'!H143+'Monkey Bay'!I143</f>
        <v>0</v>
      </c>
      <c r="F143" s="25">
        <f>Namwera!D143+Namwera!E143+Namwera!F143+Namwera!G143+Namwera!H143+Namwera!I143</f>
        <v>0</v>
      </c>
      <c r="G143" s="25">
        <f>Nkhudzi!M143+Nkhudzi!N143+Nkhudzi!O143</f>
        <v>0</v>
      </c>
      <c r="H143" s="167">
        <f>SUM(D143:F143)</f>
        <v>59</v>
      </c>
    </row>
    <row r="144" spans="1:8" ht="15.6" x14ac:dyDescent="0.3">
      <c r="A144" s="556"/>
      <c r="B144" s="23" t="s">
        <v>81</v>
      </c>
      <c r="C144" s="11" t="s">
        <v>3</v>
      </c>
      <c r="D144" s="129">
        <f t="shared" ref="D144:G144" si="59">D140+D141-D142-D143</f>
        <v>638</v>
      </c>
      <c r="E144" s="129">
        <f t="shared" si="59"/>
        <v>30</v>
      </c>
      <c r="F144" s="129">
        <f t="shared" si="59"/>
        <v>1</v>
      </c>
      <c r="G144" s="130">
        <f t="shared" si="59"/>
        <v>0</v>
      </c>
      <c r="H144" s="34">
        <f>H140+H141-H142-H143</f>
        <v>656</v>
      </c>
    </row>
    <row r="145" spans="1:8" s="2" customFormat="1" ht="15.6" x14ac:dyDescent="0.3">
      <c r="A145" s="555" t="s">
        <v>86</v>
      </c>
      <c r="B145" s="23" t="s">
        <v>85</v>
      </c>
      <c r="C145" s="11" t="s">
        <v>3</v>
      </c>
      <c r="D145" s="130">
        <f t="shared" ref="D145:H149" si="60">D125+D130+D135+D140</f>
        <v>421</v>
      </c>
      <c r="E145" s="130">
        <f t="shared" si="60"/>
        <v>8</v>
      </c>
      <c r="F145" s="130">
        <f t="shared" si="60"/>
        <v>5</v>
      </c>
      <c r="G145" s="128">
        <f t="shared" si="60"/>
        <v>0</v>
      </c>
      <c r="H145" s="104">
        <f t="shared" si="60"/>
        <v>421</v>
      </c>
    </row>
    <row r="146" spans="1:8" ht="15.6" x14ac:dyDescent="0.3">
      <c r="A146" s="602"/>
      <c r="B146" s="23" t="s">
        <v>84</v>
      </c>
      <c r="C146" s="11" t="s">
        <v>3</v>
      </c>
      <c r="D146" s="130">
        <f t="shared" ref="D146:F148" si="61">D126+D131+D136+D141</f>
        <v>277</v>
      </c>
      <c r="E146" s="130">
        <f t="shared" si="61"/>
        <v>22</v>
      </c>
      <c r="F146" s="130">
        <f t="shared" si="61"/>
        <v>7</v>
      </c>
      <c r="G146" s="128">
        <f t="shared" si="60"/>
        <v>0</v>
      </c>
      <c r="H146" s="104">
        <f t="shared" si="60"/>
        <v>306</v>
      </c>
    </row>
    <row r="147" spans="1:8" ht="15.6" x14ac:dyDescent="0.3">
      <c r="A147" s="602"/>
      <c r="B147" s="23" t="s">
        <v>83</v>
      </c>
      <c r="C147" s="11" t="s">
        <v>3</v>
      </c>
      <c r="D147" s="130">
        <f t="shared" si="61"/>
        <v>0</v>
      </c>
      <c r="E147" s="130">
        <f t="shared" si="61"/>
        <v>0</v>
      </c>
      <c r="F147" s="130">
        <f t="shared" si="61"/>
        <v>11</v>
      </c>
      <c r="G147" s="128">
        <f t="shared" si="60"/>
        <v>0</v>
      </c>
      <c r="H147" s="104">
        <f t="shared" si="60"/>
        <v>11</v>
      </c>
    </row>
    <row r="148" spans="1:8" ht="15.6" x14ac:dyDescent="0.3">
      <c r="A148" s="602"/>
      <c r="B148" s="23" t="s">
        <v>82</v>
      </c>
      <c r="C148" s="11" t="s">
        <v>3</v>
      </c>
      <c r="D148" s="130">
        <f t="shared" si="61"/>
        <v>59</v>
      </c>
      <c r="E148" s="130">
        <f t="shared" si="61"/>
        <v>0</v>
      </c>
      <c r="F148" s="130">
        <f t="shared" si="61"/>
        <v>0</v>
      </c>
      <c r="G148" s="128">
        <f t="shared" si="60"/>
        <v>0</v>
      </c>
      <c r="H148" s="104">
        <f t="shared" si="60"/>
        <v>59</v>
      </c>
    </row>
    <row r="149" spans="1:8" ht="15.6" x14ac:dyDescent="0.3">
      <c r="A149" s="556"/>
      <c r="B149" s="23" t="s">
        <v>81</v>
      </c>
      <c r="C149" s="11" t="s">
        <v>3</v>
      </c>
      <c r="D149" s="129">
        <f t="shared" ref="D149:G149" si="62">D145+D146-D147-D148</f>
        <v>639</v>
      </c>
      <c r="E149" s="129">
        <f t="shared" si="62"/>
        <v>30</v>
      </c>
      <c r="F149" s="129">
        <f t="shared" si="62"/>
        <v>1</v>
      </c>
      <c r="G149" s="130">
        <f t="shared" si="62"/>
        <v>0</v>
      </c>
      <c r="H149" s="104">
        <f t="shared" si="60"/>
        <v>657</v>
      </c>
    </row>
    <row r="150" spans="1:8" x14ac:dyDescent="0.3">
      <c r="A150" s="543" t="s">
        <v>80</v>
      </c>
      <c r="B150" s="544"/>
      <c r="C150" s="544"/>
      <c r="D150" s="544"/>
      <c r="E150" s="544"/>
      <c r="F150" s="544"/>
      <c r="G150" s="544"/>
      <c r="H150" s="546"/>
    </row>
    <row r="151" spans="1:8" ht="15.6" customHeight="1" x14ac:dyDescent="0.3">
      <c r="A151" s="615" t="s">
        <v>79</v>
      </c>
      <c r="B151" s="616"/>
      <c r="C151" s="616"/>
      <c r="D151" s="616"/>
      <c r="E151" s="616"/>
      <c r="F151" s="616"/>
      <c r="G151" s="616"/>
      <c r="H151" s="617"/>
    </row>
    <row r="152" spans="1:8" ht="15.6" x14ac:dyDescent="0.3">
      <c r="A152" s="605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06"/>
      <c r="B153" s="19" t="s">
        <v>73</v>
      </c>
      <c r="C153" s="11" t="s">
        <v>57</v>
      </c>
      <c r="D153" s="25">
        <f>Mangochi!D153+Mangochi!E153+Mangochi!F153+Mangochi!G153+Mangochi!H153+Mangochi!I153</f>
        <v>184</v>
      </c>
      <c r="E153" s="25">
        <f>'Monkey Bay'!D153+'Monkey Bay'!E153+'Monkey Bay'!F153+'Monkey Bay'!G153+'Monkey Bay'!H153+'Monkey Bay'!I153</f>
        <v>9</v>
      </c>
      <c r="F153" s="25">
        <f>Namwera!D153+Namwera!E153+Namwera!F153+Namwera!G153+Namwera!H153+Namwera!I153</f>
        <v>42</v>
      </c>
      <c r="G153" s="25">
        <f>Nkhudzi!M153+Nkhudzi!N153+Nkhudzi!O153</f>
        <v>0</v>
      </c>
      <c r="H153" s="71">
        <f t="shared" ref="H153:H192" si="63">SUM(D153:G153)</f>
        <v>235</v>
      </c>
    </row>
    <row r="154" spans="1:8" ht="15.6" x14ac:dyDescent="0.3">
      <c r="A154" s="606"/>
      <c r="B154" s="19" t="s">
        <v>72</v>
      </c>
      <c r="C154" s="11" t="s">
        <v>57</v>
      </c>
      <c r="D154" s="25">
        <f>Mangochi!D154+Mangochi!E154+Mangochi!F154+Mangochi!G154+Mangochi!H154+Mangochi!I154</f>
        <v>103</v>
      </c>
      <c r="E154" s="25">
        <f>'Monkey Bay'!D154+'Monkey Bay'!E154+'Monkey Bay'!F154+'Monkey Bay'!G154+'Monkey Bay'!H154+'Monkey Bay'!I154</f>
        <v>12</v>
      </c>
      <c r="F154" s="25">
        <f>Namwera!D154+Namwera!E154+Namwera!F154+Namwera!G154+Namwera!H154+Namwera!I154</f>
        <v>21</v>
      </c>
      <c r="G154" s="25">
        <f>Nkhudzi!M154+Nkhudzi!N154+Nkhudzi!O154</f>
        <v>0</v>
      </c>
      <c r="H154" s="71">
        <f t="shared" si="63"/>
        <v>136</v>
      </c>
    </row>
    <row r="155" spans="1:8" ht="15.6" x14ac:dyDescent="0.3">
      <c r="A155" s="606"/>
      <c r="B155" s="19" t="s">
        <v>53</v>
      </c>
      <c r="C155" s="11" t="s">
        <v>57</v>
      </c>
      <c r="D155" s="25">
        <f>Mangochi!D155+Mangochi!E155+Mangochi!F155+Mangochi!G155+Mangochi!H155+Mangochi!I155</f>
        <v>44</v>
      </c>
      <c r="E155" s="25">
        <f>'Monkey Bay'!D155+'Monkey Bay'!E155+'Monkey Bay'!F155+'Monkey Bay'!G155+'Monkey Bay'!H155+'Monkey Bay'!I155</f>
        <v>2</v>
      </c>
      <c r="F155" s="25">
        <f>Namwera!D155+Namwera!E155+Namwera!F155+Namwera!G155+Namwera!H155+Namwera!I155</f>
        <v>8</v>
      </c>
      <c r="G155" s="25">
        <f>Nkhudzi!M155+Nkhudzi!N155+Nkhudzi!O155</f>
        <v>0</v>
      </c>
      <c r="H155" s="71">
        <f t="shared" si="63"/>
        <v>54</v>
      </c>
    </row>
    <row r="156" spans="1:8" ht="15.6" x14ac:dyDescent="0.3">
      <c r="A156" s="606"/>
      <c r="B156" s="19" t="s">
        <v>71</v>
      </c>
      <c r="C156" s="11" t="s">
        <v>57</v>
      </c>
      <c r="D156" s="25">
        <f>Mangochi!D156+Mangochi!E156+Mangochi!F156+Mangochi!G156+Mangochi!H156+Mangochi!I156</f>
        <v>27</v>
      </c>
      <c r="E156" s="25">
        <f>'Monkey Bay'!D156+'Monkey Bay'!E156+'Monkey Bay'!F156+'Monkey Bay'!G156+'Monkey Bay'!H156+'Monkey Bay'!I156</f>
        <v>4</v>
      </c>
      <c r="F156" s="25">
        <f>Namwera!D156+Namwera!E156+Namwera!F156+Namwera!G156+Namwera!H156+Namwera!I156</f>
        <v>3</v>
      </c>
      <c r="G156" s="25">
        <f>Nkhudzi!M156+Nkhudzi!N156+Nkhudzi!O156</f>
        <v>0</v>
      </c>
      <c r="H156" s="71">
        <f t="shared" si="63"/>
        <v>34</v>
      </c>
    </row>
    <row r="157" spans="1:8" ht="15.6" x14ac:dyDescent="0.3">
      <c r="A157" s="606"/>
      <c r="B157" s="19" t="s">
        <v>52</v>
      </c>
      <c r="C157" s="11" t="s">
        <v>57</v>
      </c>
      <c r="D157" s="25">
        <f>Mangochi!D157+Mangochi!E157+Mangochi!F157+Mangochi!G157+Mangochi!H157+Mangochi!I157</f>
        <v>11</v>
      </c>
      <c r="E157" s="25">
        <f>'Monkey Bay'!D157+'Monkey Bay'!E157+'Monkey Bay'!F157+'Monkey Bay'!G157+'Monkey Bay'!H157+'Monkey Bay'!I157</f>
        <v>8</v>
      </c>
      <c r="F157" s="25">
        <f>Namwera!D157+Namwera!E157+Namwera!F157+Namwera!G157+Namwera!H157+Namwera!I157</f>
        <v>1</v>
      </c>
      <c r="G157" s="25">
        <f>Nkhudzi!M157+Nkhudzi!N157+Nkhudzi!O157</f>
        <v>0</v>
      </c>
      <c r="H157" s="71">
        <f t="shared" si="63"/>
        <v>20</v>
      </c>
    </row>
    <row r="158" spans="1:8" ht="15.6" x14ac:dyDescent="0.3">
      <c r="A158" s="606"/>
      <c r="B158" s="19" t="s">
        <v>51</v>
      </c>
      <c r="C158" s="11" t="s">
        <v>57</v>
      </c>
      <c r="D158" s="25">
        <f>Mangochi!D158+Mangochi!E158+Mangochi!F158+Mangochi!G158+Mangochi!H158+Mangochi!I158</f>
        <v>9</v>
      </c>
      <c r="E158" s="25">
        <f>'Monkey Bay'!D158+'Monkey Bay'!E158+'Monkey Bay'!F158+'Monkey Bay'!G158+'Monkey Bay'!H158+'Monkey Bay'!I158</f>
        <v>8</v>
      </c>
      <c r="F158" s="25">
        <f>Namwera!D158+Namwera!E158+Namwera!F158+Namwera!G158+Namwera!H158+Namwera!I158</f>
        <v>1</v>
      </c>
      <c r="G158" s="25">
        <f>Nkhudzi!M158+Nkhudzi!N158+Nkhudzi!O158</f>
        <v>0</v>
      </c>
      <c r="H158" s="71">
        <f t="shared" si="63"/>
        <v>18</v>
      </c>
    </row>
    <row r="159" spans="1:8" ht="15.6" x14ac:dyDescent="0.3">
      <c r="A159" s="606"/>
      <c r="B159" s="19" t="s">
        <v>62</v>
      </c>
      <c r="C159" s="11" t="s">
        <v>57</v>
      </c>
      <c r="D159" s="25">
        <f>Mangochi!D159+Mangochi!E159+Mangochi!F159+Mangochi!G159+Mangochi!H159+Mangochi!I159</f>
        <v>0</v>
      </c>
      <c r="E159" s="25">
        <f>'Monkey Bay'!D159+'Monkey Bay'!E159+'Monkey Bay'!F159+'Monkey Bay'!G159+'Monkey Bay'!H159+'Monkey Bay'!I159</f>
        <v>0</v>
      </c>
      <c r="F159" s="25">
        <f>Namwera!D159+Namwera!E159+Namwera!F159+Namwera!G159+Namwera!H159+Namwera!I159</f>
        <v>0</v>
      </c>
      <c r="G159" s="25">
        <f>Nkhudzi!M159+Nkhudzi!N159+Nkhudzi!O159</f>
        <v>0</v>
      </c>
      <c r="H159" s="71">
        <f t="shared" si="63"/>
        <v>0</v>
      </c>
    </row>
    <row r="160" spans="1:8" ht="15.6" x14ac:dyDescent="0.3">
      <c r="A160" s="606"/>
      <c r="B160" s="19" t="s">
        <v>50</v>
      </c>
      <c r="C160" s="11" t="s">
        <v>57</v>
      </c>
      <c r="D160" s="25">
        <f>Mangochi!D160+Mangochi!E160+Mangochi!F160+Mangochi!G160+Mangochi!H160+Mangochi!I160</f>
        <v>4</v>
      </c>
      <c r="E160" s="25">
        <f>'Monkey Bay'!D160+'Monkey Bay'!E160+'Monkey Bay'!F160+'Monkey Bay'!G160+'Monkey Bay'!H160+'Monkey Bay'!I160</f>
        <v>8</v>
      </c>
      <c r="F160" s="25">
        <f>Namwera!D160+Namwera!E160+Namwera!F160+Namwera!G160+Namwera!H160+Namwera!I160</f>
        <v>0</v>
      </c>
      <c r="G160" s="25">
        <f>Nkhudzi!M160+Nkhudzi!N160+Nkhudzi!O160</f>
        <v>0</v>
      </c>
      <c r="H160" s="71">
        <f t="shared" si="63"/>
        <v>12</v>
      </c>
    </row>
    <row r="161" spans="1:8" ht="15.6" x14ac:dyDescent="0.3">
      <c r="A161" s="606"/>
      <c r="B161" s="19" t="s">
        <v>49</v>
      </c>
      <c r="C161" s="11" t="s">
        <v>57</v>
      </c>
      <c r="D161" s="25">
        <f>Mangochi!D161+Mangochi!E161+Mangochi!F161+Mangochi!G161+Mangochi!H161+Mangochi!I161</f>
        <v>0</v>
      </c>
      <c r="E161" s="25">
        <f>'Monkey Bay'!D161+'Monkey Bay'!E161+'Monkey Bay'!F161+'Monkey Bay'!G161+'Monkey Bay'!H161+'Monkey Bay'!I161</f>
        <v>0</v>
      </c>
      <c r="F161" s="25">
        <f>Namwera!D161+Namwera!E161+Namwera!F161+Namwera!G161+Namwera!H161+Namwera!I161</f>
        <v>3</v>
      </c>
      <c r="G161" s="25">
        <f>Nkhudzi!M161+Nkhudzi!N161+Nkhudzi!O161</f>
        <v>0</v>
      </c>
      <c r="H161" s="71">
        <f t="shared" si="63"/>
        <v>3</v>
      </c>
    </row>
    <row r="162" spans="1:8" ht="15.6" x14ac:dyDescent="0.3">
      <c r="A162" s="606"/>
      <c r="B162" s="19" t="s">
        <v>77</v>
      </c>
      <c r="C162" s="11" t="s">
        <v>57</v>
      </c>
      <c r="D162" s="25">
        <f>Mangochi!D162+Mangochi!E162+Mangochi!F162+Mangochi!G162+Mangochi!H162+Mangochi!I162</f>
        <v>3</v>
      </c>
      <c r="E162" s="25">
        <f>'Monkey Bay'!D162+'Monkey Bay'!E162+'Monkey Bay'!F162+'Monkey Bay'!G162+'Monkey Bay'!H162+'Monkey Bay'!I162</f>
        <v>0</v>
      </c>
      <c r="F162" s="25">
        <f>Namwera!D162+Namwera!E162+Namwera!F162+Namwera!G162+Namwera!H162+Namwera!I162</f>
        <v>0</v>
      </c>
      <c r="G162" s="25">
        <f>Nkhudzi!M162+Nkhudzi!N162+Nkhudzi!O162</f>
        <v>0</v>
      </c>
      <c r="H162" s="71">
        <f t="shared" si="63"/>
        <v>3</v>
      </c>
    </row>
    <row r="163" spans="1:8" ht="15.6" x14ac:dyDescent="0.3">
      <c r="A163" s="606"/>
      <c r="B163" s="19" t="s">
        <v>69</v>
      </c>
      <c r="C163" s="11" t="s">
        <v>57</v>
      </c>
      <c r="D163" s="25">
        <f>Mangochi!D163+Mangochi!E163+Mangochi!F163+Mangochi!G163+Mangochi!H163+Mangochi!I163</f>
        <v>0</v>
      </c>
      <c r="E163" s="25">
        <f>'Monkey Bay'!D163+'Monkey Bay'!E163+'Monkey Bay'!F163+'Monkey Bay'!G163+'Monkey Bay'!H163+'Monkey Bay'!I163</f>
        <v>0</v>
      </c>
      <c r="F163" s="25">
        <f>Namwera!D163+Namwera!E163+Namwera!F163+Namwera!G163+Namwera!H163+Namwera!I163</f>
        <v>0</v>
      </c>
      <c r="G163" s="25">
        <f>Nkhudzi!M163+Nkhudzi!N163+Nkhudzi!O163</f>
        <v>0</v>
      </c>
      <c r="H163" s="71">
        <f t="shared" si="63"/>
        <v>0</v>
      </c>
    </row>
    <row r="164" spans="1:8" ht="15.6" x14ac:dyDescent="0.3">
      <c r="A164" s="606"/>
      <c r="B164" s="19" t="s">
        <v>68</v>
      </c>
      <c r="C164" s="11" t="s">
        <v>57</v>
      </c>
      <c r="D164" s="25">
        <f>Mangochi!D164+Mangochi!E164+Mangochi!F164+Mangochi!G164+Mangochi!H164+Mangochi!I164</f>
        <v>0</v>
      </c>
      <c r="E164" s="25">
        <f>'Monkey Bay'!D164+'Monkey Bay'!E164+'Monkey Bay'!F164+'Monkey Bay'!G164+'Monkey Bay'!H164+'Monkey Bay'!I164</f>
        <v>0</v>
      </c>
      <c r="F164" s="25">
        <f>Namwera!D164+Namwera!E164+Namwera!F164+Namwera!G164+Namwera!H164+Namwera!I164</f>
        <v>0</v>
      </c>
      <c r="G164" s="25">
        <f>Nkhudzi!M164+Nkhudzi!N164+Nkhudzi!O164</f>
        <v>0</v>
      </c>
      <c r="H164" s="71">
        <f t="shared" si="63"/>
        <v>0</v>
      </c>
    </row>
    <row r="165" spans="1:8" ht="15.6" x14ac:dyDescent="0.3">
      <c r="A165" s="607"/>
      <c r="B165" s="19" t="s">
        <v>76</v>
      </c>
      <c r="C165" s="11" t="s">
        <v>57</v>
      </c>
      <c r="D165" s="25">
        <f>Mangochi!D165+Mangochi!E165+Mangochi!F165+Mangochi!G165+Mangochi!H165+Mangochi!I165</f>
        <v>0</v>
      </c>
      <c r="E165" s="25">
        <f>'Monkey Bay'!D165+'Monkey Bay'!E165+'Monkey Bay'!F165+'Monkey Bay'!G165+'Monkey Bay'!H165+'Monkey Bay'!I165</f>
        <v>0</v>
      </c>
      <c r="F165" s="25">
        <f>Namwera!D165+Namwera!E165+Namwera!F165+Namwera!G165+Namwera!H165+Namwera!I165</f>
        <v>0</v>
      </c>
      <c r="G165" s="25">
        <f>Nkhudzi!M165+Nkhudzi!N165+Nkhudzi!O165</f>
        <v>0</v>
      </c>
      <c r="H165" s="71">
        <f t="shared" si="63"/>
        <v>0</v>
      </c>
    </row>
    <row r="166" spans="1:8" ht="15.6" x14ac:dyDescent="0.3">
      <c r="A166" s="605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71">
        <f t="shared" si="63"/>
        <v>0</v>
      </c>
    </row>
    <row r="167" spans="1:8" ht="15.6" x14ac:dyDescent="0.3">
      <c r="A167" s="606"/>
      <c r="B167" s="19" t="s">
        <v>74</v>
      </c>
      <c r="C167" s="11" t="s">
        <v>57</v>
      </c>
      <c r="D167" s="25">
        <f>Mangochi!D167+Mangochi!E167+Mangochi!F167+Mangochi!G167+Mangochi!H167+Mangochi!I167</f>
        <v>7</v>
      </c>
      <c r="E167" s="25">
        <f>'Monkey Bay'!D167+'Monkey Bay'!E167+'Monkey Bay'!F167+'Monkey Bay'!G167+'Monkey Bay'!H167+'Monkey Bay'!I167</f>
        <v>0</v>
      </c>
      <c r="F167" s="25">
        <f>Namwera!D167+Namwera!E167+Namwera!F167+Namwera!G167+Namwera!H167+Namwera!I167</f>
        <v>0</v>
      </c>
      <c r="G167" s="25">
        <f>Nkhudzi!M167+Nkhudzi!N167+Nkhudzi!O167</f>
        <v>0</v>
      </c>
      <c r="H167" s="71">
        <f t="shared" si="63"/>
        <v>7</v>
      </c>
    </row>
    <row r="168" spans="1:8" ht="15.6" x14ac:dyDescent="0.3">
      <c r="A168" s="606"/>
      <c r="B168" s="19" t="s">
        <v>73</v>
      </c>
      <c r="C168" s="11" t="s">
        <v>57</v>
      </c>
      <c r="D168" s="25">
        <f>Mangochi!D168+Mangochi!E168+Mangochi!F168+Mangochi!G168+Mangochi!H168+Mangochi!I168</f>
        <v>4</v>
      </c>
      <c r="E168" s="25">
        <f>'Monkey Bay'!D168+'Monkey Bay'!E168+'Monkey Bay'!F168+'Monkey Bay'!G168+'Monkey Bay'!H168+'Monkey Bay'!I168</f>
        <v>0</v>
      </c>
      <c r="F168" s="25">
        <f>Namwera!D168+Namwera!E168+Namwera!F168+Namwera!G168+Namwera!H168+Namwera!I168</f>
        <v>0</v>
      </c>
      <c r="G168" s="25">
        <f>Nkhudzi!M168+Nkhudzi!N168+Nkhudzi!O168</f>
        <v>0</v>
      </c>
      <c r="H168" s="71">
        <f t="shared" si="63"/>
        <v>4</v>
      </c>
    </row>
    <row r="169" spans="1:8" ht="15.6" x14ac:dyDescent="0.3">
      <c r="A169" s="606"/>
      <c r="B169" s="19" t="s">
        <v>72</v>
      </c>
      <c r="C169" s="11" t="s">
        <v>57</v>
      </c>
      <c r="D169" s="25">
        <f>Mangochi!D169+Mangochi!E169+Mangochi!F169+Mangochi!G169+Mangochi!H169+Mangochi!I169</f>
        <v>0</v>
      </c>
      <c r="E169" s="25">
        <f>'Monkey Bay'!D169+'Monkey Bay'!E169+'Monkey Bay'!F169+'Monkey Bay'!G169+'Monkey Bay'!H169+'Monkey Bay'!I169</f>
        <v>0</v>
      </c>
      <c r="F169" s="25">
        <f>Namwera!D169+Namwera!E169+Namwera!F169+Namwera!G169+Namwera!H169+Namwera!I169</f>
        <v>0</v>
      </c>
      <c r="G169" s="25">
        <f>Nkhudzi!M169+Nkhudzi!N169+Nkhudzi!O169</f>
        <v>0</v>
      </c>
      <c r="H169" s="71">
        <f t="shared" si="63"/>
        <v>0</v>
      </c>
    </row>
    <row r="170" spans="1:8" ht="15.6" x14ac:dyDescent="0.3">
      <c r="A170" s="606"/>
      <c r="B170" s="19" t="s">
        <v>71</v>
      </c>
      <c r="C170" s="11" t="s">
        <v>57</v>
      </c>
      <c r="D170" s="25">
        <f>Mangochi!D170+Mangochi!E170+Mangochi!F170+Mangochi!G170+Mangochi!H170+Mangochi!I170</f>
        <v>0</v>
      </c>
      <c r="E170" s="25">
        <f>'Monkey Bay'!D170+'Monkey Bay'!E170+'Monkey Bay'!F170+'Monkey Bay'!G170+'Monkey Bay'!H170+'Monkey Bay'!I170</f>
        <v>0</v>
      </c>
      <c r="F170" s="25">
        <f>Namwera!D170+Namwera!E170+Namwera!F170+Namwera!G170+Namwera!H170+Namwera!I170</f>
        <v>0</v>
      </c>
      <c r="G170" s="25">
        <f>Nkhudzi!M170+Nkhudzi!N170+Nkhudzi!O170</f>
        <v>0</v>
      </c>
      <c r="H170" s="71">
        <f t="shared" si="63"/>
        <v>0</v>
      </c>
    </row>
    <row r="171" spans="1:8" ht="15.6" x14ac:dyDescent="0.3">
      <c r="A171" s="606"/>
      <c r="B171" s="19" t="s">
        <v>52</v>
      </c>
      <c r="C171" s="11" t="s">
        <v>57</v>
      </c>
      <c r="D171" s="25">
        <f>Mangochi!D171+Mangochi!E171+Mangochi!F171+Mangochi!G171+Mangochi!H171+Mangochi!I171</f>
        <v>0</v>
      </c>
      <c r="E171" s="25">
        <f>'Monkey Bay'!D171+'Monkey Bay'!E171+'Monkey Bay'!F171+'Monkey Bay'!G171+'Monkey Bay'!H171+'Monkey Bay'!I171</f>
        <v>0</v>
      </c>
      <c r="F171" s="25">
        <f>Namwera!D171+Namwera!E171+Namwera!F171+Namwera!G171+Namwera!H171+Namwera!I171</f>
        <v>0</v>
      </c>
      <c r="G171" s="25">
        <f>Nkhudzi!M171+Nkhudzi!N171+Nkhudzi!O171</f>
        <v>0</v>
      </c>
      <c r="H171" s="71">
        <f t="shared" si="63"/>
        <v>0</v>
      </c>
    </row>
    <row r="172" spans="1:8" ht="15.6" x14ac:dyDescent="0.3">
      <c r="A172" s="606"/>
      <c r="B172" s="19" t="s">
        <v>62</v>
      </c>
      <c r="C172" s="11" t="s">
        <v>57</v>
      </c>
      <c r="D172" s="25">
        <f>Mangochi!D172+Mangochi!E172+Mangochi!F172+Mangochi!G172+Mangochi!H172+Mangochi!I172</f>
        <v>0</v>
      </c>
      <c r="E172" s="25">
        <f>'Monkey Bay'!D172+'Monkey Bay'!E172+'Monkey Bay'!F172+'Monkey Bay'!G172+'Monkey Bay'!H172+'Monkey Bay'!I172</f>
        <v>0</v>
      </c>
      <c r="F172" s="25">
        <f>Namwera!D172+Namwera!E172+Namwera!F172+Namwera!G172+Namwera!H172+Namwera!I172</f>
        <v>0</v>
      </c>
      <c r="G172" s="25">
        <f>Nkhudzi!M172+Nkhudzi!N172+Nkhudzi!O172</f>
        <v>0</v>
      </c>
      <c r="H172" s="71">
        <f t="shared" si="63"/>
        <v>0</v>
      </c>
    </row>
    <row r="173" spans="1:8" ht="15.6" x14ac:dyDescent="0.3">
      <c r="A173" s="606"/>
      <c r="B173" s="19" t="s">
        <v>61</v>
      </c>
      <c r="C173" s="11" t="s">
        <v>57</v>
      </c>
      <c r="D173" s="25">
        <f>Mangochi!D173+Mangochi!E173+Mangochi!F173+Mangochi!G173+Mangochi!H173+Mangochi!I173</f>
        <v>0</v>
      </c>
      <c r="E173" s="25">
        <f>'Monkey Bay'!D173+'Monkey Bay'!E173+'Monkey Bay'!F173+'Monkey Bay'!G173+'Monkey Bay'!H173+'Monkey Bay'!I173</f>
        <v>0</v>
      </c>
      <c r="F173" s="25">
        <f>Namwera!D173+Namwera!E173+Namwera!F173+Namwera!G173+Namwera!H173+Namwera!I173</f>
        <v>0</v>
      </c>
      <c r="G173" s="25">
        <f>Nkhudzi!M173+Nkhudzi!N173+Nkhudzi!O173</f>
        <v>0</v>
      </c>
      <c r="H173" s="71">
        <f t="shared" si="63"/>
        <v>0</v>
      </c>
    </row>
    <row r="174" spans="1:8" ht="15.6" x14ac:dyDescent="0.3">
      <c r="A174" s="606"/>
      <c r="B174" s="19" t="s">
        <v>60</v>
      </c>
      <c r="C174" s="11" t="s">
        <v>57</v>
      </c>
      <c r="D174" s="25">
        <f>Mangochi!D174+Mangochi!E174+Mangochi!F174+Mangochi!G174+Mangochi!H174+Mangochi!I174</f>
        <v>0</v>
      </c>
      <c r="E174" s="25">
        <f>'Monkey Bay'!D174+'Monkey Bay'!E174+'Monkey Bay'!F174+'Monkey Bay'!G174+'Monkey Bay'!H174+'Monkey Bay'!I174</f>
        <v>0</v>
      </c>
      <c r="F174" s="25">
        <f>Namwera!D174+Namwera!E174+Namwera!F174+Namwera!G174+Namwera!H174+Namwera!I174</f>
        <v>0</v>
      </c>
      <c r="G174" s="25">
        <f>Nkhudzi!M174+Nkhudzi!N174+Nkhudzi!O174</f>
        <v>0</v>
      </c>
      <c r="H174" s="71">
        <f t="shared" si="63"/>
        <v>0</v>
      </c>
    </row>
    <row r="175" spans="1:8" ht="15.6" x14ac:dyDescent="0.3">
      <c r="A175" s="607"/>
      <c r="B175" s="19" t="s">
        <v>69</v>
      </c>
      <c r="C175" s="11" t="s">
        <v>57</v>
      </c>
      <c r="D175" s="25">
        <f>Mangochi!D175+Mangochi!E175+Mangochi!F175+Mangochi!G175+Mangochi!H175+Mangochi!I175</f>
        <v>0</v>
      </c>
      <c r="E175" s="25">
        <f>'Monkey Bay'!D175+'Monkey Bay'!E175+'Monkey Bay'!F175+'Monkey Bay'!G175+'Monkey Bay'!H175+'Monkey Bay'!I175</f>
        <v>0</v>
      </c>
      <c r="F175" s="25">
        <f>Namwera!D175+Namwera!E175+Namwera!F175+Namwera!G175+Namwera!H175+Namwera!I175</f>
        <v>0</v>
      </c>
      <c r="G175" s="25">
        <f>Nkhudzi!M175+Nkhudzi!N175+Nkhudzi!O175</f>
        <v>0</v>
      </c>
      <c r="H175" s="71">
        <f t="shared" si="63"/>
        <v>0</v>
      </c>
    </row>
    <row r="176" spans="1:8" ht="15.6" x14ac:dyDescent="0.3">
      <c r="A176" s="605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71">
        <f t="shared" si="63"/>
        <v>0</v>
      </c>
    </row>
    <row r="177" spans="1:8" ht="15.6" x14ac:dyDescent="0.3">
      <c r="A177" s="606"/>
      <c r="B177" s="19" t="s">
        <v>60</v>
      </c>
      <c r="C177" s="11" t="s">
        <v>57</v>
      </c>
      <c r="D177" s="25">
        <f>Mangochi!D177+Mangochi!E177+Mangochi!F177+Mangochi!G177+Mangochi!H177+Mangochi!I177</f>
        <v>0</v>
      </c>
      <c r="E177" s="25">
        <f>'Monkey Bay'!D177+'Monkey Bay'!E177+'Monkey Bay'!F177+'Monkey Bay'!G177+'Monkey Bay'!H177+'Monkey Bay'!I177</f>
        <v>0</v>
      </c>
      <c r="F177" s="25">
        <f>Namwera!D177+Namwera!E177+Namwera!F177+Namwera!G177+Namwera!H177+Namwera!I177</f>
        <v>0</v>
      </c>
      <c r="G177" s="25">
        <f>Nkhudzi!M177+Nkhudzi!N177+Nkhudzi!O177</f>
        <v>0</v>
      </c>
      <c r="H177" s="71">
        <f t="shared" si="63"/>
        <v>0</v>
      </c>
    </row>
    <row r="178" spans="1:8" ht="15.6" x14ac:dyDescent="0.3">
      <c r="A178" s="606"/>
      <c r="B178" s="19" t="s">
        <v>69</v>
      </c>
      <c r="C178" s="11" t="s">
        <v>57</v>
      </c>
      <c r="D178" s="25">
        <f>Mangochi!D178+Mangochi!E178+Mangochi!F178+Mangochi!G178+Mangochi!H178+Mangochi!I178</f>
        <v>0</v>
      </c>
      <c r="E178" s="25">
        <f>'Monkey Bay'!D178+'Monkey Bay'!E178+'Monkey Bay'!F178+'Monkey Bay'!G178+'Monkey Bay'!H178+'Monkey Bay'!I178</f>
        <v>0</v>
      </c>
      <c r="F178" s="25">
        <f>Namwera!D178+Namwera!E178+Namwera!F178+Namwera!G178+Namwera!H178+Namwera!I178</f>
        <v>0</v>
      </c>
      <c r="G178" s="25">
        <f>Nkhudzi!M178+Nkhudzi!N178+Nkhudzi!O178</f>
        <v>0</v>
      </c>
      <c r="H178" s="71">
        <f t="shared" si="63"/>
        <v>0</v>
      </c>
    </row>
    <row r="179" spans="1:8" ht="15.6" x14ac:dyDescent="0.3">
      <c r="A179" s="606"/>
      <c r="B179" s="19" t="s">
        <v>68</v>
      </c>
      <c r="C179" s="11" t="s">
        <v>57</v>
      </c>
      <c r="D179" s="25">
        <f>Mangochi!D179+Mangochi!E179+Mangochi!F179+Mangochi!G179+Mangochi!H179+Mangochi!I179</f>
        <v>0</v>
      </c>
      <c r="E179" s="25">
        <f>'Monkey Bay'!D179+'Monkey Bay'!E179+'Monkey Bay'!F179+'Monkey Bay'!G179+'Monkey Bay'!H179+'Monkey Bay'!I179</f>
        <v>0</v>
      </c>
      <c r="F179" s="25">
        <f>Namwera!D179+Namwera!E179+Namwera!F179+Namwera!G179+Namwera!H179+Namwera!I179</f>
        <v>0</v>
      </c>
      <c r="G179" s="25">
        <f>Nkhudzi!M179+Nkhudzi!N179+Nkhudzi!O179</f>
        <v>0</v>
      </c>
      <c r="H179" s="71">
        <f t="shared" si="63"/>
        <v>0</v>
      </c>
    </row>
    <row r="180" spans="1:8" ht="15.6" x14ac:dyDescent="0.3">
      <c r="A180" s="606"/>
      <c r="B180" s="19" t="s">
        <v>67</v>
      </c>
      <c r="C180" s="11" t="s">
        <v>57</v>
      </c>
      <c r="D180" s="25">
        <f>Mangochi!D180+Mangochi!E180+Mangochi!F180+Mangochi!G180+Mangochi!H180+Mangochi!I180</f>
        <v>0</v>
      </c>
      <c r="E180" s="25">
        <f>'Monkey Bay'!D180+'Monkey Bay'!E180+'Monkey Bay'!F180+'Monkey Bay'!G180+'Monkey Bay'!H180+'Monkey Bay'!I180</f>
        <v>0</v>
      </c>
      <c r="F180" s="25">
        <f>Namwera!D180+Namwera!E180+Namwera!F180+Namwera!G180+Namwera!H180+Namwera!I180</f>
        <v>0</v>
      </c>
      <c r="G180" s="25">
        <f>Nkhudzi!M180+Nkhudzi!N180+Nkhudzi!O180</f>
        <v>0</v>
      </c>
      <c r="H180" s="71">
        <f t="shared" si="63"/>
        <v>0</v>
      </c>
    </row>
    <row r="181" spans="1:8" ht="15.6" x14ac:dyDescent="0.3">
      <c r="A181" s="606"/>
      <c r="B181" s="19" t="s">
        <v>66</v>
      </c>
      <c r="C181" s="11" t="s">
        <v>57</v>
      </c>
      <c r="D181" s="25">
        <f>Mangochi!D181+Mangochi!E181+Mangochi!F181+Mangochi!G181+Mangochi!H181+Mangochi!I181</f>
        <v>0</v>
      </c>
      <c r="E181" s="25">
        <f>'Monkey Bay'!D181+'Monkey Bay'!E181+'Monkey Bay'!F181+'Monkey Bay'!G181+'Monkey Bay'!H181+'Monkey Bay'!I181</f>
        <v>0</v>
      </c>
      <c r="F181" s="25">
        <f>Namwera!D181+Namwera!E181+Namwera!F181+Namwera!G181+Namwera!H181+Namwera!I181</f>
        <v>0</v>
      </c>
      <c r="G181" s="25">
        <f>Nkhudzi!M181+Nkhudzi!N181+Nkhudzi!O181</f>
        <v>0</v>
      </c>
      <c r="H181" s="71">
        <f t="shared" si="63"/>
        <v>0</v>
      </c>
    </row>
    <row r="182" spans="1:8" ht="15.6" x14ac:dyDescent="0.3">
      <c r="A182" s="607"/>
      <c r="B182" s="19" t="s">
        <v>65</v>
      </c>
      <c r="C182" s="11" t="s">
        <v>57</v>
      </c>
      <c r="D182" s="25">
        <f>Mangochi!D182+Mangochi!E182+Mangochi!F182+Mangochi!G182+Mangochi!H182+Mangochi!I182</f>
        <v>0</v>
      </c>
      <c r="E182" s="25">
        <f>'Monkey Bay'!D182+'Monkey Bay'!E182+'Monkey Bay'!F182+'Monkey Bay'!G182+'Monkey Bay'!H182+'Monkey Bay'!I182</f>
        <v>0</v>
      </c>
      <c r="F182" s="25">
        <f>Namwera!D182+Namwera!E182+Namwera!F182+Namwera!G182+Namwera!H182+Namwera!I182</f>
        <v>0</v>
      </c>
      <c r="G182" s="25">
        <f>Nkhudzi!M182+Nkhudzi!N182+Nkhudzi!O182</f>
        <v>0</v>
      </c>
      <c r="H182" s="71">
        <f t="shared" si="63"/>
        <v>0</v>
      </c>
    </row>
    <row r="183" spans="1:8" ht="15.6" x14ac:dyDescent="0.3">
      <c r="A183" s="605" t="s">
        <v>211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71">
        <f t="shared" si="63"/>
        <v>0</v>
      </c>
    </row>
    <row r="184" spans="1:8" ht="15.6" x14ac:dyDescent="0.3">
      <c r="A184" s="606"/>
      <c r="B184" s="19" t="s">
        <v>73</v>
      </c>
      <c r="C184" s="11" t="s">
        <v>57</v>
      </c>
      <c r="D184" s="25">
        <f>Mangochi!D184+Mangochi!E184+Mangochi!F184+Mangochi!G184+Mangochi!H184+Mangochi!I184</f>
        <v>0</v>
      </c>
      <c r="E184" s="25">
        <f>Mangochi!E184+Mangochi!F184+Mangochi!G184+Mangochi!H184+Mangochi!I184+Mangochi!J184</f>
        <v>0</v>
      </c>
      <c r="F184" s="25">
        <f>Mangochi!F184+Mangochi!G184+Mangochi!H184+Mangochi!I184+Mangochi!J184+Mangochi!K184</f>
        <v>0</v>
      </c>
      <c r="G184" s="25">
        <f>Nkhudzi!M184+Nkhudzi!N184+Nkhudzi!O184</f>
        <v>0</v>
      </c>
      <c r="H184" s="71">
        <f t="shared" si="63"/>
        <v>0</v>
      </c>
    </row>
    <row r="185" spans="1:8" ht="15.6" x14ac:dyDescent="0.3">
      <c r="A185" s="606"/>
      <c r="B185" s="19" t="s">
        <v>72</v>
      </c>
      <c r="C185" s="11" t="s">
        <v>57</v>
      </c>
      <c r="D185" s="25">
        <f>Mangochi!D185+Mangochi!E185+Mangochi!F185+Mangochi!G185+Mangochi!H185+Mangochi!I185</f>
        <v>0</v>
      </c>
      <c r="E185" s="25">
        <f>Mangochi!E185+Mangochi!F185+Mangochi!G185+Mangochi!H185+Mangochi!I185+Mangochi!J185</f>
        <v>0</v>
      </c>
      <c r="F185" s="25">
        <f>Mangochi!F185+Mangochi!G185+Mangochi!H185+Mangochi!I185+Mangochi!J185+Mangochi!K185</f>
        <v>0</v>
      </c>
      <c r="G185" s="25">
        <f>Nkhudzi!M185+Nkhudzi!N185+Nkhudzi!O185</f>
        <v>0</v>
      </c>
      <c r="H185" s="71">
        <f t="shared" si="63"/>
        <v>0</v>
      </c>
    </row>
    <row r="186" spans="1:8" ht="15.6" x14ac:dyDescent="0.3">
      <c r="A186" s="606"/>
      <c r="B186" s="19" t="s">
        <v>53</v>
      </c>
      <c r="C186" s="11" t="s">
        <v>57</v>
      </c>
      <c r="D186" s="25">
        <f>Mangochi!D186+Mangochi!E186+Mangochi!F186+Mangochi!G186+Mangochi!H186+Mangochi!I186</f>
        <v>0</v>
      </c>
      <c r="E186" s="25">
        <f>Mangochi!E186+Mangochi!F186+Mangochi!G186+Mangochi!H186+Mangochi!I186+Mangochi!J186</f>
        <v>0</v>
      </c>
      <c r="F186" s="25">
        <f>Mangochi!F186+Mangochi!G186+Mangochi!H186+Mangochi!I186+Mangochi!J186+Mangochi!K186</f>
        <v>0</v>
      </c>
      <c r="G186" s="25">
        <f>Nkhudzi!M186+Nkhudzi!N186+Nkhudzi!O186</f>
        <v>0</v>
      </c>
      <c r="H186" s="71">
        <f t="shared" si="63"/>
        <v>0</v>
      </c>
    </row>
    <row r="187" spans="1:8" ht="15.6" x14ac:dyDescent="0.3">
      <c r="A187" s="607"/>
      <c r="B187" s="19" t="s">
        <v>52</v>
      </c>
      <c r="C187" s="11" t="s">
        <v>57</v>
      </c>
      <c r="D187" s="25">
        <f>Mangochi!D187+Mangochi!E187+Mangochi!F187+Mangochi!G187+Mangochi!H187+Mangochi!I187</f>
        <v>0</v>
      </c>
      <c r="E187" s="25">
        <f>Mangochi!E187+Mangochi!F187+Mangochi!G187+Mangochi!H187+Mangochi!I187+Mangochi!J187</f>
        <v>0</v>
      </c>
      <c r="F187" s="25">
        <f>Mangochi!F187+Mangochi!G187+Mangochi!H187+Mangochi!I187+Mangochi!J187+Mangochi!K187</f>
        <v>0</v>
      </c>
      <c r="G187" s="25">
        <f>Nkhudzi!M187+Nkhudzi!N187+Nkhudzi!O187</f>
        <v>0</v>
      </c>
      <c r="H187" s="71">
        <f t="shared" si="63"/>
        <v>0</v>
      </c>
    </row>
    <row r="188" spans="1:8" ht="15.6" x14ac:dyDescent="0.3">
      <c r="A188" s="605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71">
        <f t="shared" si="63"/>
        <v>0</v>
      </c>
    </row>
    <row r="189" spans="1:8" ht="15.6" x14ac:dyDescent="0.3">
      <c r="A189" s="606"/>
      <c r="B189" s="20" t="s">
        <v>52</v>
      </c>
      <c r="C189" s="11" t="s">
        <v>57</v>
      </c>
      <c r="D189" s="25">
        <f>Mangochi!D189+Mangochi!E189+Mangochi!F189+Mangochi!G189+Mangochi!H189+Mangochi!I189</f>
        <v>0</v>
      </c>
      <c r="E189" s="25">
        <f>'Monkey Bay'!D189+'Monkey Bay'!E189+'Monkey Bay'!F189+'Monkey Bay'!G189+'Monkey Bay'!H189+'Monkey Bay'!I189</f>
        <v>0</v>
      </c>
      <c r="F189" s="25">
        <f>Namwera!D189+Namwera!E189+Namwera!F189+Namwera!G189+Namwera!H189+Namwera!I189</f>
        <v>0</v>
      </c>
      <c r="G189" s="25">
        <f>Nkhudzi!M189+Nkhudzi!N189+Nkhudzi!O189</f>
        <v>0</v>
      </c>
      <c r="H189" s="71">
        <f t="shared" si="63"/>
        <v>0</v>
      </c>
    </row>
    <row r="190" spans="1:8" ht="15.6" x14ac:dyDescent="0.3">
      <c r="A190" s="606"/>
      <c r="B190" s="19" t="s">
        <v>62</v>
      </c>
      <c r="C190" s="11" t="s">
        <v>57</v>
      </c>
      <c r="D190" s="25">
        <f>Mangochi!D190+Mangochi!E190+Mangochi!F190+Mangochi!G190+Mangochi!H190+Mangochi!I190</f>
        <v>0</v>
      </c>
      <c r="E190" s="25">
        <f>'Monkey Bay'!D190+'Monkey Bay'!E190+'Monkey Bay'!F190+'Monkey Bay'!G190+'Monkey Bay'!H190+'Monkey Bay'!I190</f>
        <v>0</v>
      </c>
      <c r="F190" s="25">
        <f>Namwera!D190+Namwera!E190+Namwera!F190+Namwera!G190+Namwera!H190+Namwera!I190</f>
        <v>0</v>
      </c>
      <c r="G190" s="25">
        <f>Nkhudzi!M190+Nkhudzi!N190+Nkhudzi!O190</f>
        <v>0</v>
      </c>
      <c r="H190" s="71">
        <f t="shared" si="63"/>
        <v>0</v>
      </c>
    </row>
    <row r="191" spans="1:8" ht="15.6" x14ac:dyDescent="0.3">
      <c r="A191" s="606"/>
      <c r="B191" s="19" t="s">
        <v>61</v>
      </c>
      <c r="C191" s="11" t="s">
        <v>57</v>
      </c>
      <c r="D191" s="25">
        <f>Mangochi!D191+Mangochi!E191+Mangochi!F191+Mangochi!G191+Mangochi!H191+Mangochi!I191</f>
        <v>0</v>
      </c>
      <c r="E191" s="25">
        <f>'Monkey Bay'!D191+'Monkey Bay'!E191+'Monkey Bay'!F191+'Monkey Bay'!G191+'Monkey Bay'!H191+'Monkey Bay'!I191</f>
        <v>0</v>
      </c>
      <c r="F191" s="25">
        <f>Namwera!D191+Namwera!E191+Namwera!F191+Namwera!G191+Namwera!H191+Namwera!I191</f>
        <v>0</v>
      </c>
      <c r="G191" s="25">
        <f>Nkhudzi!M191+Nkhudzi!N191+Nkhudzi!O191</f>
        <v>0</v>
      </c>
      <c r="H191" s="71">
        <f t="shared" si="63"/>
        <v>0</v>
      </c>
    </row>
    <row r="192" spans="1:8" ht="15.6" x14ac:dyDescent="0.3">
      <c r="A192" s="607"/>
      <c r="B192" s="19" t="s">
        <v>60</v>
      </c>
      <c r="C192" s="11" t="s">
        <v>57</v>
      </c>
      <c r="D192" s="25">
        <f>Mangochi!D192+Mangochi!E192+Mangochi!F192+Mangochi!G192+Mangochi!H192+Mangochi!I192</f>
        <v>2</v>
      </c>
      <c r="E192" s="25">
        <f>'Monkey Bay'!D192+'Monkey Bay'!E192+'Monkey Bay'!F192+'Monkey Bay'!G192+'Monkey Bay'!H192+'Monkey Bay'!I192</f>
        <v>0</v>
      </c>
      <c r="F192" s="25">
        <f>Namwera!D192+Namwera!E192+Namwera!F192+Namwera!G192+Namwera!H192+Namwera!I192</f>
        <v>0</v>
      </c>
      <c r="G192" s="25">
        <f>Nkhudzi!M192+Nkhudzi!N192+Nkhudzi!O192</f>
        <v>0</v>
      </c>
      <c r="H192" s="71">
        <f t="shared" si="63"/>
        <v>2</v>
      </c>
    </row>
    <row r="193" spans="1:8" ht="15.6" x14ac:dyDescent="0.3">
      <c r="A193" s="608" t="s">
        <v>59</v>
      </c>
      <c r="B193" s="609"/>
      <c r="C193" s="11"/>
      <c r="D193" s="10">
        <f>SUM(D153:D192)</f>
        <v>398</v>
      </c>
      <c r="E193" s="10">
        <f t="shared" ref="E193:H193" si="64">SUM(E153:E192)</f>
        <v>51</v>
      </c>
      <c r="F193" s="10">
        <f t="shared" si="64"/>
        <v>79</v>
      </c>
      <c r="G193" s="10">
        <f t="shared" si="64"/>
        <v>0</v>
      </c>
      <c r="H193" s="146">
        <f t="shared" si="64"/>
        <v>528</v>
      </c>
    </row>
    <row r="194" spans="1:8" ht="15.6" x14ac:dyDescent="0.3">
      <c r="A194" s="610" t="s">
        <v>58</v>
      </c>
      <c r="B194" s="611"/>
      <c r="C194" s="11" t="s">
        <v>57</v>
      </c>
      <c r="D194" s="25">
        <f>Mangochi!D194+Mangochi!E194+Mangochi!F194+Mangochi!G194+Mangochi!H194+Mangochi!I194</f>
        <v>14</v>
      </c>
      <c r="E194" s="25">
        <f>'Monkey Bay'!D194+'Monkey Bay'!E194+'Monkey Bay'!F194+'Monkey Bay'!G194+'Monkey Bay'!H194+'Monkey Bay'!I194</f>
        <v>12</v>
      </c>
      <c r="F194" s="25">
        <f>Namwera!D194+Namwera!E194+Namwera!F194+Namwera!G194+Namwera!H194+Namwera!I194</f>
        <v>4</v>
      </c>
      <c r="G194" s="25">
        <f>Nkhudzi!M194+Nkhudzi!N194+Nkhudzi!O194</f>
        <v>0</v>
      </c>
      <c r="H194" s="71">
        <f t="shared" ref="H194:H195" si="65">SUM(D194:G194)</f>
        <v>30</v>
      </c>
    </row>
    <row r="195" spans="1:8" ht="15.6" x14ac:dyDescent="0.3">
      <c r="A195" s="612"/>
      <c r="B195" s="613"/>
      <c r="C195" s="16" t="s">
        <v>55</v>
      </c>
      <c r="D195" s="25">
        <f>Mangochi!D195+Mangochi!E195+Mangochi!F195+Mangochi!G195+Mangochi!H195+Mangochi!I195</f>
        <v>1310.5</v>
      </c>
      <c r="E195" s="25">
        <f>'Monkey Bay'!D195+'Monkey Bay'!E195+'Monkey Bay'!F195+'Monkey Bay'!G195+'Monkey Bay'!H195+'Monkey Bay'!I195</f>
        <v>1192</v>
      </c>
      <c r="F195" s="25">
        <f>Namwera!D195+Namwera!E195+Namwera!F195+Namwera!G195+Namwera!H195+Namwera!I195</f>
        <v>1152</v>
      </c>
      <c r="G195" s="25">
        <f>Nkhudzi!M195+Nkhudzi!N195+Nkhudzi!O195</f>
        <v>0</v>
      </c>
      <c r="H195" s="71">
        <f t="shared" si="65"/>
        <v>3654.5</v>
      </c>
    </row>
    <row r="196" spans="1:8" ht="15.6" x14ac:dyDescent="0.3">
      <c r="A196" s="161" t="s">
        <v>204</v>
      </c>
      <c r="B196" s="162"/>
      <c r="C196" s="16" t="s">
        <v>55</v>
      </c>
      <c r="D196" s="25">
        <f>Mangochi!I196</f>
        <v>0</v>
      </c>
      <c r="E196" s="25">
        <f>'Monkey Bay'!I196</f>
        <v>0</v>
      </c>
      <c r="F196" s="25">
        <f>Namwera!I196</f>
        <v>0</v>
      </c>
      <c r="G196" s="25">
        <f>Nkhudzi!M196+Nkhudzi!N196+Nkhudzi!O196</f>
        <v>0</v>
      </c>
      <c r="H196" s="71"/>
    </row>
    <row r="197" spans="1:8" ht="15.6" x14ac:dyDescent="0.3">
      <c r="A197" s="549" t="s">
        <v>56</v>
      </c>
      <c r="B197" s="550"/>
      <c r="C197" s="16" t="s">
        <v>55</v>
      </c>
      <c r="D197" s="25">
        <f>Mangochi!D197+Mangochi!E197+Mangochi!F197+Mangochi!G197+Mangochi!H197+Mangochi!I197</f>
        <v>75</v>
      </c>
      <c r="E197" s="25">
        <f>'Monkey Bay'!D197+'Monkey Bay'!E197+'Monkey Bay'!F197+'Monkey Bay'!G197+'Monkey Bay'!H197+'Monkey Bay'!I197</f>
        <v>276</v>
      </c>
      <c r="F197" s="25">
        <f>Namwera!D197+Namwera!E197+Namwera!F197+Namwera!G197+Namwera!H197+Namwera!I197</f>
        <v>312</v>
      </c>
      <c r="G197" s="25">
        <f>Nkhudzi!M197+Nkhudzi!N197+Nkhudzi!O197</f>
        <v>0</v>
      </c>
      <c r="H197" s="71">
        <f t="shared" ref="H197" si="66">SUM(D197:G197)</f>
        <v>663</v>
      </c>
    </row>
    <row r="198" spans="1:8" x14ac:dyDescent="0.3">
      <c r="A198" s="543" t="s">
        <v>205</v>
      </c>
      <c r="B198" s="544"/>
      <c r="C198" s="544"/>
      <c r="D198" s="544"/>
      <c r="E198" s="544"/>
      <c r="F198" s="544"/>
      <c r="G198" s="544"/>
      <c r="H198" s="546"/>
    </row>
    <row r="199" spans="1:8" ht="15.6" x14ac:dyDescent="0.3">
      <c r="A199" s="610" t="s">
        <v>54</v>
      </c>
      <c r="B199" s="158" t="s">
        <v>53</v>
      </c>
      <c r="C199" s="11" t="s">
        <v>47</v>
      </c>
      <c r="D199" s="25">
        <f>Mangochi!D199+Mangochi!E199+Mangochi!F199+Mangochi!G199+Mangochi!H199+Mangochi!I199</f>
        <v>0</v>
      </c>
      <c r="E199" s="25">
        <f>'Monkey Bay'!D199+'Monkey Bay'!E199+'Monkey Bay'!F199+'Monkey Bay'!G199+'Monkey Bay'!H199+'Monkey Bay'!I199</f>
        <v>0</v>
      </c>
      <c r="F199" s="25">
        <f>Namwera!D199+Namwera!E199+Namwera!F199+Namwera!G199+Namwera!H199+Namwera!I199</f>
        <v>0</v>
      </c>
      <c r="G199" s="25">
        <f>Nkhudzi!M199+Nkhudzi!N199+Nkhudzi!O199</f>
        <v>0</v>
      </c>
      <c r="H199" s="152">
        <f t="shared" ref="H199:H203" si="67">SUM(D199:G199)</f>
        <v>0</v>
      </c>
    </row>
    <row r="200" spans="1:8" ht="15.6" x14ac:dyDescent="0.3">
      <c r="A200" s="614"/>
      <c r="B200" s="158" t="s">
        <v>52</v>
      </c>
      <c r="C200" s="11" t="s">
        <v>47</v>
      </c>
      <c r="D200" s="25">
        <f>Mangochi!D200+Mangochi!E200+Mangochi!F200+Mangochi!G200+Mangochi!H200+Mangochi!I200</f>
        <v>0</v>
      </c>
      <c r="E200" s="25">
        <f>'Monkey Bay'!D200+'Monkey Bay'!E200+'Monkey Bay'!F200+'Monkey Bay'!G200+'Monkey Bay'!H200+'Monkey Bay'!I200</f>
        <v>0</v>
      </c>
      <c r="F200" s="25">
        <f>Namwera!D200+Namwera!E200+Namwera!F200+Namwera!G200+Namwera!H200+Namwera!I200</f>
        <v>0</v>
      </c>
      <c r="G200" s="25">
        <f>Nkhudzi!M200+Nkhudzi!N200+Nkhudzi!O200</f>
        <v>0</v>
      </c>
      <c r="H200" s="152">
        <f t="shared" si="67"/>
        <v>0</v>
      </c>
    </row>
    <row r="201" spans="1:8" ht="15.6" x14ac:dyDescent="0.3">
      <c r="A201" s="614"/>
      <c r="B201" s="158" t="s">
        <v>51</v>
      </c>
      <c r="C201" s="11" t="s">
        <v>47</v>
      </c>
      <c r="D201" s="25">
        <f>Mangochi!D201+Mangochi!E201+Mangochi!F201+Mangochi!G201+Mangochi!H201+Mangochi!I201</f>
        <v>0</v>
      </c>
      <c r="E201" s="25">
        <f>'Monkey Bay'!D201+'Monkey Bay'!E201+'Monkey Bay'!F201+'Monkey Bay'!G201+'Monkey Bay'!H201+'Monkey Bay'!I201</f>
        <v>0</v>
      </c>
      <c r="F201" s="25">
        <f>Namwera!D201+Namwera!E201+Namwera!F201+Namwera!G201+Namwera!H201+Namwera!I201</f>
        <v>0</v>
      </c>
      <c r="G201" s="25">
        <f>Nkhudzi!M201+Nkhudzi!N201+Nkhudzi!O201</f>
        <v>0</v>
      </c>
      <c r="H201" s="152">
        <f t="shared" si="67"/>
        <v>0</v>
      </c>
    </row>
    <row r="202" spans="1:8" ht="15.6" x14ac:dyDescent="0.3">
      <c r="A202" s="614"/>
      <c r="B202" s="158" t="s">
        <v>50</v>
      </c>
      <c r="C202" s="11" t="s">
        <v>47</v>
      </c>
      <c r="D202" s="25">
        <f>Mangochi!D202+Mangochi!E202+Mangochi!F202+Mangochi!G202+Mangochi!H202+Mangochi!I202</f>
        <v>0</v>
      </c>
      <c r="E202" s="25">
        <f>'Monkey Bay'!D202+'Monkey Bay'!E202+'Monkey Bay'!F202+'Monkey Bay'!G202+'Monkey Bay'!H202+'Monkey Bay'!I202</f>
        <v>0</v>
      </c>
      <c r="F202" s="25">
        <f>Namwera!D202+Namwera!E202+Namwera!F202+Namwera!G202+Namwera!H202+Namwera!I202</f>
        <v>150</v>
      </c>
      <c r="G202" s="25">
        <f>Nkhudzi!M202+Nkhudzi!N202+Nkhudzi!O202</f>
        <v>0</v>
      </c>
      <c r="H202" s="152">
        <f t="shared" si="67"/>
        <v>150</v>
      </c>
    </row>
    <row r="203" spans="1:8" ht="15.6" x14ac:dyDescent="0.3">
      <c r="A203" s="612"/>
      <c r="B203" s="158" t="s">
        <v>49</v>
      </c>
      <c r="C203" s="11" t="s">
        <v>47</v>
      </c>
      <c r="D203" s="25">
        <f>Mangochi!D203+Mangochi!E203+Mangochi!F203+Mangochi!G203+Mangochi!H203+Mangochi!I203</f>
        <v>0</v>
      </c>
      <c r="E203" s="25">
        <f>'Monkey Bay'!D203+'Monkey Bay'!E203+'Monkey Bay'!F203+'Monkey Bay'!G203+'Monkey Bay'!H203+'Monkey Bay'!I203</f>
        <v>0</v>
      </c>
      <c r="F203" s="25">
        <f>Namwera!D203+Namwera!E203+Namwera!F203+Namwera!G203+Namwera!H203+Namwera!I203</f>
        <v>0</v>
      </c>
      <c r="G203" s="25">
        <f>Nkhudzi!M203+Nkhudzi!N203+Nkhudzi!O203</f>
        <v>0</v>
      </c>
      <c r="H203" s="152">
        <f t="shared" si="67"/>
        <v>0</v>
      </c>
    </row>
    <row r="204" spans="1:8" ht="15.6" x14ac:dyDescent="0.3">
      <c r="A204" s="80" t="s">
        <v>48</v>
      </c>
      <c r="B204" s="158"/>
      <c r="C204" s="11" t="s">
        <v>47</v>
      </c>
      <c r="D204" s="15">
        <f t="shared" ref="D204:F204" si="68">SUM(D199:D203)</f>
        <v>0</v>
      </c>
      <c r="E204" s="15">
        <f t="shared" si="68"/>
        <v>0</v>
      </c>
      <c r="F204" s="15">
        <f t="shared" si="68"/>
        <v>150</v>
      </c>
      <c r="G204" s="15">
        <f t="shared" ref="G204" si="69">SUM(G199:G203)</f>
        <v>0</v>
      </c>
      <c r="H204" s="152">
        <f t="shared" ref="H204" si="70">SUM(D204:F204)</f>
        <v>150</v>
      </c>
    </row>
    <row r="205" spans="1:8" s="2" customFormat="1" x14ac:dyDescent="0.3">
      <c r="A205" s="543" t="s">
        <v>46</v>
      </c>
      <c r="B205" s="544"/>
      <c r="C205" s="544"/>
      <c r="D205" s="544"/>
      <c r="E205" s="544"/>
      <c r="F205" s="544"/>
      <c r="G205" s="544"/>
      <c r="H205" s="546"/>
    </row>
    <row r="206" spans="1:8" ht="15.6" x14ac:dyDescent="0.3">
      <c r="A206" s="549" t="s">
        <v>43</v>
      </c>
      <c r="B206" s="550"/>
      <c r="C206" s="11" t="s">
        <v>31</v>
      </c>
      <c r="D206" s="15">
        <f>Mangochi!D206+Mangochi!E206+Mangochi!F206+Mangochi!G206+Mangochi!H206+Mangochi!I206</f>
        <v>138079353</v>
      </c>
      <c r="E206" s="15">
        <f>'Monkey Bay'!D206+'Monkey Bay'!E206+'Monkey Bay'!F206+'Monkey Bay'!G206+'Monkey Bay'!H206+'Monkey Bay'!I206</f>
        <v>34392603</v>
      </c>
      <c r="F206" s="15">
        <f>Namwera!D206+Namwera!E206+Namwera!F206+Namwera!G206+Namwera!H206+Namwera!I206</f>
        <v>0</v>
      </c>
      <c r="G206" s="15">
        <f>Nkhudzi!M206+Nkhudzi!N206+Nkhudzi!O206</f>
        <v>0</v>
      </c>
      <c r="H206" s="38">
        <f t="shared" ref="H206:H209" si="71">SUM(D206:G206)</f>
        <v>172471956</v>
      </c>
    </row>
    <row r="207" spans="1:8" ht="15.6" x14ac:dyDescent="0.3">
      <c r="A207" s="549" t="s">
        <v>42</v>
      </c>
      <c r="B207" s="550"/>
      <c r="C207" s="11" t="s">
        <v>31</v>
      </c>
      <c r="D207" s="15">
        <f>Mangochi!D207+Mangochi!E207+Mangochi!F207+Mangochi!G207+Mangochi!H207+Mangochi!I207</f>
        <v>0</v>
      </c>
      <c r="E207" s="15">
        <f>'Monkey Bay'!D207+'Monkey Bay'!E207+'Monkey Bay'!F207+'Monkey Bay'!G207+'Monkey Bay'!H207+'Monkey Bay'!I207</f>
        <v>0</v>
      </c>
      <c r="F207" s="15">
        <f>Namwera!D207+Namwera!E207+Namwera!F207+Namwera!G207+Namwera!H207+Namwera!I207</f>
        <v>0</v>
      </c>
      <c r="G207" s="15">
        <f>Nkhudzi!M207+Nkhudzi!N207+Nkhudzi!O207</f>
        <v>0</v>
      </c>
      <c r="H207" s="38">
        <f t="shared" si="71"/>
        <v>0</v>
      </c>
    </row>
    <row r="208" spans="1:8" ht="15.6" x14ac:dyDescent="0.3">
      <c r="A208" s="547" t="s">
        <v>41</v>
      </c>
      <c r="B208" s="548"/>
      <c r="C208" s="11" t="s">
        <v>31</v>
      </c>
      <c r="D208" s="15">
        <f>Mangochi!D208+Mangochi!E208+Mangochi!F208+Mangochi!G208+Mangochi!H208+Mangochi!I208</f>
        <v>644967.22</v>
      </c>
      <c r="E208" s="15">
        <f>'Monkey Bay'!D208+'Monkey Bay'!E208+'Monkey Bay'!F208+'Monkey Bay'!G208+'Monkey Bay'!H208+'Monkey Bay'!I208</f>
        <v>0</v>
      </c>
      <c r="F208" s="15">
        <f>Namwera!D208+Namwera!E208+Namwera!F208+Namwera!G208+Namwera!H208+Namwera!I208</f>
        <v>0</v>
      </c>
      <c r="G208" s="15">
        <f>Nkhudzi!M208+Nkhudzi!N208+Nkhudzi!O208</f>
        <v>0</v>
      </c>
      <c r="H208" s="38">
        <f t="shared" si="71"/>
        <v>644967.22</v>
      </c>
    </row>
    <row r="209" spans="1:8" ht="15.6" x14ac:dyDescent="0.3">
      <c r="A209" s="549" t="s">
        <v>40</v>
      </c>
      <c r="B209" s="550"/>
      <c r="C209" s="11" t="s">
        <v>31</v>
      </c>
      <c r="D209" s="15">
        <f>Mangochi!D209+Mangochi!E209+Mangochi!F209+Mangochi!G209+Mangochi!H209+Mangochi!I209</f>
        <v>296984.44</v>
      </c>
      <c r="E209" s="15">
        <f>'Monkey Bay'!D209+'Monkey Bay'!E209+'Monkey Bay'!F209+'Monkey Bay'!G209+'Monkey Bay'!H209+'Monkey Bay'!I209</f>
        <v>25000</v>
      </c>
      <c r="F209" s="15">
        <f>Namwera!D209+Namwera!E209+Namwera!F209+Namwera!G209+Namwera!H209+Namwera!I209</f>
        <v>0</v>
      </c>
      <c r="G209" s="15">
        <f>Nkhudzi!M209+Nkhudzi!N209+Nkhudzi!O209</f>
        <v>0</v>
      </c>
      <c r="H209" s="38">
        <f t="shared" si="71"/>
        <v>321984.44</v>
      </c>
    </row>
    <row r="210" spans="1:8" ht="15.6" x14ac:dyDescent="0.3">
      <c r="A210" s="618" t="s">
        <v>45</v>
      </c>
      <c r="B210" s="619"/>
      <c r="C210" s="11" t="s">
        <v>31</v>
      </c>
      <c r="D210" s="10">
        <f t="shared" ref="D210:G210" si="72">SUM(D206:D209)</f>
        <v>139021304.66</v>
      </c>
      <c r="E210" s="10">
        <f t="shared" si="72"/>
        <v>34417603</v>
      </c>
      <c r="F210" s="10">
        <f t="shared" si="72"/>
        <v>0</v>
      </c>
      <c r="G210" s="10">
        <f t="shared" si="72"/>
        <v>0</v>
      </c>
      <c r="H210" s="38">
        <f>SUM(D210:F210)</f>
        <v>173438907.66</v>
      </c>
    </row>
    <row r="211" spans="1:8" s="2" customFormat="1" x14ac:dyDescent="0.3">
      <c r="A211" s="543" t="s">
        <v>44</v>
      </c>
      <c r="B211" s="544"/>
      <c r="C211" s="544"/>
      <c r="D211" s="544"/>
      <c r="E211" s="544"/>
      <c r="F211" s="544"/>
      <c r="G211" s="544"/>
      <c r="H211" s="546"/>
    </row>
    <row r="212" spans="1:8" ht="15.6" x14ac:dyDescent="0.3">
      <c r="A212" s="549" t="s">
        <v>43</v>
      </c>
      <c r="B212" s="550"/>
      <c r="C212" s="11" t="s">
        <v>31</v>
      </c>
      <c r="D212" s="15">
        <f>Mangochi!D212+Mangochi!E212+Mangochi!F212+Mangochi!G212+Mangochi!H212+Mangochi!I212</f>
        <v>68172134</v>
      </c>
      <c r="E212" s="15">
        <f>'Monkey Bay'!D212+'Monkey Bay'!E212+'Monkey Bay'!F212+'Monkey Bay'!G212+'Monkey Bay'!H212+'Monkey Bay'!I212</f>
        <v>22723262</v>
      </c>
      <c r="F212" s="15">
        <f>Namwera!D212+Namwera!E212+Namwera!F212+Namwera!G212+Namwera!H212+Namwera!I212</f>
        <v>10393423</v>
      </c>
      <c r="G212" s="15">
        <f>Nkhudzi!M212+Nkhudzi!N212+Nkhudzi!O212</f>
        <v>0</v>
      </c>
      <c r="H212" s="38">
        <f t="shared" ref="H212:H215" si="73">SUM(D212:G212)</f>
        <v>101288819</v>
      </c>
    </row>
    <row r="213" spans="1:8" ht="15.6" x14ac:dyDescent="0.3">
      <c r="A213" s="549" t="s">
        <v>42</v>
      </c>
      <c r="B213" s="550"/>
      <c r="C213" s="11" t="s">
        <v>31</v>
      </c>
      <c r="D213" s="15">
        <f>Mangochi!D213+Mangochi!E213+Mangochi!F213+Mangochi!G213+Mangochi!H213+Mangochi!I213</f>
        <v>1956780</v>
      </c>
      <c r="E213" s="15">
        <f>'Monkey Bay'!D213+'Monkey Bay'!E213+'Monkey Bay'!F213+'Monkey Bay'!G213+'Monkey Bay'!H213+'Monkey Bay'!I213</f>
        <v>476930</v>
      </c>
      <c r="F213" s="15">
        <f>Namwera!D213+Namwera!E213+Namwera!F213+Namwera!G213+Namwera!H213+Namwera!I213</f>
        <v>0</v>
      </c>
      <c r="G213" s="15">
        <f>Nkhudzi!M213+Nkhudzi!N213+Nkhudzi!O213</f>
        <v>0</v>
      </c>
      <c r="H213" s="38">
        <f t="shared" si="73"/>
        <v>2433710</v>
      </c>
    </row>
    <row r="214" spans="1:8" ht="15.6" x14ac:dyDescent="0.3">
      <c r="A214" s="547" t="s">
        <v>41</v>
      </c>
      <c r="B214" s="548"/>
      <c r="C214" s="11" t="s">
        <v>31</v>
      </c>
      <c r="D214" s="15">
        <f>Mangochi!D214+Mangochi!E214+Mangochi!F214+Mangochi!G214+Mangochi!H214+Mangochi!I214</f>
        <v>20453908</v>
      </c>
      <c r="E214" s="15">
        <f>'Monkey Bay'!D214+'Monkey Bay'!E214+'Monkey Bay'!F214+'Monkey Bay'!G214+'Monkey Bay'!H214+'Monkey Bay'!I214</f>
        <v>5560835</v>
      </c>
      <c r="F214" s="15">
        <f>Namwera!D214+Namwera!E214+Namwera!F214+Namwera!G214+Namwera!H214+Namwera!I214</f>
        <v>131900</v>
      </c>
      <c r="G214" s="15">
        <f>Nkhudzi!M214+Nkhudzi!N214+Nkhudzi!O214</f>
        <v>0</v>
      </c>
      <c r="H214" s="38">
        <f t="shared" si="73"/>
        <v>26146643</v>
      </c>
    </row>
    <row r="215" spans="1:8" ht="15.6" x14ac:dyDescent="0.3">
      <c r="A215" s="549" t="s">
        <v>40</v>
      </c>
      <c r="B215" s="550"/>
      <c r="C215" s="11" t="s">
        <v>31</v>
      </c>
      <c r="D215" s="15">
        <f>Mangochi!D215+Mangochi!E215+Mangochi!F215+Mangochi!G215+Mangochi!H215+Mangochi!I215</f>
        <v>32996257</v>
      </c>
      <c r="E215" s="15">
        <f>'Monkey Bay'!D215+'Monkey Bay'!E215+'Monkey Bay'!F215+'Monkey Bay'!G215+'Monkey Bay'!H215+'Monkey Bay'!I215</f>
        <v>13920250</v>
      </c>
      <c r="F215" s="15">
        <f>Namwera!D215+Namwera!E215+Namwera!F215+Namwera!G215+Namwera!H215+Namwera!I215</f>
        <v>2291200</v>
      </c>
      <c r="G215" s="15">
        <f>Nkhudzi!M215+Nkhudzi!N215+Nkhudzi!O215</f>
        <v>0</v>
      </c>
      <c r="H215" s="38">
        <f t="shared" si="73"/>
        <v>49207707</v>
      </c>
    </row>
    <row r="216" spans="1:8" ht="15.6" x14ac:dyDescent="0.3">
      <c r="A216" s="618" t="s">
        <v>39</v>
      </c>
      <c r="B216" s="619"/>
      <c r="C216" s="11" t="s">
        <v>31</v>
      </c>
      <c r="D216" s="10">
        <f t="shared" ref="D216:G216" si="74">SUM(D212:D215)</f>
        <v>123579079</v>
      </c>
      <c r="E216" s="10">
        <f t="shared" si="74"/>
        <v>42681277</v>
      </c>
      <c r="F216" s="10">
        <f t="shared" si="74"/>
        <v>12816523</v>
      </c>
      <c r="G216" s="10">
        <f t="shared" si="74"/>
        <v>0</v>
      </c>
      <c r="H216" s="38">
        <f>SUM(D216:F216)</f>
        <v>179076879</v>
      </c>
    </row>
    <row r="217" spans="1:8" s="2" customFormat="1" ht="15.6" x14ac:dyDescent="0.3">
      <c r="A217" s="163" t="s">
        <v>38</v>
      </c>
      <c r="B217" s="164"/>
      <c r="C217" s="11" t="s">
        <v>31</v>
      </c>
      <c r="D217" s="10">
        <f>D210+D216</f>
        <v>262600383.66</v>
      </c>
      <c r="E217" s="10">
        <f t="shared" ref="E217:H217" si="75">E210+E216</f>
        <v>77098880</v>
      </c>
      <c r="F217" s="10">
        <f t="shared" si="75"/>
        <v>12816523</v>
      </c>
      <c r="G217" s="10">
        <f t="shared" si="75"/>
        <v>0</v>
      </c>
      <c r="H217" s="39">
        <f t="shared" si="75"/>
        <v>352515786.65999997</v>
      </c>
    </row>
    <row r="218" spans="1:8" s="2" customFormat="1" x14ac:dyDescent="0.3">
      <c r="A218" s="543" t="s">
        <v>37</v>
      </c>
      <c r="B218" s="544"/>
      <c r="C218" s="544"/>
      <c r="D218" s="544"/>
      <c r="E218" s="544"/>
      <c r="F218" s="544"/>
      <c r="G218" s="544"/>
      <c r="H218" s="546"/>
    </row>
    <row r="219" spans="1:8" ht="15.6" x14ac:dyDescent="0.3">
      <c r="A219" s="549" t="s">
        <v>35</v>
      </c>
      <c r="B219" s="550"/>
      <c r="C219" s="11" t="s">
        <v>31</v>
      </c>
      <c r="D219" s="15">
        <f>Mangochi!D219+Mangochi!E219+Mangochi!F219+Mangochi!G219+Mangochi!H219+Mangochi!I219</f>
        <v>103871615</v>
      </c>
      <c r="E219" s="15">
        <f>'Monkey Bay'!D219+'Monkey Bay'!E219+'Monkey Bay'!F219+'Monkey Bay'!G219+'Monkey Bay'!H219+'Monkey Bay'!I219</f>
        <v>32803912</v>
      </c>
      <c r="F219" s="15">
        <f>Namwera!D219+Namwera!E219+Namwera!F219+Namwera!G219+Namwera!H219+Namwera!I219</f>
        <v>27149.520000000004</v>
      </c>
      <c r="G219" s="15">
        <f>Nkhudzi!M219+Nkhudzi!N219+Nkhudzi!O219</f>
        <v>0</v>
      </c>
      <c r="H219" s="38">
        <f t="shared" ref="H219:H222" si="76">SUM(D219:G219)</f>
        <v>136702676.52000001</v>
      </c>
    </row>
    <row r="220" spans="1:8" ht="15.6" x14ac:dyDescent="0.3">
      <c r="A220" s="549" t="s">
        <v>34</v>
      </c>
      <c r="B220" s="550"/>
      <c r="C220" s="11" t="s">
        <v>31</v>
      </c>
      <c r="D220" s="15">
        <f>Mangochi!D220+Mangochi!E220+Mangochi!F220+Mangochi!G220+Mangochi!H220+Mangochi!I220</f>
        <v>0</v>
      </c>
      <c r="E220" s="15">
        <f>'Monkey Bay'!D220+'Monkey Bay'!E220+'Monkey Bay'!F220+'Monkey Bay'!G220+'Monkey Bay'!H220+'Monkey Bay'!I220</f>
        <v>0</v>
      </c>
      <c r="F220" s="15">
        <f>Namwera!D220+Namwera!E220+Namwera!F220+Namwera!G220+Namwera!H220+Namwera!I220</f>
        <v>0</v>
      </c>
      <c r="G220" s="15">
        <f>Nkhudzi!M220+Nkhudzi!N220+Nkhudzi!O220</f>
        <v>0</v>
      </c>
      <c r="H220" s="38">
        <f t="shared" si="76"/>
        <v>0</v>
      </c>
    </row>
    <row r="221" spans="1:8" ht="15.6" x14ac:dyDescent="0.3">
      <c r="A221" s="549" t="s">
        <v>33</v>
      </c>
      <c r="B221" s="550"/>
      <c r="C221" s="11" t="s">
        <v>31</v>
      </c>
      <c r="D221" s="15">
        <f>Mangochi!D221+Mangochi!E221+Mangochi!F221+Mangochi!G221+Mangochi!H221+Mangochi!I221</f>
        <v>969483.47</v>
      </c>
      <c r="E221" s="15">
        <f>'Monkey Bay'!D221+'Monkey Bay'!E221+'Monkey Bay'!F221+'Monkey Bay'!G221+'Monkey Bay'!H221+'Monkey Bay'!I221</f>
        <v>30630014.32</v>
      </c>
      <c r="F221" s="15">
        <f>Namwera!D221+Namwera!E221+Namwera!F221+Namwera!G221+Namwera!H221+Namwera!I221</f>
        <v>16821.98</v>
      </c>
      <c r="G221" s="15">
        <f>Nkhudzi!M221+Nkhudzi!N221+Nkhudzi!O221</f>
        <v>0</v>
      </c>
      <c r="H221" s="38">
        <f t="shared" si="76"/>
        <v>31616319.77</v>
      </c>
    </row>
    <row r="222" spans="1:8" ht="15.6" x14ac:dyDescent="0.3">
      <c r="A222" s="549" t="s">
        <v>32</v>
      </c>
      <c r="B222" s="550"/>
      <c r="C222" s="11" t="s">
        <v>31</v>
      </c>
      <c r="D222" s="15">
        <f>Mangochi!D222+Mangochi!E222+Mangochi!F222+Mangochi!G222+Mangochi!H222+Mangochi!I222</f>
        <v>629248.61</v>
      </c>
      <c r="E222" s="15">
        <f>'Monkey Bay'!D222+'Monkey Bay'!E222+'Monkey Bay'!F222+'Monkey Bay'!G222+'Monkey Bay'!H222+'Monkey Bay'!I222</f>
        <v>0</v>
      </c>
      <c r="F222" s="15">
        <f>Namwera!D222+Namwera!E222+Namwera!F222+Namwera!G222+Namwera!H222+Namwera!I222</f>
        <v>0</v>
      </c>
      <c r="G222" s="15">
        <f>Nkhudzi!M222+Nkhudzi!N222+Nkhudzi!O222</f>
        <v>0</v>
      </c>
      <c r="H222" s="38">
        <f t="shared" si="76"/>
        <v>629248.61</v>
      </c>
    </row>
    <row r="223" spans="1:8" ht="15.6" x14ac:dyDescent="0.3">
      <c r="A223" s="618" t="s">
        <v>36</v>
      </c>
      <c r="B223" s="619"/>
      <c r="C223" s="11" t="s">
        <v>31</v>
      </c>
      <c r="D223" s="12">
        <f t="shared" ref="D223:G223" si="77">SUM(D219:D222)</f>
        <v>105470347.08</v>
      </c>
      <c r="E223" s="10">
        <f t="shared" si="77"/>
        <v>63433926.32</v>
      </c>
      <c r="F223" s="10">
        <f t="shared" si="77"/>
        <v>43971.5</v>
      </c>
      <c r="G223" s="10">
        <f t="shared" si="77"/>
        <v>0</v>
      </c>
      <c r="H223" s="38">
        <f>SUM(D223:F223)</f>
        <v>168948244.90000001</v>
      </c>
    </row>
    <row r="224" spans="1:8" x14ac:dyDescent="0.3">
      <c r="A224" s="543" t="s">
        <v>213</v>
      </c>
      <c r="B224" s="544"/>
      <c r="C224" s="544"/>
      <c r="D224" s="544"/>
      <c r="E224" s="544"/>
      <c r="F224" s="544"/>
      <c r="G224" s="544"/>
      <c r="H224" s="546"/>
    </row>
    <row r="225" spans="1:8" ht="15.6" x14ac:dyDescent="0.3">
      <c r="A225" s="549" t="s">
        <v>35</v>
      </c>
      <c r="B225" s="550"/>
      <c r="C225" s="11" t="s">
        <v>31</v>
      </c>
      <c r="D225" s="15">
        <f>Mangochi!D225+Mangochi!E225+Mangochi!F225+Mangochi!G225+Mangochi!H225+Mangochi!I225</f>
        <v>68244962.879999995</v>
      </c>
      <c r="E225" s="15">
        <f>'Monkey Bay'!D225+'Monkey Bay'!E225+'Monkey Bay'!F225+'Monkey Bay'!G225+'Monkey Bay'!H225+'Monkey Bay'!I225</f>
        <v>22674753.380000003</v>
      </c>
      <c r="F225" s="15">
        <f>Namwera!D225+Namwera!E225+Namwera!F225+Namwera!G225+Namwera!H225+Namwera!I225</f>
        <v>8541326.9200000018</v>
      </c>
      <c r="G225" s="15">
        <f>Nkhudzi!M225+Nkhudzi!N225+Nkhudzi!O225</f>
        <v>0</v>
      </c>
      <c r="H225" s="38">
        <f t="shared" ref="H225:H230" si="78">SUM(D225:G225)</f>
        <v>99461043.179999992</v>
      </c>
    </row>
    <row r="226" spans="1:8" ht="15.6" x14ac:dyDescent="0.3">
      <c r="A226" s="549" t="s">
        <v>34</v>
      </c>
      <c r="B226" s="550"/>
      <c r="C226" s="11" t="s">
        <v>31</v>
      </c>
      <c r="D226" s="15">
        <f>Mangochi!D226+Mangochi!E226+Mangochi!F226+Mangochi!G226+Mangochi!H226+Mangochi!I226</f>
        <v>1956780</v>
      </c>
      <c r="E226" s="15">
        <f>'Monkey Bay'!D226+'Monkey Bay'!E226+'Monkey Bay'!F226+'Monkey Bay'!G226+'Monkey Bay'!H226+'Monkey Bay'!I226</f>
        <v>476930</v>
      </c>
      <c r="F226" s="15">
        <f>Namwera!D226+Namwera!E226+Namwera!F226+Namwera!G226+Namwera!H226+Namwera!I226</f>
        <v>0</v>
      </c>
      <c r="G226" s="15">
        <f>Nkhudzi!M226+Nkhudzi!N226+Nkhudzi!O226</f>
        <v>0</v>
      </c>
      <c r="H226" s="38">
        <f t="shared" si="78"/>
        <v>2433710</v>
      </c>
    </row>
    <row r="227" spans="1:8" ht="15.6" x14ac:dyDescent="0.3">
      <c r="A227" s="549" t="s">
        <v>33</v>
      </c>
      <c r="B227" s="550"/>
      <c r="C227" s="11" t="s">
        <v>31</v>
      </c>
      <c r="D227" s="15">
        <f>Mangochi!D227+Mangochi!E227+Mangochi!F227+Mangochi!G227+Mangochi!H227+Mangochi!I227</f>
        <v>32984257</v>
      </c>
      <c r="E227" s="15">
        <f>'Monkey Bay'!D227+'Monkey Bay'!E227+'Monkey Bay'!F227+'Monkey Bay'!G227+'Monkey Bay'!H227+'Monkey Bay'!I227</f>
        <v>13976950</v>
      </c>
      <c r="F227" s="15">
        <f>Namwera!D227+Namwera!E227+Namwera!F227+Namwera!G227+Namwera!H227+Namwera!I227</f>
        <v>2291200</v>
      </c>
      <c r="G227" s="15">
        <f>Nkhudzi!M227+Nkhudzi!N227+Nkhudzi!O227</f>
        <v>0</v>
      </c>
      <c r="H227" s="38">
        <f t="shared" si="78"/>
        <v>49252407</v>
      </c>
    </row>
    <row r="228" spans="1:8" ht="15.6" x14ac:dyDescent="0.3">
      <c r="A228" s="549" t="s">
        <v>32</v>
      </c>
      <c r="B228" s="550"/>
      <c r="C228" s="11" t="s">
        <v>31</v>
      </c>
      <c r="D228" s="15">
        <f>Mangochi!D228+Mangochi!E228+Mangochi!F228+Mangochi!G228+Mangochi!H228+Mangochi!I228</f>
        <v>20486178</v>
      </c>
      <c r="E228" s="15">
        <f>'Monkey Bay'!D228+'Monkey Bay'!E228+'Monkey Bay'!F228+'Monkey Bay'!G228+'Monkey Bay'!H228+'Monkey Bay'!I228</f>
        <v>5511245</v>
      </c>
      <c r="F228" s="15">
        <f>Namwera!D228+Namwera!E228+Namwera!F228+Namwera!G228+Namwera!H228+Namwera!I228</f>
        <v>131900</v>
      </c>
      <c r="G228" s="15">
        <f>Nkhudzi!M228+Nkhudzi!N228+Nkhudzi!O228</f>
        <v>0</v>
      </c>
      <c r="H228" s="38">
        <f t="shared" si="78"/>
        <v>26129323</v>
      </c>
    </row>
    <row r="229" spans="1:8" ht="15.6" x14ac:dyDescent="0.3">
      <c r="A229" s="618" t="s">
        <v>214</v>
      </c>
      <c r="B229" s="619"/>
      <c r="C229" s="11" t="s">
        <v>31</v>
      </c>
      <c r="D229" s="12">
        <f t="shared" ref="D229:F229" si="79">SUM(D225:D228)</f>
        <v>123672177.88</v>
      </c>
      <c r="E229" s="10">
        <f t="shared" si="79"/>
        <v>42639878.380000003</v>
      </c>
      <c r="F229" s="10">
        <f t="shared" si="79"/>
        <v>10964426.920000002</v>
      </c>
      <c r="G229" s="10">
        <f t="shared" ref="G229" si="80">SUM(G225:G228)</f>
        <v>0</v>
      </c>
      <c r="H229" s="38">
        <f t="shared" si="78"/>
        <v>177276483.18000001</v>
      </c>
    </row>
    <row r="230" spans="1:8" ht="15.6" x14ac:dyDescent="0.3">
      <c r="A230" s="163" t="s">
        <v>215</v>
      </c>
      <c r="B230" s="114"/>
      <c r="C230" s="11" t="s">
        <v>31</v>
      </c>
      <c r="D230" s="12">
        <f>D223+D229</f>
        <v>229142524.95999998</v>
      </c>
      <c r="E230" s="12">
        <f t="shared" ref="E230:G230" si="81">E223+E229</f>
        <v>106073804.7</v>
      </c>
      <c r="F230" s="12">
        <f t="shared" si="81"/>
        <v>11008398.420000002</v>
      </c>
      <c r="G230" s="12">
        <f t="shared" si="81"/>
        <v>0</v>
      </c>
      <c r="H230" s="38">
        <f t="shared" si="78"/>
        <v>346224728.07999998</v>
      </c>
    </row>
    <row r="231" spans="1:8" x14ac:dyDescent="0.3">
      <c r="A231" s="543" t="s">
        <v>30</v>
      </c>
      <c r="B231" s="544"/>
      <c r="C231" s="544"/>
      <c r="D231" s="544"/>
      <c r="E231" s="544"/>
      <c r="F231" s="544"/>
      <c r="G231" s="544"/>
      <c r="H231" s="546"/>
    </row>
    <row r="232" spans="1:8" ht="15.6" x14ac:dyDescent="0.3">
      <c r="A232" s="549" t="s">
        <v>29</v>
      </c>
      <c r="B232" s="550"/>
      <c r="C232" s="11" t="s">
        <v>18</v>
      </c>
      <c r="D232" s="15">
        <f>Mangochi!D232+Mangochi!E232+Mangochi!F232+Mangochi!G232+Mangochi!H232+Mangochi!I232</f>
        <v>4883471</v>
      </c>
      <c r="E232" s="15">
        <f>'Monkey Bay'!D232+'Monkey Bay'!E232+'Monkey Bay'!F232+'Monkey Bay'!G232+'Monkey Bay'!H232+'Monkey Bay'!I232</f>
        <v>1506712</v>
      </c>
      <c r="F232" s="15">
        <f>Namwera!D232+Namwera!E232+Namwera!F232+Namwera!G232+Namwera!H232+Namwera!I232</f>
        <v>3720</v>
      </c>
      <c r="G232" s="15">
        <f>Nkhudzi!M232+Nkhudzi!N232+Nkhudzi!O232</f>
        <v>0</v>
      </c>
      <c r="H232" s="38">
        <f t="shared" ref="H232:H235" si="82">SUM(D232:G232)</f>
        <v>6393903</v>
      </c>
    </row>
    <row r="233" spans="1:8" ht="15.6" x14ac:dyDescent="0.3">
      <c r="A233" s="549" t="s">
        <v>28</v>
      </c>
      <c r="B233" s="550"/>
      <c r="C233" s="11" t="s">
        <v>18</v>
      </c>
      <c r="D233" s="15">
        <f>Mangochi!D233+Mangochi!E233+Mangochi!F233+Mangochi!G233+Mangochi!H233+Mangochi!I233</f>
        <v>0</v>
      </c>
      <c r="E233" s="15">
        <f>'Monkey Bay'!D233+'Monkey Bay'!E233+'Monkey Bay'!F233+'Monkey Bay'!G233+'Monkey Bay'!H233+'Monkey Bay'!I233</f>
        <v>0</v>
      </c>
      <c r="F233" s="15">
        <f>Namwera!D233+Namwera!E233+Namwera!F233+Namwera!G233+Namwera!H233+Namwera!I233</f>
        <v>0</v>
      </c>
      <c r="G233" s="15">
        <f>Nkhudzi!M233+Nkhudzi!N233+Nkhudzi!O233</f>
        <v>0</v>
      </c>
      <c r="H233" s="38">
        <f t="shared" si="82"/>
        <v>0</v>
      </c>
    </row>
    <row r="234" spans="1:8" ht="15.6" x14ac:dyDescent="0.3">
      <c r="A234" s="549" t="s">
        <v>27</v>
      </c>
      <c r="B234" s="550"/>
      <c r="C234" s="11" t="s">
        <v>18</v>
      </c>
      <c r="D234" s="15">
        <f>Mangochi!D234+Mangochi!E234+Mangochi!F234+Mangochi!G234+Mangochi!H234+Mangochi!I234</f>
        <v>27149.119999999999</v>
      </c>
      <c r="E234" s="15">
        <f>'Monkey Bay'!D234+'Monkey Bay'!E234+'Monkey Bay'!F234+'Monkey Bay'!G234+'Monkey Bay'!H234+'Monkey Bay'!I234</f>
        <v>67872.800000000003</v>
      </c>
      <c r="F234" s="15">
        <f>Namwera!D234+Namwera!E234+Namwera!F234+Namwera!G234+Namwera!H234+Namwera!I234</f>
        <v>6787.28</v>
      </c>
      <c r="G234" s="15">
        <f>Nkhudzi!M234+Nkhudzi!N234+Nkhudzi!O234</f>
        <v>0</v>
      </c>
      <c r="H234" s="38">
        <f t="shared" si="82"/>
        <v>101809.2</v>
      </c>
    </row>
    <row r="235" spans="1:8" ht="15.6" x14ac:dyDescent="0.3">
      <c r="A235" s="549" t="s">
        <v>26</v>
      </c>
      <c r="B235" s="550"/>
      <c r="C235" s="11" t="s">
        <v>18</v>
      </c>
      <c r="D235" s="15">
        <f>Mangochi!D235+Mangochi!E235+Mangochi!F235+Mangochi!G235+Mangochi!H235+Mangochi!I235</f>
        <v>23186.7</v>
      </c>
      <c r="E235" s="15">
        <f>'Monkey Bay'!D235+'Monkey Bay'!E235+'Monkey Bay'!F235+'Monkey Bay'!G235+'Monkey Bay'!H235+'Monkey Bay'!I235</f>
        <v>0</v>
      </c>
      <c r="F235" s="15">
        <f>Namwera!D235+Namwera!E235+Namwera!F235+Namwera!G235+Namwera!H235+Namwera!I235</f>
        <v>0</v>
      </c>
      <c r="G235" s="15">
        <f>Nkhudzi!M235+Nkhudzi!N235+Nkhudzi!O235</f>
        <v>0</v>
      </c>
      <c r="H235" s="38">
        <f t="shared" si="82"/>
        <v>23186.7</v>
      </c>
    </row>
    <row r="236" spans="1:8" ht="15.6" x14ac:dyDescent="0.3">
      <c r="A236" s="618" t="s">
        <v>25</v>
      </c>
      <c r="B236" s="619"/>
      <c r="C236" s="11" t="s">
        <v>18</v>
      </c>
      <c r="D236" s="12">
        <f t="shared" ref="D236:F236" si="83">SUM(D232:D235)</f>
        <v>4933806.82</v>
      </c>
      <c r="E236" s="10">
        <f t="shared" si="83"/>
        <v>1574584.8</v>
      </c>
      <c r="F236" s="10">
        <f t="shared" si="83"/>
        <v>10507.279999999999</v>
      </c>
      <c r="G236" s="12"/>
      <c r="H236" s="39">
        <f t="shared" ref="H236" si="84">SUM(H232:H235)</f>
        <v>6518898.9000000004</v>
      </c>
    </row>
    <row r="237" spans="1:8" x14ac:dyDescent="0.3">
      <c r="A237" s="543" t="s">
        <v>24</v>
      </c>
      <c r="B237" s="544"/>
      <c r="C237" s="544"/>
      <c r="D237" s="544"/>
      <c r="E237" s="544"/>
      <c r="F237" s="544"/>
      <c r="G237" s="544"/>
      <c r="H237" s="546"/>
    </row>
    <row r="238" spans="1:8" ht="15.6" x14ac:dyDescent="0.3">
      <c r="A238" s="549" t="s">
        <v>23</v>
      </c>
      <c r="B238" s="550"/>
      <c r="C238" s="11" t="s">
        <v>18</v>
      </c>
      <c r="D238" s="15">
        <f>Mangochi!D238+Mangochi!E238+Mangochi!F238+Mangochi!G238+Mangochi!H238+Mangochi!I238</f>
        <v>8028963</v>
      </c>
      <c r="E238" s="15">
        <f>'Monkey Bay'!D238+'Monkey Bay'!E238+'Monkey Bay'!F238+'Monkey Bay'!G238+'Monkey Bay'!H238+'Monkey Bay'!I238</f>
        <v>2656675</v>
      </c>
      <c r="F238" s="15">
        <f>Namwera!D238+Namwera!E238+Namwera!F238+Namwera!G238+Namwera!H238+Namwera!I238</f>
        <v>5358</v>
      </c>
      <c r="G238" s="15">
        <f>Nkhudzi!M238+Nkhudzi!N238+Nkhudzi!O238</f>
        <v>0</v>
      </c>
      <c r="H238" s="38">
        <f t="shared" ref="H238:H242" si="85">SUM(D238:G238)</f>
        <v>10690996</v>
      </c>
    </row>
    <row r="239" spans="1:8" ht="15.6" x14ac:dyDescent="0.3">
      <c r="A239" s="549" t="s">
        <v>22</v>
      </c>
      <c r="B239" s="550"/>
      <c r="C239" s="11" t="s">
        <v>18</v>
      </c>
      <c r="D239" s="15">
        <f>Mangochi!D239+Mangochi!E239+Mangochi!F239+Mangochi!G239+Mangochi!H239+Mangochi!I239</f>
        <v>0</v>
      </c>
      <c r="E239" s="15">
        <f>'Monkey Bay'!D239+'Monkey Bay'!E239+'Monkey Bay'!F239+'Monkey Bay'!G239+'Monkey Bay'!H239+'Monkey Bay'!I239</f>
        <v>0</v>
      </c>
      <c r="F239" s="15">
        <f>Namwera!D239+Namwera!E239+Namwera!F239+Namwera!G239+Namwera!H239+Namwera!I239</f>
        <v>0</v>
      </c>
      <c r="G239" s="15">
        <f>Nkhudzi!M239+Nkhudzi!N239+Nkhudzi!O239</f>
        <v>0</v>
      </c>
      <c r="H239" s="38">
        <f t="shared" si="85"/>
        <v>0</v>
      </c>
    </row>
    <row r="240" spans="1:8" ht="15.6" x14ac:dyDescent="0.3">
      <c r="A240" s="549" t="s">
        <v>21</v>
      </c>
      <c r="B240" s="550"/>
      <c r="C240" s="11" t="s">
        <v>18</v>
      </c>
      <c r="D240" s="15">
        <f>Mangochi!D240+Mangochi!E240+Mangochi!F240+Mangochi!G240+Mangochi!H240+Mangochi!I240</f>
        <v>7144</v>
      </c>
      <c r="E240" s="15">
        <f>'Monkey Bay'!D240+'Monkey Bay'!E240+'Monkey Bay'!F240+'Monkey Bay'!G240+'Monkey Bay'!H240+'Monkey Bay'!I240</f>
        <v>17860</v>
      </c>
      <c r="F240" s="15">
        <f>Namwera!D240+Namwera!E240+Namwera!F240+Namwera!G240+Namwera!H240+Namwera!I240</f>
        <v>1786</v>
      </c>
      <c r="G240" s="15">
        <f>Nkhudzi!M240+Nkhudzi!N240+Nkhudzi!O240</f>
        <v>0</v>
      </c>
      <c r="H240" s="38">
        <f t="shared" si="85"/>
        <v>26790</v>
      </c>
    </row>
    <row r="241" spans="1:8" ht="15.6" x14ac:dyDescent="0.3">
      <c r="A241" s="549" t="s">
        <v>20</v>
      </c>
      <c r="B241" s="550"/>
      <c r="C241" s="11" t="s">
        <v>18</v>
      </c>
      <c r="D241" s="15">
        <f>Mangochi!D241+Mangochi!E241+Mangochi!F241+Mangochi!G241+Mangochi!H241+Mangochi!I241</f>
        <v>4465</v>
      </c>
      <c r="E241" s="15">
        <f>'Monkey Bay'!D241+'Monkey Bay'!E241+'Monkey Bay'!F241+'Monkey Bay'!G241+'Monkey Bay'!H241+'Monkey Bay'!I241</f>
        <v>0</v>
      </c>
      <c r="F241" s="15">
        <f>Namwera!D241+Namwera!E241+Namwera!F241+Namwera!G241+Namwera!H241+Namwera!I241</f>
        <v>0</v>
      </c>
      <c r="G241" s="15">
        <f>Nkhudzi!M241+Nkhudzi!N241+Nkhudzi!O241</f>
        <v>0</v>
      </c>
      <c r="H241" s="38">
        <f t="shared" si="85"/>
        <v>4465</v>
      </c>
    </row>
    <row r="242" spans="1:8" ht="15.6" x14ac:dyDescent="0.3">
      <c r="A242" s="618" t="s">
        <v>19</v>
      </c>
      <c r="B242" s="619"/>
      <c r="C242" s="11" t="s">
        <v>18</v>
      </c>
      <c r="D242" s="12">
        <f t="shared" ref="D242:G242" si="86">SUM(D238:D241)</f>
        <v>8040572</v>
      </c>
      <c r="E242" s="12">
        <f t="shared" si="86"/>
        <v>2674535</v>
      </c>
      <c r="F242" s="12">
        <f t="shared" si="86"/>
        <v>7144</v>
      </c>
      <c r="G242" s="12">
        <f t="shared" si="86"/>
        <v>0</v>
      </c>
      <c r="H242" s="39">
        <f t="shared" si="85"/>
        <v>10722251</v>
      </c>
    </row>
    <row r="243" spans="1:8" ht="15.6" x14ac:dyDescent="0.3">
      <c r="A243" s="618" t="s">
        <v>216</v>
      </c>
      <c r="B243" s="619"/>
      <c r="C243" s="11" t="s">
        <v>18</v>
      </c>
      <c r="D243" s="10">
        <f>D230+D236+D242</f>
        <v>242116903.77999997</v>
      </c>
      <c r="E243" s="10">
        <f t="shared" ref="E243:G243" si="87">E230+E236+E242</f>
        <v>110322924.5</v>
      </c>
      <c r="F243" s="10">
        <f t="shared" si="87"/>
        <v>11026049.700000001</v>
      </c>
      <c r="G243" s="10">
        <f t="shared" si="87"/>
        <v>0</v>
      </c>
      <c r="H243" s="39">
        <f t="shared" ref="H243" si="88">H216+H223+H236+H242</f>
        <v>365266273.79999995</v>
      </c>
    </row>
    <row r="244" spans="1:8" x14ac:dyDescent="0.3">
      <c r="A244" s="543" t="s">
        <v>206</v>
      </c>
      <c r="B244" s="544"/>
      <c r="C244" s="544"/>
      <c r="D244" s="544"/>
      <c r="E244" s="544"/>
      <c r="F244" s="544"/>
      <c r="G244" s="544"/>
      <c r="H244" s="546"/>
    </row>
    <row r="245" spans="1:8" ht="15.6" x14ac:dyDescent="0.3">
      <c r="A245" s="622" t="s">
        <v>207</v>
      </c>
      <c r="B245" s="623"/>
      <c r="C245" s="11" t="s">
        <v>18</v>
      </c>
      <c r="D245" s="25">
        <f>Mangochi!I245</f>
        <v>0</v>
      </c>
      <c r="E245" s="25">
        <f>'Monkey Bay'!I245</f>
        <v>0</v>
      </c>
      <c r="F245" s="25">
        <f>Namwera!I245</f>
        <v>0</v>
      </c>
      <c r="G245" s="15">
        <f>Nkhudzi!M245+Nkhudzi!N245+Nkhudzi!O245</f>
        <v>0</v>
      </c>
      <c r="H245" s="38">
        <f t="shared" ref="H245:H246" si="89">SUM(D245:G245)</f>
        <v>0</v>
      </c>
    </row>
    <row r="246" spans="1:8" ht="15.6" x14ac:dyDescent="0.3">
      <c r="A246" s="622" t="s">
        <v>208</v>
      </c>
      <c r="B246" s="623"/>
      <c r="C246" s="11" t="s">
        <v>18</v>
      </c>
      <c r="D246" s="25">
        <f>Mangochi!I246</f>
        <v>0</v>
      </c>
      <c r="E246" s="25">
        <f>'Monkey Bay'!I246</f>
        <v>0</v>
      </c>
      <c r="F246" s="25">
        <f>Namwera!I246</f>
        <v>0</v>
      </c>
      <c r="G246" s="15">
        <f>Nkhudzi!M246+Nkhudzi!N246+Nkhudzi!O246</f>
        <v>0</v>
      </c>
      <c r="H246" s="38">
        <f t="shared" si="89"/>
        <v>0</v>
      </c>
    </row>
    <row r="247" spans="1:8" ht="15.6" x14ac:dyDescent="0.3">
      <c r="A247" s="624" t="s">
        <v>209</v>
      </c>
      <c r="B247" s="625"/>
      <c r="C247" s="11" t="s">
        <v>18</v>
      </c>
      <c r="D247" s="69">
        <f>D245+D246</f>
        <v>0</v>
      </c>
      <c r="E247" s="69">
        <f t="shared" ref="E247:H247" si="90">E245+E246</f>
        <v>0</v>
      </c>
      <c r="F247" s="69">
        <f t="shared" si="90"/>
        <v>0</v>
      </c>
      <c r="G247" s="173">
        <f t="shared" si="90"/>
        <v>0</v>
      </c>
      <c r="H247" s="150">
        <f t="shared" si="90"/>
        <v>0</v>
      </c>
    </row>
    <row r="248" spans="1:8" x14ac:dyDescent="0.3">
      <c r="A248" s="543" t="s">
        <v>17</v>
      </c>
      <c r="B248" s="544"/>
      <c r="C248" s="544"/>
      <c r="D248" s="544"/>
      <c r="E248" s="544"/>
      <c r="F248" s="544"/>
      <c r="G248" s="544"/>
      <c r="H248" s="546"/>
    </row>
    <row r="249" spans="1:8" ht="15.6" x14ac:dyDescent="0.3">
      <c r="A249" s="567" t="s">
        <v>16</v>
      </c>
      <c r="B249" s="568"/>
      <c r="C249" s="5" t="s">
        <v>6</v>
      </c>
      <c r="D249" s="8">
        <f>D58/D243%</f>
        <v>40.96268267750439</v>
      </c>
      <c r="E249" s="8">
        <f t="shared" ref="E249:H249" si="91">E58/E243%</f>
        <v>20.743780810941061</v>
      </c>
      <c r="F249" s="8">
        <f t="shared" si="91"/>
        <v>112.33881350997353</v>
      </c>
      <c r="G249" s="8" t="e">
        <f t="shared" si="91"/>
        <v>#DIV/0!</v>
      </c>
      <c r="H249" s="106">
        <f t="shared" si="91"/>
        <v>54.507433475069455</v>
      </c>
    </row>
    <row r="250" spans="1:8" ht="15.6" x14ac:dyDescent="0.3">
      <c r="A250" s="567" t="s">
        <v>210</v>
      </c>
      <c r="B250" s="568"/>
      <c r="C250" s="5" t="s">
        <v>6</v>
      </c>
      <c r="D250" s="28">
        <f>D210/(D223+D245)%</f>
        <v>131.81079659721928</v>
      </c>
      <c r="E250" s="28">
        <f t="shared" ref="E250:H250" si="92">E210/(E223+E245)%</f>
        <v>54.257406086415493</v>
      </c>
      <c r="F250" s="28">
        <f t="shared" si="92"/>
        <v>0</v>
      </c>
      <c r="G250" s="28" t="e">
        <f t="shared" si="92"/>
        <v>#DIV/0!</v>
      </c>
      <c r="H250" s="103">
        <f t="shared" si="92"/>
        <v>102.65801089715848</v>
      </c>
    </row>
    <row r="251" spans="1:8" ht="16.2" thickBot="1" x14ac:dyDescent="0.35">
      <c r="A251" s="620" t="s">
        <v>15</v>
      </c>
      <c r="B251" s="621"/>
      <c r="C251" s="5" t="s">
        <v>6</v>
      </c>
      <c r="D251" s="7">
        <f>D210/D223%</f>
        <v>131.81079659721928</v>
      </c>
      <c r="E251" s="7">
        <f t="shared" ref="E251:H251" si="93">E210/E223%</f>
        <v>54.257406086415493</v>
      </c>
      <c r="F251" s="7">
        <f t="shared" si="93"/>
        <v>0</v>
      </c>
      <c r="G251" s="7" t="e">
        <f t="shared" si="93"/>
        <v>#DIV/0!</v>
      </c>
      <c r="H251" s="107">
        <f t="shared" si="93"/>
        <v>102.65801089715848</v>
      </c>
    </row>
    <row r="252" spans="1:8" x14ac:dyDescent="0.3">
      <c r="A252" s="599" t="s">
        <v>14</v>
      </c>
      <c r="B252" s="600"/>
      <c r="C252" s="600"/>
      <c r="D252" s="600"/>
      <c r="E252" s="600"/>
      <c r="F252" s="600"/>
      <c r="G252" s="600"/>
      <c r="H252" s="601"/>
    </row>
    <row r="253" spans="1:8" s="2" customFormat="1" ht="15" customHeight="1" x14ac:dyDescent="0.3">
      <c r="A253" s="567" t="s">
        <v>13</v>
      </c>
      <c r="B253" s="568"/>
      <c r="C253" s="5" t="s">
        <v>3</v>
      </c>
      <c r="D253" s="15">
        <f>Mangochi!D253+Mangochi!E253+Mangochi!F253+Mangochi!G253+Mangochi!H253+Mangochi!I253</f>
        <v>3664</v>
      </c>
      <c r="E253" s="15">
        <f>'Monkey Bay'!D253+'Monkey Bay'!E253+'Monkey Bay'!F253+'Monkey Bay'!G253+'Monkey Bay'!H253+'Monkey Bay'!I253</f>
        <v>74</v>
      </c>
      <c r="F253" s="15">
        <f>Namwera!D253+Namwera!E253+Namwera!F253+Namwera!G253+Namwera!H253+Namwera!I253</f>
        <v>88</v>
      </c>
      <c r="G253" s="25">
        <f>Nkhudzi!M253+Nkhudzi!N253+Nkhudzi!O253</f>
        <v>0</v>
      </c>
      <c r="H253" s="108">
        <f t="shared" ref="H253:H257" si="94">SUM(D253:G253)</f>
        <v>3826</v>
      </c>
    </row>
    <row r="254" spans="1:8" s="2" customFormat="1" ht="15.6" x14ac:dyDescent="0.3">
      <c r="A254" s="567" t="s">
        <v>12</v>
      </c>
      <c r="B254" s="568"/>
      <c r="C254" s="5" t="s">
        <v>3</v>
      </c>
      <c r="D254" s="15">
        <f>Mangochi!D254+Mangochi!E254+Mangochi!F254+Mangochi!G254+Mangochi!H254+Mangochi!I254</f>
        <v>2</v>
      </c>
      <c r="E254" s="15">
        <f>'Monkey Bay'!D254+'Monkey Bay'!E254+'Monkey Bay'!F254+'Monkey Bay'!G254+'Monkey Bay'!H254+'Monkey Bay'!I254</f>
        <v>1</v>
      </c>
      <c r="F254" s="15">
        <f>Namwera!D254+Namwera!E254+Namwera!F254+Namwera!G254+Namwera!H254+Namwera!I254</f>
        <v>2</v>
      </c>
      <c r="G254" s="25">
        <f>Nkhudzi!M254+Nkhudzi!N254+Nkhudzi!O254</f>
        <v>0</v>
      </c>
      <c r="H254" s="108">
        <f t="shared" si="94"/>
        <v>5</v>
      </c>
    </row>
    <row r="255" spans="1:8" ht="15.75" customHeight="1" x14ac:dyDescent="0.3">
      <c r="A255" s="567" t="s">
        <v>11</v>
      </c>
      <c r="B255" s="568"/>
      <c r="C255" s="5" t="s">
        <v>3</v>
      </c>
      <c r="D255" s="4">
        <f>D95</f>
        <v>2060</v>
      </c>
      <c r="E255" s="4">
        <f t="shared" ref="E255:F255" si="95">E95</f>
        <v>32</v>
      </c>
      <c r="F255" s="4">
        <f t="shared" si="95"/>
        <v>84</v>
      </c>
      <c r="G255" s="25">
        <f>Nkhudzi!M255+Nkhudzi!N255+Nkhudzi!O255</f>
        <v>0</v>
      </c>
      <c r="H255" s="108">
        <f t="shared" si="94"/>
        <v>2176</v>
      </c>
    </row>
    <row r="256" spans="1:8" ht="15.6" x14ac:dyDescent="0.3">
      <c r="A256" s="567" t="s">
        <v>10</v>
      </c>
      <c r="B256" s="568"/>
      <c r="C256" s="5" t="s">
        <v>3</v>
      </c>
      <c r="D256" s="4">
        <f>D91</f>
        <v>253</v>
      </c>
      <c r="E256" s="4">
        <f t="shared" ref="E256:F256" si="96">E91</f>
        <v>57</v>
      </c>
      <c r="F256" s="4">
        <f t="shared" si="96"/>
        <v>17</v>
      </c>
      <c r="G256" s="25">
        <f>Nkhudzi!M256+Nkhudzi!N256+Nkhudzi!O256</f>
        <v>0</v>
      </c>
      <c r="H256" s="108">
        <f t="shared" si="94"/>
        <v>327</v>
      </c>
    </row>
    <row r="257" spans="1:8" ht="15.6" customHeight="1" x14ac:dyDescent="0.3">
      <c r="A257" s="567" t="s">
        <v>9</v>
      </c>
      <c r="B257" s="568"/>
      <c r="C257" s="5" t="s">
        <v>3</v>
      </c>
      <c r="D257" s="15">
        <f>Mangochi!D257+Mangochi!E257+Mangochi!F257+Mangochi!G257+Mangochi!H257+Mangochi!I257</f>
        <v>43246</v>
      </c>
      <c r="E257" s="15">
        <f>'Monkey Bay'!D257+'Monkey Bay'!E257+'Monkey Bay'!F257+'Monkey Bay'!G257+'Monkey Bay'!H257+'Monkey Bay'!I257</f>
        <v>30</v>
      </c>
      <c r="F257" s="15">
        <f>Namwera!D257+Namwera!E257+Namwera!F257+Namwera!G257+Namwera!H257+Namwera!I257</f>
        <v>88</v>
      </c>
      <c r="G257" s="25">
        <f>Nkhudzi!M257+Nkhudzi!N257+Nkhudzi!O257</f>
        <v>0</v>
      </c>
      <c r="H257" s="108">
        <f t="shared" si="94"/>
        <v>43364</v>
      </c>
    </row>
    <row r="258" spans="1:8" ht="15.6" x14ac:dyDescent="0.3">
      <c r="A258" s="618" t="s">
        <v>8</v>
      </c>
      <c r="B258" s="619"/>
      <c r="C258" s="5" t="s">
        <v>3</v>
      </c>
      <c r="D258" s="1">
        <f t="shared" ref="D258:F258" si="97">D257/D256</f>
        <v>170.93280632411069</v>
      </c>
      <c r="E258" s="1">
        <f t="shared" si="97"/>
        <v>0.52631578947368418</v>
      </c>
      <c r="F258" s="1">
        <f t="shared" si="97"/>
        <v>5.1764705882352944</v>
      </c>
      <c r="G258" s="1" t="e">
        <f>Nkhudzi!M258+Nkhudzi!N258+Nkhudzi!O258</f>
        <v>#DIV/0!</v>
      </c>
      <c r="H258" s="108">
        <f t="shared" ref="H258" si="98">H257/H256</f>
        <v>132.61162079510703</v>
      </c>
    </row>
    <row r="259" spans="1:8" ht="15.6" x14ac:dyDescent="0.3">
      <c r="A259" s="618" t="s">
        <v>7</v>
      </c>
      <c r="B259" s="619"/>
      <c r="C259" s="5" t="s">
        <v>6</v>
      </c>
      <c r="D259" s="1">
        <f t="shared" ref="D259:F259" si="99">D92/D255*100</f>
        <v>0</v>
      </c>
      <c r="E259" s="1">
        <f t="shared" si="99"/>
        <v>0</v>
      </c>
      <c r="F259" s="1">
        <f t="shared" si="99"/>
        <v>0</v>
      </c>
      <c r="G259" s="1" t="e">
        <f>Nkhudzi!M259+Nkhudzi!N259+Nkhudzi!O259</f>
        <v>#DIV/0!</v>
      </c>
      <c r="H259" s="109">
        <f t="shared" ref="H259" si="100">H92/H255*100</f>
        <v>0</v>
      </c>
    </row>
    <row r="260" spans="1:8" x14ac:dyDescent="0.3">
      <c r="A260" s="543" t="s">
        <v>5</v>
      </c>
      <c r="B260" s="544"/>
      <c r="C260" s="544"/>
      <c r="D260" s="544"/>
      <c r="E260" s="544"/>
      <c r="F260" s="544"/>
      <c r="G260" s="544"/>
      <c r="H260" s="546"/>
    </row>
    <row r="261" spans="1:8" s="2" customFormat="1" ht="15" customHeight="1" x14ac:dyDescent="0.3">
      <c r="A261" s="567" t="s">
        <v>4</v>
      </c>
      <c r="B261" s="568"/>
      <c r="C261" s="5" t="s">
        <v>3</v>
      </c>
      <c r="D261" s="15">
        <f>Mangochi!D261+Mangochi!E261+Mangochi!F261+Mangochi!G261+Mangochi!H261+Mangochi!I261</f>
        <v>105</v>
      </c>
      <c r="E261" s="15">
        <f>'Monkey Bay'!D261+'Monkey Bay'!E261+'Monkey Bay'!F261+'Monkey Bay'!G261+'Monkey Bay'!H261+'Monkey Bay'!I261</f>
        <v>77</v>
      </c>
      <c r="F261" s="15">
        <f>Namwera!D261+Namwera!E261+Namwera!F261+Namwera!G261+Namwera!H261+Namwera!I261</f>
        <v>89</v>
      </c>
      <c r="G261" s="25">
        <f>Nkhudzi!M261+Nkhudzi!N261+Nkhudzi!O261</f>
        <v>0</v>
      </c>
      <c r="H261" s="108"/>
    </row>
    <row r="262" spans="1:8" s="2" customFormat="1" ht="15.75" customHeight="1" x14ac:dyDescent="0.3">
      <c r="A262" s="567" t="s">
        <v>2</v>
      </c>
      <c r="B262" s="568"/>
      <c r="C262" s="5" t="s">
        <v>0</v>
      </c>
      <c r="D262" s="15">
        <f>Mangochi!D262+Mangochi!E262+Mangochi!F262+Mangochi!G262+Mangochi!H262+Mangochi!I262</f>
        <v>16</v>
      </c>
      <c r="E262" s="15">
        <f>'Monkey Bay'!D262+'Monkey Bay'!E262+'Monkey Bay'!F262+'Monkey Bay'!G262+'Monkey Bay'!H262+'Monkey Bay'!I262</f>
        <v>32</v>
      </c>
      <c r="F262" s="15">
        <f>Namwera!D262+Namwera!E262+Namwera!F262+Namwera!G262+Namwera!H262+Namwera!I262</f>
        <v>39</v>
      </c>
      <c r="G262" s="25">
        <f>Nkhudzi!M262+Nkhudzi!N262+Nkhudzi!O262</f>
        <v>0</v>
      </c>
      <c r="H262" s="108"/>
    </row>
    <row r="263" spans="1:8" ht="16.2" thickBot="1" x14ac:dyDescent="0.35">
      <c r="A263" s="626" t="s">
        <v>1</v>
      </c>
      <c r="B263" s="627"/>
      <c r="C263" s="110" t="s">
        <v>0</v>
      </c>
      <c r="D263" s="111">
        <f>D261/D262</f>
        <v>6.5625</v>
      </c>
      <c r="E263" s="111">
        <f t="shared" ref="E263:H263" si="101">E261/E262</f>
        <v>2.40625</v>
      </c>
      <c r="F263" s="111">
        <f t="shared" si="101"/>
        <v>2.2820512820512819</v>
      </c>
      <c r="G263" s="111" t="e">
        <f t="shared" si="101"/>
        <v>#DIV/0!</v>
      </c>
      <c r="H263" s="170" t="e">
        <f t="shared" si="101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5" width="20.109375" bestFit="1" customWidth="1"/>
    <col min="6" max="7" width="19.109375" customWidth="1"/>
    <col min="8" max="8" width="21.44140625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536" t="s">
        <v>176</v>
      </c>
      <c r="B7" s="537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6" ht="15" thickBot="1" x14ac:dyDescent="0.35">
      <c r="A8" s="538" t="s">
        <v>161</v>
      </c>
      <c r="B8" s="539"/>
      <c r="C8" s="539"/>
      <c r="D8" s="539"/>
      <c r="E8" s="539"/>
      <c r="F8" s="539"/>
      <c r="G8" s="539"/>
      <c r="H8" s="540"/>
    </row>
    <row r="9" spans="1:16" ht="15.6" x14ac:dyDescent="0.3">
      <c r="A9" s="541" t="s">
        <v>178</v>
      </c>
      <c r="B9" s="542"/>
      <c r="C9" s="57" t="s">
        <v>154</v>
      </c>
      <c r="D9" s="56">
        <f>Mangochi!J9+Mangochi!K9+Mangochi!L9</f>
        <v>0</v>
      </c>
      <c r="E9" s="56">
        <f>'Monkey Bay'!J9+'Monkey Bay'!K9+'Monkey Bay'!L9</f>
        <v>0</v>
      </c>
      <c r="F9" s="56">
        <f>Namwera!J9+Namwera!K9+Namwera!L9</f>
        <v>0</v>
      </c>
      <c r="G9" s="56">
        <f>Nkhudzi!J9+Nkhudzi!K9+Nkhudzi!L9</f>
        <v>0</v>
      </c>
      <c r="H9" s="55">
        <f>SUM(D9:G9)</f>
        <v>0</v>
      </c>
    </row>
    <row r="10" spans="1:16" ht="15" thickBot="1" x14ac:dyDescent="0.35">
      <c r="A10" s="543" t="s">
        <v>179</v>
      </c>
      <c r="B10" s="544"/>
      <c r="C10" s="544"/>
      <c r="D10" s="545"/>
      <c r="E10" s="544"/>
      <c r="F10" s="544"/>
      <c r="G10" s="544"/>
      <c r="H10" s="546"/>
    </row>
    <row r="11" spans="1:16" ht="15.6" x14ac:dyDescent="0.3">
      <c r="A11" s="547" t="s">
        <v>159</v>
      </c>
      <c r="B11" s="548"/>
      <c r="C11" s="11" t="s">
        <v>154</v>
      </c>
      <c r="D11" s="25">
        <f>Mangochi!J11+Mangochi!K11+Mangochi!L11</f>
        <v>0</v>
      </c>
      <c r="E11" s="171">
        <f>'Monkey Bay'!J11+'Monkey Bay'!K11+'Monkey Bay'!L11</f>
        <v>0</v>
      </c>
      <c r="F11" s="171">
        <f>Namwera!J11+Namwera!K11+Namwera!L11</f>
        <v>0</v>
      </c>
      <c r="G11" s="171">
        <f>Nkhudzi!J11+Nkhudzi!K11+Nkhudzi!L11</f>
        <v>0</v>
      </c>
      <c r="H11" s="54">
        <f t="shared" ref="H11:H15" si="0">SUM(D11:G11)</f>
        <v>0</v>
      </c>
    </row>
    <row r="12" spans="1:16" ht="15.6" x14ac:dyDescent="0.3">
      <c r="A12" s="547" t="s">
        <v>158</v>
      </c>
      <c r="B12" s="548"/>
      <c r="C12" s="11" t="s">
        <v>154</v>
      </c>
      <c r="D12" s="25">
        <f>Mangochi!J12+Mangochi!K12+Mangochi!L12</f>
        <v>0</v>
      </c>
      <c r="E12" s="25">
        <f>'Monkey Bay'!J12+'Monkey Bay'!K12+'Monkey Bay'!L12</f>
        <v>0</v>
      </c>
      <c r="F12" s="25">
        <f>Namwera!J12+Namwera!K12+Namwera!L12</f>
        <v>0</v>
      </c>
      <c r="G12" s="25">
        <f>Nkhudzi!J12+Nkhudzi!K12+Nkhudzi!L12</f>
        <v>0</v>
      </c>
      <c r="H12" s="54">
        <f t="shared" si="0"/>
        <v>0</v>
      </c>
    </row>
    <row r="13" spans="1:16" ht="15.6" x14ac:dyDescent="0.3">
      <c r="A13" s="547" t="s">
        <v>157</v>
      </c>
      <c r="B13" s="548"/>
      <c r="C13" s="11" t="s">
        <v>154</v>
      </c>
      <c r="D13" s="25">
        <f>Mangochi!J13+Mangochi!K13+Mangochi!L13</f>
        <v>0</v>
      </c>
      <c r="E13" s="25">
        <f>'Monkey Bay'!J13+'Monkey Bay'!K13+'Monkey Bay'!L13</f>
        <v>0</v>
      </c>
      <c r="F13" s="25">
        <f>Namwera!J13+Namwera!K13+Namwera!L13</f>
        <v>0</v>
      </c>
      <c r="G13" s="25">
        <f>Nkhudzi!J13+Nkhudzi!K13+Nkhudzi!L13</f>
        <v>0</v>
      </c>
      <c r="H13" s="54">
        <f t="shared" si="0"/>
        <v>0</v>
      </c>
    </row>
    <row r="14" spans="1:16" ht="15.6" x14ac:dyDescent="0.3">
      <c r="A14" s="549" t="s">
        <v>156</v>
      </c>
      <c r="B14" s="550"/>
      <c r="C14" s="11" t="s">
        <v>154</v>
      </c>
      <c r="D14" s="25">
        <f>Mangochi!J14+Mangochi!K14+Mangochi!L14</f>
        <v>0</v>
      </c>
      <c r="E14" s="4">
        <f>'Monkey Bay'!J14+'Monkey Bay'!K14+'Monkey Bay'!L14</f>
        <v>0</v>
      </c>
      <c r="F14" s="25">
        <f>Namwera!J14+Namwera!K14+Namwera!L14</f>
        <v>0</v>
      </c>
      <c r="G14" s="25">
        <f>Nkhudzi!J14+Nkhudzi!K14+Nkhudzi!L14</f>
        <v>0</v>
      </c>
      <c r="H14" s="54">
        <f t="shared" si="0"/>
        <v>0</v>
      </c>
    </row>
    <row r="15" spans="1:16" s="62" customFormat="1" ht="15.6" x14ac:dyDescent="0.3">
      <c r="A15" s="551" t="s">
        <v>160</v>
      </c>
      <c r="B15" s="552"/>
      <c r="C15" s="61" t="s">
        <v>154</v>
      </c>
      <c r="D15" s="33">
        <f t="shared" ref="D15:F15" si="1">SUM(D11:D14)</f>
        <v>0</v>
      </c>
      <c r="E15" s="33">
        <f t="shared" si="1"/>
        <v>0</v>
      </c>
      <c r="F15" s="33">
        <f t="shared" si="1"/>
        <v>0</v>
      </c>
      <c r="G15" s="33">
        <f t="shared" ref="G15" si="2">SUM(G11:G14)</f>
        <v>0</v>
      </c>
      <c r="H15" s="54">
        <f t="shared" si="0"/>
        <v>0</v>
      </c>
    </row>
    <row r="16" spans="1:16" s="2" customFormat="1" ht="15" thickBot="1" x14ac:dyDescent="0.35">
      <c r="A16" s="543" t="s">
        <v>180</v>
      </c>
      <c r="B16" s="544"/>
      <c r="C16" s="544"/>
      <c r="D16" s="544"/>
      <c r="E16" s="544"/>
      <c r="F16" s="544"/>
      <c r="G16" s="544"/>
      <c r="H16" s="546"/>
    </row>
    <row r="17" spans="1:8" s="2" customFormat="1" ht="15.6" x14ac:dyDescent="0.3">
      <c r="A17" s="547" t="s">
        <v>182</v>
      </c>
      <c r="B17" s="548"/>
      <c r="C17" s="11" t="s">
        <v>154</v>
      </c>
      <c r="D17" s="25">
        <f>Mangochi!J17+Mangochi!K17+Mangochi!L17</f>
        <v>0</v>
      </c>
      <c r="E17" s="171">
        <f>'Monkey Bay'!J17+'Monkey Bay'!K17+'Monkey Bay'!L17</f>
        <v>0</v>
      </c>
      <c r="F17" s="171">
        <f>Namwera!J17+Namwera!K17+Namwera!L17</f>
        <v>0</v>
      </c>
      <c r="G17" s="171">
        <f>Nkhudzi!J17+Nkhudzi!K17+Nkhudzi!L17</f>
        <v>0</v>
      </c>
      <c r="H17" s="54">
        <f t="shared" ref="H17:H22" si="3">SUM(D17:G17)</f>
        <v>0</v>
      </c>
    </row>
    <row r="18" spans="1:8" s="2" customFormat="1" ht="15.6" x14ac:dyDescent="0.3">
      <c r="A18" s="547" t="s">
        <v>183</v>
      </c>
      <c r="B18" s="548"/>
      <c r="C18" s="11" t="s">
        <v>154</v>
      </c>
      <c r="D18" s="25">
        <f>Mangochi!J18+Mangochi!K18+Mangochi!L18</f>
        <v>0</v>
      </c>
      <c r="E18" s="25">
        <f>'Monkey Bay'!J18+'Monkey Bay'!K18+'Monkey Bay'!L18</f>
        <v>0</v>
      </c>
      <c r="F18" s="25">
        <f>Namwera!J18+Namwera!K18+Namwera!L18</f>
        <v>0</v>
      </c>
      <c r="G18" s="25">
        <f>Nkhudzi!J18+Nkhudzi!K18+Nkhudzi!L18</f>
        <v>0</v>
      </c>
      <c r="H18" s="54">
        <f t="shared" si="3"/>
        <v>0</v>
      </c>
    </row>
    <row r="19" spans="1:8" s="2" customFormat="1" ht="15.6" x14ac:dyDescent="0.3">
      <c r="A19" s="547" t="s">
        <v>184</v>
      </c>
      <c r="B19" s="548"/>
      <c r="C19" s="11" t="s">
        <v>154</v>
      </c>
      <c r="D19" s="25">
        <f>Mangochi!J19+Mangochi!K19+Mangochi!L19</f>
        <v>0</v>
      </c>
      <c r="E19" s="25">
        <f>'Monkey Bay'!J19+'Monkey Bay'!K19+'Monkey Bay'!L19</f>
        <v>0</v>
      </c>
      <c r="F19" s="25">
        <f>Namwera!J19+Namwera!K19+Namwera!L19</f>
        <v>0</v>
      </c>
      <c r="G19" s="25">
        <f>Nkhudzi!J19+Nkhudzi!K19+Nkhudzi!L19</f>
        <v>0</v>
      </c>
      <c r="H19" s="54">
        <f t="shared" si="3"/>
        <v>0</v>
      </c>
    </row>
    <row r="20" spans="1:8" s="2" customFormat="1" ht="15.6" x14ac:dyDescent="0.3">
      <c r="A20" s="549" t="s">
        <v>185</v>
      </c>
      <c r="B20" s="550"/>
      <c r="C20" s="11" t="s">
        <v>154</v>
      </c>
      <c r="D20" s="25">
        <f>Mangochi!J20+Mangochi!K20+Mangochi!L20</f>
        <v>0</v>
      </c>
      <c r="E20" s="4">
        <f>'Monkey Bay'!J20+'Monkey Bay'!K20+'Monkey Bay'!L20</f>
        <v>0</v>
      </c>
      <c r="F20" s="25">
        <f>Namwera!J20+Namwera!K20+Namwera!L20</f>
        <v>0</v>
      </c>
      <c r="G20" s="25">
        <f>Nkhudzi!J20+Nkhudzi!K20+Nkhudzi!L20</f>
        <v>0</v>
      </c>
      <c r="H20" s="54">
        <f t="shared" si="3"/>
        <v>0</v>
      </c>
    </row>
    <row r="21" spans="1:8" s="70" customFormat="1" ht="15.6" x14ac:dyDescent="0.3">
      <c r="A21" s="551" t="s">
        <v>186</v>
      </c>
      <c r="B21" s="552"/>
      <c r="C21" s="61" t="s">
        <v>154</v>
      </c>
      <c r="D21" s="33">
        <f>SUM(D17:D20)</f>
        <v>0</v>
      </c>
      <c r="E21" s="33">
        <f>SUM(E17:E20)</f>
        <v>0</v>
      </c>
      <c r="F21" s="33">
        <f t="shared" ref="F21" si="4">SUM(F17:F20)</f>
        <v>0</v>
      </c>
      <c r="G21" s="33">
        <f t="shared" ref="G21" si="5">SUM(G17:G20)</f>
        <v>0</v>
      </c>
      <c r="H21" s="54">
        <f t="shared" si="3"/>
        <v>0</v>
      </c>
    </row>
    <row r="22" spans="1:8" s="2" customFormat="1" ht="15.6" x14ac:dyDescent="0.3">
      <c r="A22" s="72" t="s">
        <v>187</v>
      </c>
      <c r="B22" s="76"/>
      <c r="C22" s="11" t="s">
        <v>154</v>
      </c>
      <c r="D22" s="33">
        <f>D21+D15</f>
        <v>0</v>
      </c>
      <c r="E22" s="33">
        <f t="shared" ref="E22:F22" si="6">E21+E15</f>
        <v>0</v>
      </c>
      <c r="F22" s="33">
        <f t="shared" si="6"/>
        <v>0</v>
      </c>
      <c r="G22" s="33">
        <f t="shared" ref="G22" si="7">G21+G15</f>
        <v>0</v>
      </c>
      <c r="H22" s="54">
        <f t="shared" si="3"/>
        <v>0</v>
      </c>
    </row>
    <row r="23" spans="1:8" x14ac:dyDescent="0.3">
      <c r="A23" s="543" t="s">
        <v>217</v>
      </c>
      <c r="B23" s="544"/>
      <c r="C23" s="544"/>
      <c r="D23" s="544"/>
      <c r="E23" s="544"/>
      <c r="F23" s="544"/>
      <c r="G23" s="544"/>
      <c r="H23" s="546"/>
    </row>
    <row r="24" spans="1:8" ht="15.6" x14ac:dyDescent="0.3">
      <c r="A24" s="553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8">E9-E22</f>
        <v>0</v>
      </c>
      <c r="F24" s="53">
        <f t="shared" si="8"/>
        <v>0</v>
      </c>
      <c r="G24" s="53">
        <f t="shared" ref="G24" si="9">G9-G22</f>
        <v>0</v>
      </c>
      <c r="H24" s="94">
        <f t="shared" si="8"/>
        <v>0</v>
      </c>
    </row>
    <row r="25" spans="1:8" ht="15.6" x14ac:dyDescent="0.3">
      <c r="A25" s="554"/>
      <c r="B25" s="52" t="s">
        <v>153</v>
      </c>
      <c r="C25" s="51" t="s">
        <v>6</v>
      </c>
      <c r="D25" s="50" t="e">
        <f t="shared" ref="D25:H25" si="10">D24/D9</f>
        <v>#DIV/0!</v>
      </c>
      <c r="E25" s="50" t="e">
        <f t="shared" si="10"/>
        <v>#DIV/0!</v>
      </c>
      <c r="F25" s="50" t="e">
        <f t="shared" si="10"/>
        <v>#DIV/0!</v>
      </c>
      <c r="G25" s="50" t="e">
        <f t="shared" ref="G25" si="11">G24/G9</f>
        <v>#DIV/0!</v>
      </c>
      <c r="H25" s="95" t="e">
        <f t="shared" si="10"/>
        <v>#DIV/0!</v>
      </c>
    </row>
    <row r="26" spans="1:8" x14ac:dyDescent="0.3">
      <c r="A26" s="543" t="s">
        <v>152</v>
      </c>
      <c r="B26" s="544"/>
      <c r="C26" s="544"/>
      <c r="D26" s="544"/>
      <c r="E26" s="544"/>
      <c r="F26" s="544"/>
      <c r="G26" s="544"/>
      <c r="H26" s="546"/>
    </row>
    <row r="27" spans="1:8" x14ac:dyDescent="0.3">
      <c r="A27" s="559" t="s">
        <v>151</v>
      </c>
      <c r="B27" s="560"/>
      <c r="C27" s="560"/>
      <c r="D27" s="560"/>
      <c r="E27" s="560"/>
      <c r="F27" s="560"/>
      <c r="G27" s="560"/>
      <c r="H27" s="561"/>
    </row>
    <row r="28" spans="1:8" ht="15.6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ht="15.6" x14ac:dyDescent="0.3">
      <c r="A29" s="562" t="s">
        <v>148</v>
      </c>
      <c r="B29" s="557">
        <v>3525.29</v>
      </c>
      <c r="C29" s="5" t="s">
        <v>142</v>
      </c>
      <c r="D29" s="25">
        <f>Mangochi!J29+Mangochi!K29+Mangochi!L29</f>
        <v>0</v>
      </c>
      <c r="E29" s="4">
        <f>'Monkey Bay'!J29+'Monkey Bay'!K29+'Monkey Bay'!L29</f>
        <v>0</v>
      </c>
      <c r="F29" s="4">
        <f>Namwera!J29+Namwera!K29+Namwera!L29</f>
        <v>0</v>
      </c>
      <c r="G29" s="4">
        <f>Nkhudzi!J29+Nkhudzi!K29+Nkhudzi!L29</f>
        <v>0</v>
      </c>
      <c r="H29" s="44">
        <f>SUM(D29:G29)</f>
        <v>0</v>
      </c>
    </row>
    <row r="30" spans="1:8" ht="15.6" x14ac:dyDescent="0.3">
      <c r="A30" s="563"/>
      <c r="B30" s="558"/>
      <c r="C30" s="41" t="s">
        <v>141</v>
      </c>
      <c r="D30" s="15" t="e">
        <f t="shared" ref="D30:H30" si="12">D29/(D9/1000)</f>
        <v>#DIV/0!</v>
      </c>
      <c r="E30" s="15" t="e">
        <f t="shared" si="12"/>
        <v>#DIV/0!</v>
      </c>
      <c r="F30" s="15" t="e">
        <f t="shared" si="12"/>
        <v>#DIV/0!</v>
      </c>
      <c r="G30" s="15" t="e">
        <f t="shared" ref="G30" si="13">G29/(G9/1000)</f>
        <v>#DIV/0!</v>
      </c>
      <c r="H30" s="97" t="e">
        <f t="shared" si="12"/>
        <v>#DIV/0!</v>
      </c>
    </row>
    <row r="31" spans="1:8" ht="15.6" x14ac:dyDescent="0.3">
      <c r="A31" s="555" t="s">
        <v>147</v>
      </c>
      <c r="B31" s="557">
        <v>1060.0102199999999</v>
      </c>
      <c r="C31" s="5" t="s">
        <v>142</v>
      </c>
      <c r="D31" s="25">
        <f>Mangochi!J31+Mangochi!K31+Mangochi!L31</f>
        <v>0</v>
      </c>
      <c r="E31" s="4">
        <f>'Monkey Bay'!J31+'Monkey Bay'!K31+'Monkey Bay'!L31</f>
        <v>0</v>
      </c>
      <c r="F31" s="4">
        <f>Namwera!J31+Namwera!K31+Namwera!L31</f>
        <v>0</v>
      </c>
      <c r="G31" s="4">
        <f>Nkhudzi!J31+Nkhudzi!K31+Nkhudzi!L31</f>
        <v>0</v>
      </c>
      <c r="H31" s="44">
        <f>SUM(D31:F31)</f>
        <v>0</v>
      </c>
    </row>
    <row r="32" spans="1:8" ht="15.6" x14ac:dyDescent="0.3">
      <c r="A32" s="556"/>
      <c r="B32" s="558"/>
      <c r="C32" s="41" t="s">
        <v>141</v>
      </c>
      <c r="D32" s="15" t="e">
        <f t="shared" ref="D32:H32" si="14">D31/(D9/1000)</f>
        <v>#DIV/0!</v>
      </c>
      <c r="E32" s="15" t="e">
        <f t="shared" si="14"/>
        <v>#DIV/0!</v>
      </c>
      <c r="F32" s="15" t="e">
        <f t="shared" si="14"/>
        <v>#DIV/0!</v>
      </c>
      <c r="G32" s="15" t="e">
        <f>Nkhudzi!J32+Nkhudzi!K32+Nkhudzi!L32</f>
        <v>#DIV/0!</v>
      </c>
      <c r="H32" s="97" t="e">
        <f t="shared" si="14"/>
        <v>#DIV/0!</v>
      </c>
    </row>
    <row r="33" spans="1:8" ht="15.6" x14ac:dyDescent="0.3">
      <c r="A33" s="555" t="s">
        <v>146</v>
      </c>
      <c r="B33" s="557">
        <v>1228.2886000000001</v>
      </c>
      <c r="C33" s="5" t="s">
        <v>142</v>
      </c>
      <c r="D33" s="25">
        <f>Mangochi!J33+Mangochi!K33+Mangochi!L33</f>
        <v>0</v>
      </c>
      <c r="E33" s="4">
        <f>'Monkey Bay'!J33+'Monkey Bay'!K33+'Monkey Bay'!L33</f>
        <v>0</v>
      </c>
      <c r="F33" s="4">
        <f>Namwera!J33+Namwera!K33+Namwera!L33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56"/>
      <c r="B34" s="558"/>
      <c r="C34" s="41" t="s">
        <v>141</v>
      </c>
      <c r="D34" s="15" t="e">
        <f t="shared" ref="D34:H34" si="15">D33/(D9/1000)</f>
        <v>#DIV/0!</v>
      </c>
      <c r="E34" s="15" t="e">
        <f t="shared" si="15"/>
        <v>#DIV/0!</v>
      </c>
      <c r="F34" s="15" t="e">
        <f t="shared" si="15"/>
        <v>#DIV/0!</v>
      </c>
      <c r="G34" s="15" t="e">
        <f>Nkhudzi!J34+Nkhudzi!K34+Nkhudzi!L34</f>
        <v>#DIV/0!</v>
      </c>
      <c r="H34" s="97" t="e">
        <f t="shared" si="15"/>
        <v>#DIV/0!</v>
      </c>
    </row>
    <row r="35" spans="1:8" ht="15.6" x14ac:dyDescent="0.3">
      <c r="A35" s="555" t="s">
        <v>145</v>
      </c>
      <c r="B35" s="557">
        <v>3726.7258000000002</v>
      </c>
      <c r="C35" s="5" t="s">
        <v>128</v>
      </c>
      <c r="D35" s="25">
        <f>Mangochi!J35+Mangochi!K35+Mangochi!L35</f>
        <v>0</v>
      </c>
      <c r="E35" s="4">
        <f>'Monkey Bay'!J35+'Monkey Bay'!K35+'Monkey Bay'!L35</f>
        <v>0</v>
      </c>
      <c r="F35" s="4">
        <f>Namwera!J35+Namwera!K35+Namwera!L35</f>
        <v>0</v>
      </c>
      <c r="G35" s="4">
        <f>Nkhudzi!J35+Nkhudzi!K35+Nkhudzi!L35</f>
        <v>0</v>
      </c>
      <c r="H35" s="97"/>
    </row>
    <row r="36" spans="1:8" ht="15.6" x14ac:dyDescent="0.3">
      <c r="A36" s="556"/>
      <c r="B36" s="558"/>
      <c r="C36" s="5" t="s">
        <v>144</v>
      </c>
      <c r="D36" s="25"/>
      <c r="E36" s="15"/>
      <c r="F36" s="15"/>
      <c r="G36" s="15">
        <f>Nkhudzi!J36+Nkhudzi!K36+Nkhudzi!L36</f>
        <v>0</v>
      </c>
      <c r="H36" s="97"/>
    </row>
    <row r="37" spans="1:8" ht="15.6" x14ac:dyDescent="0.3">
      <c r="A37" s="555" t="s">
        <v>188</v>
      </c>
      <c r="B37" s="557">
        <v>3951.5935999999997</v>
      </c>
      <c r="C37" s="5" t="s">
        <v>128</v>
      </c>
      <c r="D37" s="25">
        <f>Mangochi!J37+Mangochi!K37+Mangochi!L37</f>
        <v>0</v>
      </c>
      <c r="E37" s="4">
        <f>'Monkey Bay'!J37+'Monkey Bay'!K37+'Monkey Bay'!L37</f>
        <v>0</v>
      </c>
      <c r="F37" s="4">
        <f>Namwera!J37+Namwera!K37+Namwera!L37</f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556"/>
      <c r="B38" s="558"/>
      <c r="C38" s="5" t="s">
        <v>144</v>
      </c>
      <c r="D38" s="15" t="e">
        <f t="shared" ref="D38:H38" si="16">D37/(D9/1000)</f>
        <v>#DIV/0!</v>
      </c>
      <c r="E38" s="15" t="e">
        <f t="shared" si="16"/>
        <v>#DIV/0!</v>
      </c>
      <c r="F38" s="15" t="e">
        <f t="shared" si="16"/>
        <v>#DIV/0!</v>
      </c>
      <c r="G38" s="15" t="e">
        <f>Nkhudzi!J38+Nkhudzi!K38+Nkhudzi!L38</f>
        <v>#DIV/0!</v>
      </c>
      <c r="H38" s="97" t="e">
        <f t="shared" si="16"/>
        <v>#DIV/0!</v>
      </c>
    </row>
    <row r="39" spans="1:8" ht="15.6" x14ac:dyDescent="0.3">
      <c r="A39" s="555" t="s">
        <v>143</v>
      </c>
      <c r="B39" s="557">
        <v>1950</v>
      </c>
      <c r="C39" s="5" t="s">
        <v>142</v>
      </c>
      <c r="D39" s="25">
        <f>Mangochi!J39+Mangochi!K39+Mangochi!L39</f>
        <v>0</v>
      </c>
      <c r="E39" s="4">
        <f>'Monkey Bay'!J39+'Monkey Bay'!K39+'Monkey Bay'!L39</f>
        <v>0</v>
      </c>
      <c r="F39" s="4">
        <f>Namwera!J39+Namwera!K39+Namwera!L39</f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556"/>
      <c r="B40" s="558"/>
      <c r="C40" s="41" t="s">
        <v>141</v>
      </c>
      <c r="D40" s="15" t="e">
        <f t="shared" ref="D40:H40" si="17">D39/(D9/1000)</f>
        <v>#DIV/0!</v>
      </c>
      <c r="E40" s="15" t="e">
        <f t="shared" si="17"/>
        <v>#DIV/0!</v>
      </c>
      <c r="F40" s="15" t="e">
        <f t="shared" si="17"/>
        <v>#DIV/0!</v>
      </c>
      <c r="G40" s="15" t="e">
        <f>Nkhudzi!J40+Nkhudzi!K40+Nkhudzi!L40</f>
        <v>#DIV/0!</v>
      </c>
      <c r="H40" s="97" t="e">
        <f t="shared" si="17"/>
        <v>#DIV/0!</v>
      </c>
    </row>
    <row r="41" spans="1:8" ht="15.6" x14ac:dyDescent="0.3">
      <c r="A41" s="549" t="s">
        <v>140</v>
      </c>
      <c r="B41" s="550"/>
      <c r="C41" s="11" t="s">
        <v>31</v>
      </c>
      <c r="D41" s="40">
        <f>(D29*$B29)+(D31*$B31)+(D33*$B33)+(D35*$B35)+(D37*$B37)+(D39*$B39)</f>
        <v>0</v>
      </c>
      <c r="E41" s="40">
        <f t="shared" ref="E41:F41" si="18">(E29*$B29)+(E31*$B31)+(E33*$B33)+(E35*$B35)+(E37*$B37)+(E39*$B39)</f>
        <v>0</v>
      </c>
      <c r="F41" s="40">
        <f t="shared" si="18"/>
        <v>0</v>
      </c>
      <c r="G41" s="40">
        <f t="shared" ref="G41" si="19">(G29*$B29)+(G31*$B31)+(G33*$B33)+(G35*$B35)+(G37*$B37)+(G39*$B39)</f>
        <v>0</v>
      </c>
      <c r="H41" s="38">
        <f>SUM(D41:G41)</f>
        <v>0</v>
      </c>
    </row>
    <row r="42" spans="1:8" ht="15.6" x14ac:dyDescent="0.3">
      <c r="A42" s="569" t="s">
        <v>139</v>
      </c>
      <c r="B42" s="570"/>
      <c r="C42" s="41" t="s">
        <v>117</v>
      </c>
      <c r="D42" s="15" t="e">
        <f t="shared" ref="D42:H42" si="20">D41/D9</f>
        <v>#DIV/0!</v>
      </c>
      <c r="E42" s="15" t="e">
        <f t="shared" si="20"/>
        <v>#DIV/0!</v>
      </c>
      <c r="F42" s="15" t="e">
        <f t="shared" si="20"/>
        <v>#DIV/0!</v>
      </c>
      <c r="G42" s="15" t="e">
        <f t="shared" ref="G42" si="21">G41/G9</f>
        <v>#DIV/0!</v>
      </c>
      <c r="H42" s="43" t="e">
        <f t="shared" si="20"/>
        <v>#DIV/0!</v>
      </c>
    </row>
    <row r="43" spans="1:8" ht="15" thickBot="1" x14ac:dyDescent="0.35">
      <c r="A43" s="564" t="s">
        <v>138</v>
      </c>
      <c r="B43" s="565"/>
      <c r="C43" s="565"/>
      <c r="D43" s="565"/>
      <c r="E43" s="565"/>
      <c r="F43" s="565"/>
      <c r="G43" s="565"/>
      <c r="H43" s="566"/>
    </row>
    <row r="44" spans="1:8" ht="15.6" x14ac:dyDescent="0.3">
      <c r="A44" s="549" t="s">
        <v>137</v>
      </c>
      <c r="B44" s="550"/>
      <c r="C44" s="11" t="s">
        <v>136</v>
      </c>
      <c r="D44" s="25">
        <f>Mangochi!J44+Mangochi!K44+Mangochi!L44</f>
        <v>0</v>
      </c>
      <c r="E44" s="171">
        <f>'Monkey Bay'!J44+'Monkey Bay'!K44+'Monkey Bay'!L44</f>
        <v>0</v>
      </c>
      <c r="F44" s="4">
        <f>Namwera!J44+Namwera!K44+Namwera!L44</f>
        <v>0</v>
      </c>
      <c r="G44" s="4">
        <f>Nkhudzi!J44+Nkhudzi!K44+Nkhudzi!L44</f>
        <v>0</v>
      </c>
      <c r="H44" s="38">
        <f>SUM(D44:G44)</f>
        <v>0</v>
      </c>
    </row>
    <row r="45" spans="1:8" ht="15.6" x14ac:dyDescent="0.3">
      <c r="A45" s="569" t="s">
        <v>135</v>
      </c>
      <c r="B45" s="570"/>
      <c r="C45" s="41" t="s">
        <v>134</v>
      </c>
      <c r="D45" s="15" t="e">
        <f t="shared" ref="D45:H45" si="22">D44/D9</f>
        <v>#DIV/0!</v>
      </c>
      <c r="E45" s="15" t="e">
        <f t="shared" si="22"/>
        <v>#DIV/0!</v>
      </c>
      <c r="F45" s="15" t="e">
        <f t="shared" si="22"/>
        <v>#DIV/0!</v>
      </c>
      <c r="G45" s="15" t="e">
        <f t="shared" ref="G45" si="23">G44/G9</f>
        <v>#DIV/0!</v>
      </c>
      <c r="H45" s="97" t="e">
        <f t="shared" si="22"/>
        <v>#DIV/0!</v>
      </c>
    </row>
    <row r="46" spans="1:8" ht="15.6" x14ac:dyDescent="0.3">
      <c r="A46" s="567" t="s">
        <v>133</v>
      </c>
      <c r="B46" s="568"/>
      <c r="C46" s="5" t="s">
        <v>31</v>
      </c>
      <c r="D46" s="25">
        <f>Mangochi!J46+Mangochi!K46+Mangochi!L46</f>
        <v>58017</v>
      </c>
      <c r="E46" s="4">
        <f>'Monkey Bay'!J46+'Monkey Bay'!K46+'Monkey Bay'!L46</f>
        <v>58017</v>
      </c>
      <c r="F46" s="4">
        <f>Namwera!J46+Namwera!K46+Namwera!L46</f>
        <v>58017</v>
      </c>
      <c r="G46" s="4">
        <f>Nkhudzi!J46+Nkhudzi!K46+Nkhudzi!L46</f>
        <v>58017</v>
      </c>
      <c r="H46" s="38">
        <f>SUM(D46:G46)</f>
        <v>232068</v>
      </c>
    </row>
    <row r="47" spans="1:8" s="2" customFormat="1" ht="15.6" x14ac:dyDescent="0.3">
      <c r="A47" s="549" t="s">
        <v>132</v>
      </c>
      <c r="B47" s="550"/>
      <c r="C47" s="11" t="s">
        <v>117</v>
      </c>
      <c r="D47" s="15" t="e">
        <f t="shared" ref="D47:H47" si="24">D46/D9</f>
        <v>#DIV/0!</v>
      </c>
      <c r="E47" s="15" t="e">
        <f t="shared" si="24"/>
        <v>#DIV/0!</v>
      </c>
      <c r="F47" s="15" t="e">
        <f t="shared" si="24"/>
        <v>#DIV/0!</v>
      </c>
      <c r="G47" s="15" t="e">
        <f t="shared" ref="G47" si="25">G46/G9</f>
        <v>#DIV/0!</v>
      </c>
      <c r="H47" s="97" t="e">
        <f t="shared" si="24"/>
        <v>#DIV/0!</v>
      </c>
    </row>
    <row r="48" spans="1:8" ht="15" thickBot="1" x14ac:dyDescent="0.35">
      <c r="A48" s="564" t="s">
        <v>131</v>
      </c>
      <c r="B48" s="565"/>
      <c r="C48" s="565"/>
      <c r="D48" s="565"/>
      <c r="E48" s="565"/>
      <c r="F48" s="565"/>
      <c r="G48" s="565"/>
      <c r="H48" s="566"/>
    </row>
    <row r="49" spans="1:8" ht="15.6" x14ac:dyDescent="0.3">
      <c r="A49" s="549" t="s">
        <v>130</v>
      </c>
      <c r="B49" s="550"/>
      <c r="C49" s="5" t="s">
        <v>129</v>
      </c>
      <c r="D49" s="25">
        <f>Mangochi!J49+Mangochi!K49+Mangochi!L49</f>
        <v>0</v>
      </c>
      <c r="E49" s="171">
        <f>'Monkey Bay'!J49+'Monkey Bay'!K49+'Monkey Bay'!L49</f>
        <v>0</v>
      </c>
      <c r="F49" s="171">
        <f>Namwera!J49+Namwera!K49+Namwera!L49</f>
        <v>0</v>
      </c>
      <c r="G49" s="171">
        <f>Nkhudzi!J49+Nkhudzi!K49+Nkhudzi!L49</f>
        <v>0</v>
      </c>
      <c r="H49" s="38">
        <f t="shared" ref="H49:H52" si="26">SUM(D49:G49)</f>
        <v>0</v>
      </c>
    </row>
    <row r="50" spans="1:8" ht="15.6" x14ac:dyDescent="0.3">
      <c r="A50" s="549" t="s">
        <v>189</v>
      </c>
      <c r="B50" s="550"/>
      <c r="C50" s="5" t="s">
        <v>128</v>
      </c>
      <c r="D50" s="25">
        <f>Mangochi!J50+Mangochi!K50+Mangochi!L50</f>
        <v>0</v>
      </c>
      <c r="E50" s="25">
        <f>'Monkey Bay'!J50+'Monkey Bay'!K50+'Monkey Bay'!L50</f>
        <v>0</v>
      </c>
      <c r="F50" s="25">
        <f>Namwera!J50+Namwera!K50+Namwera!L50</f>
        <v>0</v>
      </c>
      <c r="G50" s="25">
        <f>Nkhudzi!J50+Nkhudzi!K50+Nkhudzi!L50</f>
        <v>0</v>
      </c>
      <c r="H50" s="38">
        <f t="shared" si="26"/>
        <v>0</v>
      </c>
    </row>
    <row r="51" spans="1:8" ht="15.6" x14ac:dyDescent="0.3">
      <c r="A51" s="567" t="s">
        <v>127</v>
      </c>
      <c r="B51" s="568"/>
      <c r="C51" s="5" t="s">
        <v>31</v>
      </c>
      <c r="D51" s="25">
        <f>Mangochi!J51+Mangochi!K51+Mangochi!L51</f>
        <v>0</v>
      </c>
      <c r="E51" s="25">
        <f>'Monkey Bay'!J51+'Monkey Bay'!K51+'Monkey Bay'!L51</f>
        <v>0</v>
      </c>
      <c r="F51" s="25">
        <f>Namwera!J51+Namwera!K51+Namwera!L51</f>
        <v>0</v>
      </c>
      <c r="G51" s="25">
        <f>Nkhudzi!J51+Nkhudzi!K51+Nkhudzi!L51</f>
        <v>0</v>
      </c>
      <c r="H51" s="39">
        <f t="shared" si="26"/>
        <v>0</v>
      </c>
    </row>
    <row r="52" spans="1:8" ht="15.6" x14ac:dyDescent="0.3">
      <c r="A52" s="549" t="s">
        <v>126</v>
      </c>
      <c r="B52" s="550"/>
      <c r="C52" s="5" t="s">
        <v>31</v>
      </c>
      <c r="D52" s="25">
        <f>Mangochi!J52+Mangochi!K52+Mangochi!L52</f>
        <v>0</v>
      </c>
      <c r="E52" s="4">
        <f>'Monkey Bay'!J52+'Monkey Bay'!K52+'Monkey Bay'!L52</f>
        <v>0</v>
      </c>
      <c r="F52" s="25">
        <f>Namwera!J52+Namwera!K52+Namwera!L52</f>
        <v>0</v>
      </c>
      <c r="G52" s="25">
        <f>Nkhudzi!J52+Nkhudzi!K52+Nkhudzi!L52</f>
        <v>0</v>
      </c>
      <c r="H52" s="39">
        <f t="shared" si="26"/>
        <v>0</v>
      </c>
    </row>
    <row r="53" spans="1:8" ht="15" thickBot="1" x14ac:dyDescent="0.35">
      <c r="A53" s="564" t="s">
        <v>125</v>
      </c>
      <c r="B53" s="565"/>
      <c r="C53" s="565"/>
      <c r="D53" s="565"/>
      <c r="E53" s="565"/>
      <c r="F53" s="565"/>
      <c r="G53" s="565"/>
      <c r="H53" s="566"/>
    </row>
    <row r="54" spans="1:8" ht="15.6" x14ac:dyDescent="0.3">
      <c r="A54" s="549" t="s">
        <v>124</v>
      </c>
      <c r="B54" s="550"/>
      <c r="C54" s="11" t="s">
        <v>18</v>
      </c>
      <c r="D54" s="25">
        <f>Mangochi!J54+Mangochi!K54+Mangochi!L54</f>
        <v>0</v>
      </c>
      <c r="E54" s="174">
        <f>'Monkey Bay'!J54+'Monkey Bay'!K54+'Monkey Bay'!L54</f>
        <v>0</v>
      </c>
      <c r="F54" s="174">
        <f>Namwera!J54+Namwera!K54+Namwera!L54</f>
        <v>0</v>
      </c>
      <c r="G54" s="174">
        <f>Nkhudzi!J54+Nkhudzi!K54+Nkhudzi!L54</f>
        <v>0</v>
      </c>
      <c r="H54" s="38">
        <f t="shared" ref="H54:H56" si="27">SUM(D54:G54)</f>
        <v>0</v>
      </c>
    </row>
    <row r="55" spans="1:8" ht="15.6" x14ac:dyDescent="0.3">
      <c r="A55" s="75" t="s">
        <v>123</v>
      </c>
      <c r="B55" s="76"/>
      <c r="C55" s="11" t="s">
        <v>18</v>
      </c>
      <c r="D55" s="25">
        <f>Mangochi!J55+Mangochi!K55+Mangochi!L55</f>
        <v>0</v>
      </c>
      <c r="E55" s="25">
        <f>'Monkey Bay'!J55+'Monkey Bay'!K55+'Monkey Bay'!L55</f>
        <v>0</v>
      </c>
      <c r="F55" s="25">
        <f>Namwera!J55+Namwera!K55+Namwera!L55</f>
        <v>0</v>
      </c>
      <c r="G55" s="25">
        <f>Nkhudzi!J55+Nkhudzi!K55+Nkhudzi!L55</f>
        <v>0</v>
      </c>
      <c r="H55" s="38">
        <f t="shared" si="27"/>
        <v>0</v>
      </c>
    </row>
    <row r="56" spans="1:8" ht="15.6" x14ac:dyDescent="0.3">
      <c r="A56" s="549" t="s">
        <v>122</v>
      </c>
      <c r="B56" s="550"/>
      <c r="C56" s="5" t="s">
        <v>18</v>
      </c>
      <c r="D56" s="25">
        <f>Mangochi!J56+Mangochi!K56+Mangochi!L56</f>
        <v>0</v>
      </c>
      <c r="E56" s="4">
        <f>'Monkey Bay'!J56+'Monkey Bay'!K56+'Monkey Bay'!L56</f>
        <v>0</v>
      </c>
      <c r="F56" s="4">
        <f>Namwera!J56+Namwera!K56+Namwera!L56</f>
        <v>0</v>
      </c>
      <c r="G56" s="4">
        <f>Nkhudzi!J56+Nkhudzi!K56+Nkhudzi!L56</f>
        <v>0</v>
      </c>
      <c r="H56" s="38">
        <f t="shared" si="27"/>
        <v>0</v>
      </c>
    </row>
    <row r="57" spans="1:8" x14ac:dyDescent="0.3">
      <c r="A57" s="564" t="s">
        <v>121</v>
      </c>
      <c r="B57" s="565"/>
      <c r="C57" s="565"/>
      <c r="D57" s="565"/>
      <c r="E57" s="565"/>
      <c r="F57" s="565"/>
      <c r="G57" s="565"/>
      <c r="H57" s="566"/>
    </row>
    <row r="58" spans="1:8" ht="15.6" x14ac:dyDescent="0.3">
      <c r="A58" s="567" t="s">
        <v>120</v>
      </c>
      <c r="B58" s="568"/>
      <c r="C58" s="5" t="s">
        <v>18</v>
      </c>
      <c r="D58" s="13">
        <f>D41+D46+D51+D52+D54+D55+D56</f>
        <v>58017</v>
      </c>
      <c r="E58" s="13">
        <f t="shared" ref="E58:F58" si="28">E41+E46+E51+E52+E54+E55+E56</f>
        <v>58017</v>
      </c>
      <c r="F58" s="13">
        <f t="shared" si="28"/>
        <v>58017</v>
      </c>
      <c r="G58" s="13">
        <f t="shared" ref="G58" si="29">G41+G46+G51+G52+G54+G55+G56</f>
        <v>58017</v>
      </c>
      <c r="H58" s="63">
        <f>SUM(D58:G58)</f>
        <v>232068</v>
      </c>
    </row>
    <row r="59" spans="1:8" ht="15.6" x14ac:dyDescent="0.3">
      <c r="A59" s="567" t="s">
        <v>119</v>
      </c>
      <c r="B59" s="568"/>
      <c r="C59" s="5" t="s">
        <v>117</v>
      </c>
      <c r="D59" s="15" t="e">
        <f t="shared" ref="D59:H59" si="30">D58/D9</f>
        <v>#DIV/0!</v>
      </c>
      <c r="E59" s="15" t="e">
        <f t="shared" si="30"/>
        <v>#DIV/0!</v>
      </c>
      <c r="F59" s="15" t="e">
        <f t="shared" si="30"/>
        <v>#DIV/0!</v>
      </c>
      <c r="G59" s="15" t="e">
        <f t="shared" ref="G59" si="31">G58/G9</f>
        <v>#DIV/0!</v>
      </c>
      <c r="H59" s="97" t="e">
        <f t="shared" si="30"/>
        <v>#DIV/0!</v>
      </c>
    </row>
    <row r="60" spans="1:8" ht="15.6" x14ac:dyDescent="0.3">
      <c r="A60" s="567" t="s">
        <v>118</v>
      </c>
      <c r="B60" s="568"/>
      <c r="C60" s="5" t="s">
        <v>117</v>
      </c>
      <c r="D60" s="15" t="e">
        <f>D58/D22</f>
        <v>#DIV/0!</v>
      </c>
      <c r="E60" s="15" t="e">
        <f t="shared" ref="E60:F60" si="32">E58/E22</f>
        <v>#DIV/0!</v>
      </c>
      <c r="F60" s="15" t="e">
        <f t="shared" si="32"/>
        <v>#DIV/0!</v>
      </c>
      <c r="G60" s="15" t="e">
        <f t="shared" ref="G60" si="33">G58/G22</f>
        <v>#DIV/0!</v>
      </c>
      <c r="H60" s="98" t="e">
        <f>H58/H22</f>
        <v>#DIV/0!</v>
      </c>
    </row>
    <row r="61" spans="1:8" ht="15.6" x14ac:dyDescent="0.3">
      <c r="A61" s="549" t="s">
        <v>116</v>
      </c>
      <c r="B61" s="550"/>
      <c r="C61" s="5" t="s">
        <v>3</v>
      </c>
      <c r="D61" s="25">
        <f>Mangochi!L61</f>
        <v>0</v>
      </c>
      <c r="E61" s="4">
        <f>'Monkey Bay'!L61</f>
        <v>0</v>
      </c>
      <c r="F61" s="4">
        <f>Namwera!L61</f>
        <v>0</v>
      </c>
      <c r="G61" s="4">
        <f>Nkhudzi!L61</f>
        <v>0</v>
      </c>
      <c r="H61" s="9">
        <f>SUM(D61:G61)</f>
        <v>0</v>
      </c>
    </row>
    <row r="62" spans="1:8" ht="15.6" customHeight="1" x14ac:dyDescent="0.3">
      <c r="A62" s="567" t="s">
        <v>115</v>
      </c>
      <c r="B62" s="568"/>
      <c r="C62" s="5" t="s">
        <v>114</v>
      </c>
      <c r="D62" s="15" t="e">
        <f t="shared" ref="D62:H62" si="34">(D61*1000*31)/D9</f>
        <v>#DIV/0!</v>
      </c>
      <c r="E62" s="15" t="e">
        <f t="shared" si="34"/>
        <v>#DIV/0!</v>
      </c>
      <c r="F62" s="15" t="e">
        <f t="shared" si="34"/>
        <v>#DIV/0!</v>
      </c>
      <c r="G62" s="15" t="e">
        <f t="shared" ref="G62" si="35">(G61*1000*31)/G9</f>
        <v>#DIV/0!</v>
      </c>
      <c r="H62" s="97" t="e">
        <f t="shared" si="34"/>
        <v>#DIV/0!</v>
      </c>
    </row>
    <row r="63" spans="1:8" ht="15.6" x14ac:dyDescent="0.3">
      <c r="A63" s="571" t="s">
        <v>113</v>
      </c>
      <c r="B63" s="572"/>
      <c r="C63" s="37" t="s">
        <v>3</v>
      </c>
      <c r="D63" s="25">
        <f>Mangochi!L63</f>
        <v>0</v>
      </c>
      <c r="E63" s="4">
        <f>'Monkey Bay'!L63</f>
        <v>0</v>
      </c>
      <c r="F63" s="4">
        <f>Namwera!L63</f>
        <v>0</v>
      </c>
      <c r="G63" s="4">
        <f>Nkhudzi!L63</f>
        <v>0</v>
      </c>
      <c r="H63" s="9">
        <f>SUM(D63:G63)</f>
        <v>0</v>
      </c>
    </row>
    <row r="64" spans="1:8" x14ac:dyDescent="0.3">
      <c r="A64" s="573"/>
      <c r="B64" s="574"/>
      <c r="C64" s="574"/>
      <c r="D64" s="574"/>
      <c r="E64" s="574"/>
      <c r="F64" s="574"/>
      <c r="G64" s="574"/>
      <c r="H64" s="575"/>
    </row>
    <row r="65" spans="1:8" ht="14.4" customHeight="1" x14ac:dyDescent="0.3">
      <c r="A65" s="564" t="s">
        <v>112</v>
      </c>
      <c r="B65" s="565"/>
      <c r="C65" s="565"/>
      <c r="D65" s="565"/>
      <c r="E65" s="629"/>
      <c r="F65" s="629"/>
      <c r="G65" s="629"/>
      <c r="H65" s="566"/>
    </row>
    <row r="66" spans="1:8" ht="15.6" x14ac:dyDescent="0.3">
      <c r="A66" s="582" t="s">
        <v>111</v>
      </c>
      <c r="B66" s="36" t="s">
        <v>85</v>
      </c>
      <c r="C66" s="5" t="s">
        <v>3</v>
      </c>
      <c r="D66" s="25">
        <f>Mangochi!J66</f>
        <v>0</v>
      </c>
      <c r="E66" s="25">
        <f>'Monkey Bay'!J66</f>
        <v>0</v>
      </c>
      <c r="F66" s="25">
        <f>Namwera!J66</f>
        <v>0</v>
      </c>
      <c r="G66" s="25">
        <f>Nkhudzi!J66</f>
        <v>0</v>
      </c>
      <c r="H66" s="34">
        <f t="shared" ref="H66:H70" si="36">SUM(D66:G66)</f>
        <v>0</v>
      </c>
    </row>
    <row r="67" spans="1:8" ht="15.6" x14ac:dyDescent="0.3">
      <c r="A67" s="583"/>
      <c r="B67" s="23" t="s">
        <v>106</v>
      </c>
      <c r="C67" s="5" t="s">
        <v>3</v>
      </c>
      <c r="D67" s="25">
        <f>Mangochi!J67+Mangochi!K67+Mangochi!L67</f>
        <v>0</v>
      </c>
      <c r="E67" s="25">
        <f>'Monkey Bay'!J67+'Monkey Bay'!K67+'Monkey Bay'!L67</f>
        <v>0</v>
      </c>
      <c r="F67" s="25">
        <f>Namwera!J67+Namwera!K67+Namwera!L67</f>
        <v>0</v>
      </c>
      <c r="G67" s="25">
        <f>Nkhudzi!J67+Nkhudzi!K67+Nkhudzi!L67</f>
        <v>0</v>
      </c>
      <c r="H67" s="34">
        <f t="shared" si="36"/>
        <v>0</v>
      </c>
    </row>
    <row r="68" spans="1:8" ht="27" x14ac:dyDescent="0.3">
      <c r="A68" s="583"/>
      <c r="B68" s="23" t="s">
        <v>105</v>
      </c>
      <c r="C68" s="5" t="s">
        <v>3</v>
      </c>
      <c r="D68" s="25">
        <f>Mangochi!J68+Mangochi!K68+Mangochi!L68</f>
        <v>0</v>
      </c>
      <c r="E68" s="25">
        <f>'Monkey Bay'!J68+'Monkey Bay'!K68+'Monkey Bay'!L68</f>
        <v>0</v>
      </c>
      <c r="F68" s="25">
        <f>Namwera!J68+Namwera!K68+Namwera!L68</f>
        <v>0</v>
      </c>
      <c r="G68" s="25">
        <f>Nkhudzi!J68+Nkhudzi!K68+Nkhudzi!L68</f>
        <v>0</v>
      </c>
      <c r="H68" s="34">
        <f t="shared" si="36"/>
        <v>0</v>
      </c>
    </row>
    <row r="69" spans="1:8" s="2" customFormat="1" ht="27" x14ac:dyDescent="0.3">
      <c r="A69" s="583"/>
      <c r="B69" s="23" t="s">
        <v>104</v>
      </c>
      <c r="C69" s="11" t="s">
        <v>3</v>
      </c>
      <c r="D69" s="25">
        <f>Mangochi!J69+Mangochi!K69+Mangochi!L69</f>
        <v>0</v>
      </c>
      <c r="E69" s="25">
        <f>'Monkey Bay'!J69+'Monkey Bay'!K69+'Monkey Bay'!L69</f>
        <v>0</v>
      </c>
      <c r="F69" s="25">
        <f>Namwera!J69+Namwera!K69+Namwera!L69</f>
        <v>0</v>
      </c>
      <c r="G69" s="25">
        <f>Nkhudzi!J69+Nkhudzi!K69+Nkhudzi!L69</f>
        <v>0</v>
      </c>
      <c r="H69" s="34">
        <f t="shared" si="36"/>
        <v>0</v>
      </c>
    </row>
    <row r="70" spans="1:8" s="2" customFormat="1" ht="15.6" x14ac:dyDescent="0.3">
      <c r="A70" s="583"/>
      <c r="B70" s="23" t="s">
        <v>190</v>
      </c>
      <c r="C70" s="11" t="s">
        <v>3</v>
      </c>
      <c r="D70" s="4">
        <f>D68+D69</f>
        <v>0</v>
      </c>
      <c r="E70" s="25">
        <f t="shared" ref="E70:F70" si="37">E68+E69</f>
        <v>0</v>
      </c>
      <c r="F70" s="25">
        <f t="shared" si="37"/>
        <v>0</v>
      </c>
      <c r="G70" s="25">
        <f>Nkhudzi!J70+Nkhudzi!K70+Nkhudzi!L70</f>
        <v>0</v>
      </c>
      <c r="H70" s="34">
        <f t="shared" si="36"/>
        <v>0</v>
      </c>
    </row>
    <row r="71" spans="1:8" ht="15.6" x14ac:dyDescent="0.3">
      <c r="A71" s="584"/>
      <c r="B71" s="36" t="s">
        <v>81</v>
      </c>
      <c r="C71" s="5" t="s">
        <v>3</v>
      </c>
      <c r="D71" s="25">
        <f>D66+D67-D70</f>
        <v>0</v>
      </c>
      <c r="E71" s="25">
        <f t="shared" ref="E71:F71" si="38">E66+E67-E70</f>
        <v>0</v>
      </c>
      <c r="F71" s="25">
        <f t="shared" si="38"/>
        <v>0</v>
      </c>
      <c r="G71" s="25">
        <f t="shared" ref="G71" si="39">G66+G67-G70</f>
        <v>0</v>
      </c>
      <c r="H71" s="54">
        <f>H66+H67-H70</f>
        <v>0</v>
      </c>
    </row>
    <row r="72" spans="1:8" ht="15.6" x14ac:dyDescent="0.3">
      <c r="A72" s="582" t="s">
        <v>110</v>
      </c>
      <c r="B72" s="36" t="s">
        <v>85</v>
      </c>
      <c r="C72" s="5" t="s">
        <v>3</v>
      </c>
      <c r="D72" s="25">
        <f>Mangochi!J72</f>
        <v>0</v>
      </c>
      <c r="E72" s="25">
        <f>'Monkey Bay'!J72</f>
        <v>0</v>
      </c>
      <c r="F72" s="25">
        <f>Namwera!J72</f>
        <v>0</v>
      </c>
      <c r="G72" s="25">
        <f>Nkhudzi!J72+Nkhudzi!K72+Nkhudzi!L72</f>
        <v>0</v>
      </c>
      <c r="H72" s="34">
        <f t="shared" ref="H72:H76" si="40">SUM(D72:G72)</f>
        <v>0</v>
      </c>
    </row>
    <row r="73" spans="1:8" ht="15.6" x14ac:dyDescent="0.3">
      <c r="A73" s="583"/>
      <c r="B73" s="23" t="s">
        <v>106</v>
      </c>
      <c r="C73" s="5" t="s">
        <v>3</v>
      </c>
      <c r="D73" s="25">
        <f>Mangochi!J73+Mangochi!K73+Mangochi!L73</f>
        <v>0</v>
      </c>
      <c r="E73" s="25">
        <f>'Monkey Bay'!J73+'Monkey Bay'!K73+'Monkey Bay'!L73</f>
        <v>0</v>
      </c>
      <c r="F73" s="25">
        <f>Namwera!J73+Namwera!K73+Namwera!L73</f>
        <v>0</v>
      </c>
      <c r="G73" s="25">
        <f>Nkhudzi!J73+Nkhudzi!K73+Nkhudzi!L73</f>
        <v>0</v>
      </c>
      <c r="H73" s="34">
        <f t="shared" si="40"/>
        <v>0</v>
      </c>
    </row>
    <row r="74" spans="1:8" ht="27" x14ac:dyDescent="0.3">
      <c r="A74" s="583"/>
      <c r="B74" s="23" t="s">
        <v>105</v>
      </c>
      <c r="C74" s="5" t="s">
        <v>3</v>
      </c>
      <c r="D74" s="25">
        <f>Mangochi!J74+Mangochi!K74+Mangochi!L74</f>
        <v>0</v>
      </c>
      <c r="E74" s="25">
        <f>'Monkey Bay'!J74+'Monkey Bay'!K74+'Monkey Bay'!L74</f>
        <v>0</v>
      </c>
      <c r="F74" s="25">
        <f>Namwera!J74+Namwera!K74+Namwera!L74</f>
        <v>0</v>
      </c>
      <c r="G74" s="25">
        <f>Nkhudzi!J74+Nkhudzi!K74+Nkhudzi!L74</f>
        <v>0</v>
      </c>
      <c r="H74" s="34">
        <f t="shared" si="40"/>
        <v>0</v>
      </c>
    </row>
    <row r="75" spans="1:8" s="2" customFormat="1" ht="27" x14ac:dyDescent="0.3">
      <c r="A75" s="583"/>
      <c r="B75" s="23" t="s">
        <v>104</v>
      </c>
      <c r="C75" s="11" t="s">
        <v>3</v>
      </c>
      <c r="D75" s="25">
        <f>Mangochi!J75+Mangochi!K75+Mangochi!L75</f>
        <v>0</v>
      </c>
      <c r="E75" s="25">
        <f>'Monkey Bay'!J75+'Monkey Bay'!K75+'Monkey Bay'!L75</f>
        <v>0</v>
      </c>
      <c r="F75" s="25">
        <f>Namwera!J75+Namwera!K75+Namwera!L75</f>
        <v>0</v>
      </c>
      <c r="G75" s="25">
        <f>Nkhudzi!J75+Nkhudzi!K75+Nkhudzi!L75</f>
        <v>0</v>
      </c>
      <c r="H75" s="34">
        <f t="shared" si="40"/>
        <v>0</v>
      </c>
    </row>
    <row r="76" spans="1:8" s="2" customFormat="1" ht="15.6" x14ac:dyDescent="0.3">
      <c r="A76" s="583"/>
      <c r="B76" s="23" t="s">
        <v>190</v>
      </c>
      <c r="C76" s="11" t="s">
        <v>3</v>
      </c>
      <c r="D76" s="4">
        <f>D74+D75</f>
        <v>0</v>
      </c>
      <c r="E76" s="25">
        <f t="shared" ref="E76:F76" si="41">E74+E75</f>
        <v>0</v>
      </c>
      <c r="F76" s="25">
        <f t="shared" si="41"/>
        <v>0</v>
      </c>
      <c r="G76" s="25">
        <f>Nkhudzi!J76+Nkhudzi!K76+Nkhudzi!L76</f>
        <v>0</v>
      </c>
      <c r="H76" s="34">
        <f t="shared" si="40"/>
        <v>0</v>
      </c>
    </row>
    <row r="77" spans="1:8" ht="15.6" x14ac:dyDescent="0.3">
      <c r="A77" s="584"/>
      <c r="B77" s="36" t="s">
        <v>81</v>
      </c>
      <c r="C77" s="5" t="s">
        <v>3</v>
      </c>
      <c r="D77" s="25">
        <f>D73+D74-D76</f>
        <v>0</v>
      </c>
      <c r="E77" s="25">
        <f t="shared" ref="E77:F77" si="42">E73+E74-E76</f>
        <v>0</v>
      </c>
      <c r="F77" s="25">
        <f t="shared" si="42"/>
        <v>0</v>
      </c>
      <c r="G77" s="25">
        <f t="shared" ref="G77" si="43">G73+G74-G76</f>
        <v>0</v>
      </c>
      <c r="H77" s="54">
        <f>H72+H73-H76</f>
        <v>0</v>
      </c>
    </row>
    <row r="78" spans="1:8" ht="15.6" customHeight="1" x14ac:dyDescent="0.3">
      <c r="A78" s="582" t="s">
        <v>109</v>
      </c>
      <c r="B78" s="36" t="s">
        <v>85</v>
      </c>
      <c r="C78" s="5" t="s">
        <v>3</v>
      </c>
      <c r="D78" s="25">
        <f>Mangochi!J78</f>
        <v>0</v>
      </c>
      <c r="E78" s="25">
        <f>'Monkey Bay'!J78</f>
        <v>0</v>
      </c>
      <c r="F78" s="25">
        <f>Namwera!J78</f>
        <v>0</v>
      </c>
      <c r="G78" s="25">
        <f>Nkhudzi!J78+Nkhudzi!K78+Nkhudzi!L78</f>
        <v>0</v>
      </c>
      <c r="H78" s="34">
        <f>SUM(D78:F78)</f>
        <v>0</v>
      </c>
    </row>
    <row r="79" spans="1:8" ht="15.6" x14ac:dyDescent="0.3">
      <c r="A79" s="583"/>
      <c r="B79" s="23" t="s">
        <v>106</v>
      </c>
      <c r="C79" s="5" t="s">
        <v>3</v>
      </c>
      <c r="D79" s="25">
        <f>Mangochi!J79+Mangochi!K79+Mangochi!L79</f>
        <v>0</v>
      </c>
      <c r="E79" s="25">
        <f>'Monkey Bay'!J79+'Monkey Bay'!K79+'Monkey Bay'!L79</f>
        <v>0</v>
      </c>
      <c r="F79" s="25">
        <f>Namwera!J79+Namwera!K79+Namwera!L79</f>
        <v>0</v>
      </c>
      <c r="G79" s="25">
        <f>Nkhudzi!J79+Nkhudzi!K79+Nkhudzi!L79</f>
        <v>0</v>
      </c>
      <c r="H79" s="34">
        <f t="shared" ref="H79:H82" si="44">SUM(D79:G79)</f>
        <v>0</v>
      </c>
    </row>
    <row r="80" spans="1:8" ht="27" x14ac:dyDescent="0.3">
      <c r="A80" s="583"/>
      <c r="B80" s="23" t="s">
        <v>105</v>
      </c>
      <c r="C80" s="5" t="s">
        <v>3</v>
      </c>
      <c r="D80" s="25">
        <f>Mangochi!J80+Mangochi!K80+Mangochi!L80</f>
        <v>0</v>
      </c>
      <c r="E80" s="25">
        <f>'Monkey Bay'!J80+'Monkey Bay'!K80+'Monkey Bay'!L80</f>
        <v>0</v>
      </c>
      <c r="F80" s="25">
        <f>Namwera!J80+Namwera!K80+Namwera!L80</f>
        <v>0</v>
      </c>
      <c r="G80" s="25">
        <f>Nkhudzi!J80+Nkhudzi!K80+Nkhudzi!L80</f>
        <v>0</v>
      </c>
      <c r="H80" s="34">
        <f t="shared" si="44"/>
        <v>0</v>
      </c>
    </row>
    <row r="81" spans="1:8" s="2" customFormat="1" ht="27" x14ac:dyDescent="0.3">
      <c r="A81" s="583"/>
      <c r="B81" s="23" t="s">
        <v>104</v>
      </c>
      <c r="C81" s="11" t="s">
        <v>3</v>
      </c>
      <c r="D81" s="25">
        <f>Mangochi!J81+Mangochi!K81+Mangochi!L81</f>
        <v>0</v>
      </c>
      <c r="E81" s="25">
        <f>'Monkey Bay'!J81+'Monkey Bay'!K81+'Monkey Bay'!L81</f>
        <v>0</v>
      </c>
      <c r="F81" s="25">
        <f>Namwera!J81+Namwera!K81+Namwera!L81</f>
        <v>0</v>
      </c>
      <c r="G81" s="25">
        <f>Nkhudzi!J81+Nkhudzi!K81+Nkhudzi!L81</f>
        <v>0</v>
      </c>
      <c r="H81" s="34">
        <f t="shared" si="44"/>
        <v>0</v>
      </c>
    </row>
    <row r="82" spans="1:8" s="2" customFormat="1" ht="15.6" x14ac:dyDescent="0.3">
      <c r="A82" s="583"/>
      <c r="B82" s="23" t="s">
        <v>190</v>
      </c>
      <c r="C82" s="11" t="s">
        <v>3</v>
      </c>
      <c r="D82" s="4">
        <f>D81+D80</f>
        <v>0</v>
      </c>
      <c r="E82" s="25">
        <f t="shared" ref="E82:F82" si="45">E81+E80</f>
        <v>0</v>
      </c>
      <c r="F82" s="25">
        <f t="shared" si="45"/>
        <v>0</v>
      </c>
      <c r="G82" s="25">
        <f>Nkhudzi!J82+Nkhudzi!K82+Nkhudzi!L82</f>
        <v>0</v>
      </c>
      <c r="H82" s="34">
        <f t="shared" si="44"/>
        <v>0</v>
      </c>
    </row>
    <row r="83" spans="1:8" ht="15.6" x14ac:dyDescent="0.3">
      <c r="A83" s="584"/>
      <c r="B83" s="36" t="s">
        <v>81</v>
      </c>
      <c r="C83" s="5" t="s">
        <v>3</v>
      </c>
      <c r="D83" s="25">
        <f>D78+D79-D82</f>
        <v>0</v>
      </c>
      <c r="E83" s="25">
        <f>'Monkey Bay'!J83+'Monkey Bay'!K83+'Monkey Bay'!L83</f>
        <v>0</v>
      </c>
      <c r="F83" s="25">
        <f t="shared" ref="F83:G83" si="46">F78+F79-F82</f>
        <v>0</v>
      </c>
      <c r="G83" s="25">
        <f t="shared" si="46"/>
        <v>0</v>
      </c>
      <c r="H83" s="54">
        <f>H78+H79-H82</f>
        <v>0</v>
      </c>
    </row>
    <row r="84" spans="1:8" ht="15.6" x14ac:dyDescent="0.3">
      <c r="A84" s="585" t="s">
        <v>108</v>
      </c>
      <c r="B84" s="36" t="s">
        <v>85</v>
      </c>
      <c r="C84" s="5" t="s">
        <v>3</v>
      </c>
      <c r="D84" s="25">
        <f>Mangochi!J84</f>
        <v>0</v>
      </c>
      <c r="E84" s="25">
        <f>'Monkey Bay'!J84</f>
        <v>0</v>
      </c>
      <c r="F84" s="25">
        <f>Namwera!J84</f>
        <v>0</v>
      </c>
      <c r="G84" s="25">
        <f>Nkhudzi!J84+Nkhudzi!K84+Nkhudzi!L84</f>
        <v>0</v>
      </c>
      <c r="H84" s="34">
        <f t="shared" ref="H84:H88" si="47">SUM(D84:G84)</f>
        <v>0</v>
      </c>
    </row>
    <row r="85" spans="1:8" ht="15.6" x14ac:dyDescent="0.3">
      <c r="A85" s="586"/>
      <c r="B85" s="36" t="s">
        <v>106</v>
      </c>
      <c r="C85" s="5" t="s">
        <v>3</v>
      </c>
      <c r="D85" s="25">
        <f>Mangochi!J85+Mangochi!K85+Mangochi!L85</f>
        <v>0</v>
      </c>
      <c r="E85" s="25">
        <f>'Monkey Bay'!J85+'Monkey Bay'!K85+'Monkey Bay'!L85</f>
        <v>0</v>
      </c>
      <c r="F85" s="25">
        <f>Namwera!J85+Namwera!K85+Namwera!L85</f>
        <v>0</v>
      </c>
      <c r="G85" s="25">
        <f>Nkhudzi!J85+Nkhudzi!K85+Nkhudzi!L85</f>
        <v>0</v>
      </c>
      <c r="H85" s="34">
        <f t="shared" si="47"/>
        <v>0</v>
      </c>
    </row>
    <row r="86" spans="1:8" ht="27" x14ac:dyDescent="0.3">
      <c r="A86" s="586"/>
      <c r="B86" s="36" t="s">
        <v>105</v>
      </c>
      <c r="C86" s="5" t="s">
        <v>3</v>
      </c>
      <c r="D86" s="25">
        <f>Mangochi!J86+Mangochi!K86+Mangochi!L86</f>
        <v>0</v>
      </c>
      <c r="E86" s="25">
        <f>'Monkey Bay'!J86+'Monkey Bay'!K86+'Monkey Bay'!L86</f>
        <v>0</v>
      </c>
      <c r="F86" s="25">
        <f>Namwera!J86+Namwera!K86+Namwera!L86</f>
        <v>0</v>
      </c>
      <c r="G86" s="25">
        <f>Nkhudzi!J86+Nkhudzi!K86+Nkhudzi!L86</f>
        <v>0</v>
      </c>
      <c r="H86" s="34">
        <f t="shared" si="47"/>
        <v>0</v>
      </c>
    </row>
    <row r="87" spans="1:8" s="2" customFormat="1" ht="27" x14ac:dyDescent="0.3">
      <c r="A87" s="586"/>
      <c r="B87" s="23" t="s">
        <v>104</v>
      </c>
      <c r="C87" s="11" t="s">
        <v>3</v>
      </c>
      <c r="D87" s="25">
        <f>Mangochi!J87+Mangochi!K87+Mangochi!L87</f>
        <v>0</v>
      </c>
      <c r="E87" s="25">
        <f>'Monkey Bay'!J87+'Monkey Bay'!K87+'Monkey Bay'!L87</f>
        <v>0</v>
      </c>
      <c r="F87" s="25">
        <f>Namwera!J87+Namwera!K87+Namwera!L87</f>
        <v>0</v>
      </c>
      <c r="G87" s="25">
        <f>Nkhudzi!J87+Nkhudzi!K87+Nkhudzi!L87</f>
        <v>0</v>
      </c>
      <c r="H87" s="34">
        <f t="shared" si="47"/>
        <v>0</v>
      </c>
    </row>
    <row r="88" spans="1:8" s="2" customFormat="1" ht="15.6" x14ac:dyDescent="0.3">
      <c r="A88" s="586"/>
      <c r="B88" s="23" t="s">
        <v>190</v>
      </c>
      <c r="C88" s="11" t="s">
        <v>3</v>
      </c>
      <c r="D88" s="4">
        <f>D87+D86</f>
        <v>0</v>
      </c>
      <c r="E88" s="25">
        <f t="shared" ref="E88:F88" si="48">E87+E86</f>
        <v>0</v>
      </c>
      <c r="F88" s="25">
        <f t="shared" si="48"/>
        <v>0</v>
      </c>
      <c r="G88" s="25">
        <f>Nkhudzi!J88+Nkhudzi!K88+Nkhudzi!L88</f>
        <v>0</v>
      </c>
      <c r="H88" s="34">
        <f t="shared" si="47"/>
        <v>0</v>
      </c>
    </row>
    <row r="89" spans="1:8" ht="15.6" x14ac:dyDescent="0.3">
      <c r="A89" s="587"/>
      <c r="B89" s="35" t="s">
        <v>81</v>
      </c>
      <c r="C89" s="5" t="s">
        <v>3</v>
      </c>
      <c r="D89" s="25">
        <f>D84+D85-D88</f>
        <v>0</v>
      </c>
      <c r="E89" s="25">
        <f t="shared" ref="E89:F89" si="49">E84+E85-E88</f>
        <v>0</v>
      </c>
      <c r="F89" s="25">
        <f t="shared" si="49"/>
        <v>0</v>
      </c>
      <c r="G89" s="25">
        <f t="shared" ref="G89" si="50">G84+G85-G88</f>
        <v>0</v>
      </c>
      <c r="H89" s="54">
        <f>H84+H85-H88</f>
        <v>0</v>
      </c>
    </row>
    <row r="90" spans="1:8" ht="15.6" x14ac:dyDescent="0.3">
      <c r="A90" s="588" t="s">
        <v>107</v>
      </c>
      <c r="B90" s="23" t="s">
        <v>85</v>
      </c>
      <c r="C90" s="11" t="s">
        <v>3</v>
      </c>
      <c r="D90" s="125">
        <f t="shared" ref="D90:E93" si="51">D66+D72+D78+D84</f>
        <v>0</v>
      </c>
      <c r="E90" s="125">
        <f t="shared" si="51"/>
        <v>0</v>
      </c>
      <c r="F90" s="125">
        <f t="shared" ref="F90:G90" si="52">F66+F72+F78+F84</f>
        <v>0</v>
      </c>
      <c r="G90" s="125">
        <f t="shared" si="52"/>
        <v>0</v>
      </c>
      <c r="H90" s="34">
        <f t="shared" ref="H90:H94" si="53">SUM(D90:G90)</f>
        <v>0</v>
      </c>
    </row>
    <row r="91" spans="1:8" ht="15.6" x14ac:dyDescent="0.3">
      <c r="A91" s="589"/>
      <c r="B91" s="23" t="s">
        <v>106</v>
      </c>
      <c r="C91" s="11" t="s">
        <v>3</v>
      </c>
      <c r="D91" s="125">
        <f t="shared" si="51"/>
        <v>0</v>
      </c>
      <c r="E91" s="125">
        <f t="shared" si="51"/>
        <v>0</v>
      </c>
      <c r="F91" s="125">
        <f t="shared" ref="F91:G91" si="54">F67+F73+F79+F85</f>
        <v>0</v>
      </c>
      <c r="G91" s="125">
        <f t="shared" si="54"/>
        <v>0</v>
      </c>
      <c r="H91" s="34">
        <f t="shared" si="53"/>
        <v>0</v>
      </c>
    </row>
    <row r="92" spans="1:8" ht="27" x14ac:dyDescent="0.3">
      <c r="A92" s="589"/>
      <c r="B92" s="23" t="s">
        <v>105</v>
      </c>
      <c r="C92" s="11" t="s">
        <v>3</v>
      </c>
      <c r="D92" s="125">
        <f t="shared" si="51"/>
        <v>0</v>
      </c>
      <c r="E92" s="125">
        <f t="shared" si="51"/>
        <v>0</v>
      </c>
      <c r="F92" s="125">
        <f t="shared" ref="F92:G92" si="55">F68+F74+F80+F86</f>
        <v>0</v>
      </c>
      <c r="G92" s="125">
        <f t="shared" si="55"/>
        <v>0</v>
      </c>
      <c r="H92" s="34">
        <f t="shared" si="53"/>
        <v>0</v>
      </c>
    </row>
    <row r="93" spans="1:8" s="2" customFormat="1" ht="27" x14ac:dyDescent="0.3">
      <c r="A93" s="589"/>
      <c r="B93" s="23" t="s">
        <v>104</v>
      </c>
      <c r="C93" s="11"/>
      <c r="D93" s="125">
        <f t="shared" si="51"/>
        <v>0</v>
      </c>
      <c r="E93" s="125">
        <f t="shared" si="51"/>
        <v>0</v>
      </c>
      <c r="F93" s="125">
        <f t="shared" ref="F93:G93" si="56">F69+F75+F81+F87</f>
        <v>0</v>
      </c>
      <c r="G93" s="125">
        <f t="shared" si="56"/>
        <v>0</v>
      </c>
      <c r="H93" s="34">
        <f t="shared" si="53"/>
        <v>0</v>
      </c>
    </row>
    <row r="94" spans="1:8" s="2" customFormat="1" ht="15.6" x14ac:dyDescent="0.3">
      <c r="A94" s="589"/>
      <c r="B94" s="23" t="s">
        <v>190</v>
      </c>
      <c r="C94" s="11" t="s">
        <v>3</v>
      </c>
      <c r="D94" s="126">
        <f t="shared" ref="D94:E94" si="57">D93+D92</f>
        <v>0</v>
      </c>
      <c r="E94" s="126">
        <f t="shared" si="57"/>
        <v>0</v>
      </c>
      <c r="F94" s="126">
        <f t="shared" ref="F94:G94" si="58">F93+F92</f>
        <v>0</v>
      </c>
      <c r="G94" s="126">
        <f t="shared" si="58"/>
        <v>0</v>
      </c>
      <c r="H94" s="34">
        <f t="shared" si="53"/>
        <v>0</v>
      </c>
    </row>
    <row r="95" spans="1:8" ht="16.2" thickBot="1" x14ac:dyDescent="0.35">
      <c r="A95" s="590"/>
      <c r="B95" s="23" t="s">
        <v>81</v>
      </c>
      <c r="C95" s="11" t="s">
        <v>3</v>
      </c>
      <c r="D95" s="127">
        <f t="shared" ref="D95:E95" si="59">D90+D91-D94</f>
        <v>0</v>
      </c>
      <c r="E95" s="127">
        <f t="shared" si="59"/>
        <v>0</v>
      </c>
      <c r="F95" s="127">
        <f t="shared" ref="F95:G95" si="60">F90+F91-F94</f>
        <v>0</v>
      </c>
      <c r="G95" s="127">
        <f t="shared" si="60"/>
        <v>0</v>
      </c>
      <c r="H95" s="54">
        <f>H90+H91-H94</f>
        <v>0</v>
      </c>
    </row>
    <row r="96" spans="1:8" ht="16.2" customHeight="1" thickBot="1" x14ac:dyDescent="0.35">
      <c r="A96" s="591"/>
      <c r="B96" s="592"/>
      <c r="C96" s="592"/>
      <c r="D96" s="592"/>
      <c r="E96" s="592"/>
      <c r="F96" s="592"/>
      <c r="G96" s="592"/>
      <c r="H96" s="593"/>
    </row>
    <row r="97" spans="1:8" s="2" customFormat="1" ht="15.75" customHeight="1" thickBot="1" x14ac:dyDescent="0.35">
      <c r="A97" s="576" t="s">
        <v>191</v>
      </c>
      <c r="B97" s="577"/>
      <c r="C97" s="577"/>
      <c r="D97" s="577"/>
      <c r="E97" s="577"/>
      <c r="F97" s="577"/>
      <c r="G97" s="577"/>
      <c r="H97" s="578"/>
    </row>
    <row r="98" spans="1:8" ht="15.6" x14ac:dyDescent="0.3">
      <c r="A98" s="85" t="s">
        <v>192</v>
      </c>
      <c r="B98" s="68"/>
      <c r="C98" s="11" t="s">
        <v>3</v>
      </c>
      <c r="D98" s="25">
        <f>Mangochi!J98+Mangochi!K98+Mangochi!L98</f>
        <v>0</v>
      </c>
      <c r="E98" s="171">
        <f>'Monkey Bay'!J98+'Monkey Bay'!K98+'Monkey Bay'!L98</f>
        <v>0</v>
      </c>
      <c r="F98" s="171">
        <f>Namwera!J98+Namwera!K98+Namwera!L98</f>
        <v>0</v>
      </c>
      <c r="G98" s="171">
        <f>Nkhudzi!J98+Nkhudzi!K98+Nkhudzi!L98</f>
        <v>0</v>
      </c>
      <c r="H98" s="102">
        <f t="shared" ref="H98" si="61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49" t="s">
        <v>102</v>
      </c>
      <c r="B101" s="550"/>
      <c r="C101" s="11" t="s">
        <v>3</v>
      </c>
      <c r="D101" s="175">
        <f>Mangochi!L101</f>
        <v>0</v>
      </c>
      <c r="E101" s="174">
        <f>'Monkey Bay'!L101</f>
        <v>0</v>
      </c>
      <c r="F101" s="174">
        <f>Namwera!L101</f>
        <v>0</v>
      </c>
      <c r="G101" s="174">
        <f>Nkhudzi!L101</f>
        <v>0</v>
      </c>
      <c r="H101" s="31">
        <f t="shared" ref="H101:H104" si="62">SUM(D101:G101)</f>
        <v>0</v>
      </c>
    </row>
    <row r="102" spans="1:8" ht="15.6" x14ac:dyDescent="0.3">
      <c r="A102" s="549" t="s">
        <v>101</v>
      </c>
      <c r="B102" s="550"/>
      <c r="C102" s="11" t="s">
        <v>3</v>
      </c>
      <c r="D102" s="25">
        <f>Mangochi!L102</f>
        <v>0</v>
      </c>
      <c r="E102" s="25">
        <f>'Monkey Bay'!L102</f>
        <v>0</v>
      </c>
      <c r="F102" s="25">
        <f>Namwera!L102</f>
        <v>0</v>
      </c>
      <c r="G102" s="25">
        <f>Nkhudzi!L102</f>
        <v>0</v>
      </c>
      <c r="H102" s="31">
        <f t="shared" si="62"/>
        <v>0</v>
      </c>
    </row>
    <row r="103" spans="1:8" ht="15.6" customHeight="1" x14ac:dyDescent="0.3">
      <c r="A103" s="547" t="s">
        <v>100</v>
      </c>
      <c r="B103" s="548"/>
      <c r="C103" s="11" t="s">
        <v>3</v>
      </c>
      <c r="D103" s="25">
        <f>Mangochi!L103</f>
        <v>0</v>
      </c>
      <c r="E103" s="25">
        <f>'Monkey Bay'!L103</f>
        <v>0</v>
      </c>
      <c r="F103" s="25">
        <f>Namwera!L103</f>
        <v>0</v>
      </c>
      <c r="G103" s="25">
        <f>Nkhudzi!L103</f>
        <v>0</v>
      </c>
      <c r="H103" s="31">
        <f t="shared" si="62"/>
        <v>0</v>
      </c>
    </row>
    <row r="104" spans="1:8" ht="15.6" x14ac:dyDescent="0.3">
      <c r="A104" s="547" t="s">
        <v>99</v>
      </c>
      <c r="B104" s="548"/>
      <c r="C104" s="11" t="s">
        <v>3</v>
      </c>
      <c r="D104" s="25">
        <f>Mangochi!L104</f>
        <v>0</v>
      </c>
      <c r="E104" s="25">
        <f>'Monkey Bay'!L104</f>
        <v>0</v>
      </c>
      <c r="F104" s="25">
        <f>Namwera!L104</f>
        <v>0</v>
      </c>
      <c r="G104" s="25">
        <f>Nkhudzi!L104</f>
        <v>0</v>
      </c>
      <c r="H104" s="31">
        <f t="shared" si="62"/>
        <v>0</v>
      </c>
    </row>
    <row r="105" spans="1:8" ht="15.6" x14ac:dyDescent="0.3">
      <c r="A105" s="594" t="s">
        <v>98</v>
      </c>
      <c r="B105" s="595"/>
      <c r="C105" s="11" t="s">
        <v>3</v>
      </c>
      <c r="D105" s="32">
        <f>SUM(D101:D104)</f>
        <v>0</v>
      </c>
      <c r="E105" s="32">
        <f t="shared" ref="E105:H105" si="63">SUM(E101:E104)</f>
        <v>0</v>
      </c>
      <c r="F105" s="32">
        <f t="shared" si="63"/>
        <v>0</v>
      </c>
      <c r="G105" s="32">
        <f t="shared" ref="G105" si="64">SUM(G101:G104)</f>
        <v>0</v>
      </c>
      <c r="H105" s="32">
        <f t="shared" si="63"/>
        <v>0</v>
      </c>
    </row>
    <row r="106" spans="1:8" s="2" customFormat="1" ht="15.6" customHeight="1" thickBot="1" x14ac:dyDescent="0.35">
      <c r="A106" s="596" t="s">
        <v>212</v>
      </c>
      <c r="B106" s="597"/>
      <c r="C106" s="597"/>
      <c r="D106" s="597"/>
      <c r="E106" s="597"/>
      <c r="F106" s="597"/>
      <c r="G106" s="597"/>
      <c r="H106" s="598"/>
    </row>
    <row r="107" spans="1:8" ht="15.6" x14ac:dyDescent="0.3">
      <c r="A107" s="549" t="s">
        <v>195</v>
      </c>
      <c r="B107" s="550"/>
      <c r="C107" s="11" t="s">
        <v>3</v>
      </c>
      <c r="D107" s="175">
        <f>Mangochi!L107</f>
        <v>0</v>
      </c>
      <c r="E107" s="174">
        <f>'Monkey Bay'!L107</f>
        <v>0</v>
      </c>
      <c r="F107" s="174">
        <f>Namwera!L107</f>
        <v>0</v>
      </c>
      <c r="G107" s="174">
        <f>Nkhudzi!L107</f>
        <v>0</v>
      </c>
      <c r="H107" s="31">
        <f t="shared" ref="H107:H110" si="65">SUM(D107:G107)</f>
        <v>0</v>
      </c>
    </row>
    <row r="108" spans="1:8" ht="15.6" x14ac:dyDescent="0.3">
      <c r="A108" s="549" t="s">
        <v>196</v>
      </c>
      <c r="B108" s="550"/>
      <c r="C108" s="11" t="s">
        <v>3</v>
      </c>
      <c r="D108" s="25">
        <f>Mangochi!L108</f>
        <v>0</v>
      </c>
      <c r="E108" s="25">
        <f>'Monkey Bay'!L108</f>
        <v>0</v>
      </c>
      <c r="F108" s="25">
        <f>Namwera!L108</f>
        <v>0</v>
      </c>
      <c r="G108" s="25">
        <f>Nkhudzi!L108</f>
        <v>0</v>
      </c>
      <c r="H108" s="31">
        <f t="shared" si="65"/>
        <v>0</v>
      </c>
    </row>
    <row r="109" spans="1:8" ht="15.6" x14ac:dyDescent="0.3">
      <c r="A109" s="549" t="s">
        <v>197</v>
      </c>
      <c r="B109" s="550"/>
      <c r="C109" s="11" t="s">
        <v>3</v>
      </c>
      <c r="D109" s="25">
        <f>Mangochi!L109</f>
        <v>0</v>
      </c>
      <c r="E109" s="25">
        <f>'Monkey Bay'!L109</f>
        <v>0</v>
      </c>
      <c r="F109" s="25">
        <f>Namwera!L109</f>
        <v>0</v>
      </c>
      <c r="G109" s="25">
        <f>Nkhudzi!L109</f>
        <v>0</v>
      </c>
      <c r="H109" s="31">
        <f t="shared" si="65"/>
        <v>0</v>
      </c>
    </row>
    <row r="110" spans="1:8" ht="15.6" x14ac:dyDescent="0.3">
      <c r="A110" s="549" t="s">
        <v>198</v>
      </c>
      <c r="B110" s="550"/>
      <c r="C110" s="11" t="s">
        <v>3</v>
      </c>
      <c r="D110" s="25">
        <f>Mangochi!L110</f>
        <v>0</v>
      </c>
      <c r="E110" s="25">
        <f>'Monkey Bay'!L110</f>
        <v>0</v>
      </c>
      <c r="F110" s="25">
        <f>Namwera!L110</f>
        <v>0</v>
      </c>
      <c r="G110" s="25">
        <f>Nkhudzi!L110</f>
        <v>0</v>
      </c>
      <c r="H110" s="31">
        <f t="shared" si="65"/>
        <v>0</v>
      </c>
    </row>
    <row r="111" spans="1:8" ht="15.6" x14ac:dyDescent="0.3">
      <c r="A111" s="551" t="s">
        <v>97</v>
      </c>
      <c r="B111" s="552"/>
      <c r="C111" s="11" t="s">
        <v>3</v>
      </c>
      <c r="D111" s="32">
        <f>SUM(D107:D110)</f>
        <v>0</v>
      </c>
      <c r="E111" s="32">
        <f t="shared" ref="E111:H111" si="66">SUM(E107:E110)</f>
        <v>0</v>
      </c>
      <c r="F111" s="32">
        <f t="shared" si="66"/>
        <v>0</v>
      </c>
      <c r="G111" s="32">
        <f t="shared" ref="G111" si="67">SUM(G107:G110)</f>
        <v>0</v>
      </c>
      <c r="H111" s="32">
        <f t="shared" si="66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49" t="s">
        <v>199</v>
      </c>
      <c r="B113" s="550"/>
      <c r="C113" s="11" t="s">
        <v>3</v>
      </c>
      <c r="D113" s="175">
        <f>Mangochi!L113</f>
        <v>0</v>
      </c>
      <c r="E113" s="174">
        <f>'Monkey Bay'!L113</f>
        <v>0</v>
      </c>
      <c r="F113" s="174">
        <f>Namwera!L113</f>
        <v>0</v>
      </c>
      <c r="G113" s="174">
        <f>Nkhudzi!L113</f>
        <v>0</v>
      </c>
      <c r="H113" s="31">
        <f t="shared" ref="H113:H116" si="68">SUM(D113:G113)</f>
        <v>0</v>
      </c>
    </row>
    <row r="114" spans="1:8" ht="15.6" x14ac:dyDescent="0.3">
      <c r="A114" s="549" t="s">
        <v>200</v>
      </c>
      <c r="B114" s="550"/>
      <c r="C114" s="11" t="s">
        <v>3</v>
      </c>
      <c r="D114" s="25">
        <f>Mangochi!L114</f>
        <v>0</v>
      </c>
      <c r="E114" s="25">
        <f>'Monkey Bay'!L114</f>
        <v>0</v>
      </c>
      <c r="F114" s="25">
        <f>Namwera!L114</f>
        <v>0</v>
      </c>
      <c r="G114" s="25">
        <f>Nkhudzi!L114</f>
        <v>0</v>
      </c>
      <c r="H114" s="31">
        <f t="shared" si="68"/>
        <v>0</v>
      </c>
    </row>
    <row r="115" spans="1:8" ht="15.6" x14ac:dyDescent="0.3">
      <c r="A115" s="549" t="s">
        <v>201</v>
      </c>
      <c r="B115" s="550"/>
      <c r="C115" s="11" t="s">
        <v>3</v>
      </c>
      <c r="D115" s="25">
        <f>Mangochi!L115</f>
        <v>0</v>
      </c>
      <c r="E115" s="25">
        <f>'Monkey Bay'!L115</f>
        <v>0</v>
      </c>
      <c r="F115" s="25">
        <f>Namwera!L115</f>
        <v>0</v>
      </c>
      <c r="G115" s="25">
        <f>Nkhudzi!L115</f>
        <v>0</v>
      </c>
      <c r="H115" s="31">
        <f t="shared" si="68"/>
        <v>0</v>
      </c>
    </row>
    <row r="116" spans="1:8" ht="15.6" x14ac:dyDescent="0.3">
      <c r="A116" s="549" t="s">
        <v>202</v>
      </c>
      <c r="B116" s="550"/>
      <c r="C116" s="11" t="s">
        <v>3</v>
      </c>
      <c r="D116" s="25">
        <f>Mangochi!L116</f>
        <v>0</v>
      </c>
      <c r="E116" s="25">
        <f>'Monkey Bay'!L116</f>
        <v>0</v>
      </c>
      <c r="F116" s="25">
        <f>Namwera!L116</f>
        <v>0</v>
      </c>
      <c r="G116" s="25">
        <f>Nkhudzi!L116</f>
        <v>0</v>
      </c>
      <c r="H116" s="31">
        <f t="shared" si="68"/>
        <v>0</v>
      </c>
    </row>
    <row r="117" spans="1:8" ht="15.6" x14ac:dyDescent="0.3">
      <c r="A117" s="551" t="s">
        <v>96</v>
      </c>
      <c r="B117" s="552"/>
      <c r="C117" s="11" t="s">
        <v>3</v>
      </c>
      <c r="D117" s="32">
        <f>SUM(D113:D116)</f>
        <v>0</v>
      </c>
      <c r="E117" s="32">
        <f t="shared" ref="E117:H117" si="69">SUM(E113:E116)</f>
        <v>0</v>
      </c>
      <c r="F117" s="32">
        <f t="shared" si="69"/>
        <v>0</v>
      </c>
      <c r="G117" s="32">
        <f t="shared" ref="G117" si="70">SUM(G113:G116)</f>
        <v>0</v>
      </c>
      <c r="H117" s="32">
        <f t="shared" si="69"/>
        <v>0</v>
      </c>
    </row>
    <row r="118" spans="1:8" s="2" customFormat="1" ht="15.6" x14ac:dyDescent="0.3">
      <c r="A118" s="77" t="s">
        <v>193</v>
      </c>
      <c r="B118" s="78"/>
      <c r="C118" s="11" t="s">
        <v>3</v>
      </c>
      <c r="D118" s="32">
        <f t="shared" ref="D118:F118" si="71">D117+D111</f>
        <v>0</v>
      </c>
      <c r="E118" s="32">
        <f t="shared" si="71"/>
        <v>0</v>
      </c>
      <c r="F118" s="32">
        <f t="shared" si="71"/>
        <v>0</v>
      </c>
      <c r="G118" s="32">
        <f t="shared" ref="G118" si="72">G117+G111</f>
        <v>0</v>
      </c>
      <c r="H118" s="54">
        <f t="shared" ref="H118" si="73">H117+H112</f>
        <v>0</v>
      </c>
    </row>
    <row r="119" spans="1:8" ht="15.6" x14ac:dyDescent="0.3">
      <c r="A119" s="551" t="s">
        <v>194</v>
      </c>
      <c r="B119" s="552"/>
      <c r="C119" s="11" t="s">
        <v>3</v>
      </c>
      <c r="D119" s="32">
        <f>D118+D105</f>
        <v>0</v>
      </c>
      <c r="E119" s="32">
        <f t="shared" ref="E119:F119" si="74">E118+E105</f>
        <v>0</v>
      </c>
      <c r="F119" s="32">
        <f t="shared" si="74"/>
        <v>0</v>
      </c>
      <c r="G119" s="32">
        <f t="shared" ref="G119" si="75">G118+G105</f>
        <v>0</v>
      </c>
      <c r="H119" s="54">
        <f t="shared" ref="H119" si="76">H118+H106</f>
        <v>0</v>
      </c>
    </row>
    <row r="120" spans="1:8" ht="15" thickBot="1" x14ac:dyDescent="0.35">
      <c r="A120" s="543" t="s">
        <v>203</v>
      </c>
      <c r="B120" s="544"/>
      <c r="C120" s="544"/>
      <c r="D120" s="544"/>
      <c r="E120" s="544"/>
      <c r="F120" s="544"/>
      <c r="G120" s="544"/>
      <c r="H120" s="546"/>
    </row>
    <row r="121" spans="1:8" ht="16.2" thickBot="1" x14ac:dyDescent="0.35">
      <c r="A121" s="549" t="s">
        <v>95</v>
      </c>
      <c r="B121" s="550"/>
      <c r="C121" s="5" t="s">
        <v>3</v>
      </c>
      <c r="D121" s="175">
        <f>Mangochi!L121</f>
        <v>0</v>
      </c>
      <c r="E121" s="174">
        <f>'Monkey Bay'!L121</f>
        <v>0</v>
      </c>
      <c r="F121" s="174">
        <f>Namwera!L121</f>
        <v>0</v>
      </c>
      <c r="G121" s="174">
        <f>Nkhudzi!L121</f>
        <v>0</v>
      </c>
      <c r="H121" s="30">
        <f>SUM(D121:G121)</f>
        <v>0</v>
      </c>
    </row>
    <row r="122" spans="1:8" ht="15.6" x14ac:dyDescent="0.3">
      <c r="A122" s="549" t="s">
        <v>94</v>
      </c>
      <c r="B122" s="550"/>
      <c r="C122" s="5" t="s">
        <v>3</v>
      </c>
      <c r="D122" s="175">
        <f>Mangochi!L122</f>
        <v>0</v>
      </c>
      <c r="E122" s="174">
        <f>'Monkey Bay'!L122</f>
        <v>0</v>
      </c>
      <c r="F122" s="174">
        <f>Namwera!L122</f>
        <v>0</v>
      </c>
      <c r="G122" s="174">
        <f>Nkhudzi!L122</f>
        <v>0</v>
      </c>
      <c r="H122" s="30">
        <f>SUM(D122:G122)</f>
        <v>0</v>
      </c>
    </row>
    <row r="123" spans="1:8" ht="15.6" x14ac:dyDescent="0.3">
      <c r="A123" s="603" t="s">
        <v>93</v>
      </c>
      <c r="B123" s="604"/>
      <c r="C123" s="29" t="s">
        <v>6</v>
      </c>
      <c r="D123" s="28" t="e">
        <f t="shared" ref="D123:H123" si="77">D122/D121</f>
        <v>#DIV/0!</v>
      </c>
      <c r="E123" s="28" t="e">
        <f t="shared" si="77"/>
        <v>#DIV/0!</v>
      </c>
      <c r="F123" s="28" t="e">
        <f t="shared" si="77"/>
        <v>#DIV/0!</v>
      </c>
      <c r="G123" s="28" t="e">
        <f t="shared" ref="G123" si="78">G122/G121</f>
        <v>#DIV/0!</v>
      </c>
      <c r="H123" s="103" t="e">
        <f t="shared" si="77"/>
        <v>#DIV/0!</v>
      </c>
    </row>
    <row r="124" spans="1:8" x14ac:dyDescent="0.3">
      <c r="A124" s="599" t="s">
        <v>92</v>
      </c>
      <c r="B124" s="600"/>
      <c r="C124" s="600"/>
      <c r="D124" s="600"/>
      <c r="E124" s="600"/>
      <c r="F124" s="600"/>
      <c r="G124" s="600"/>
      <c r="H124" s="601"/>
    </row>
    <row r="125" spans="1:8" ht="15.6" x14ac:dyDescent="0.3">
      <c r="A125" s="555" t="s">
        <v>91</v>
      </c>
      <c r="B125" s="23" t="s">
        <v>85</v>
      </c>
      <c r="C125" s="11" t="s">
        <v>3</v>
      </c>
      <c r="D125" s="25">
        <f>Mangochi!J125</f>
        <v>0</v>
      </c>
      <c r="E125" s="25">
        <f>'Monkey Bay'!J125</f>
        <v>0</v>
      </c>
      <c r="F125" s="25">
        <f>Namwera!J125</f>
        <v>0</v>
      </c>
      <c r="G125" s="25">
        <f>Nkhudzi!J125</f>
        <v>0</v>
      </c>
      <c r="H125" s="24">
        <f>D125</f>
        <v>0</v>
      </c>
    </row>
    <row r="126" spans="1:8" ht="15.6" x14ac:dyDescent="0.3">
      <c r="A126" s="602"/>
      <c r="B126" s="23" t="s">
        <v>84</v>
      </c>
      <c r="C126" s="11" t="s">
        <v>3</v>
      </c>
      <c r="D126" s="25">
        <f>Mangochi!J126+Mangochi!K126+Mangochi!L126</f>
        <v>0</v>
      </c>
      <c r="E126" s="25">
        <f>'Monkey Bay'!J126+'Monkey Bay'!K126+'Monkey Bay'!L126</f>
        <v>0</v>
      </c>
      <c r="F126" s="25">
        <f>Namwera!J126+Namwera!K126+Namwera!L126</f>
        <v>0</v>
      </c>
      <c r="G126" s="25">
        <f>Nkhudzi!J126+Nkhudzi!K126+Nkhudzi!L126</f>
        <v>0</v>
      </c>
      <c r="H126" s="18">
        <f>SUM(D126:F126)</f>
        <v>0</v>
      </c>
    </row>
    <row r="127" spans="1:8" ht="15.6" x14ac:dyDescent="0.3">
      <c r="A127" s="602"/>
      <c r="B127" s="79" t="s">
        <v>88</v>
      </c>
      <c r="C127" s="11" t="s">
        <v>3</v>
      </c>
      <c r="D127" s="25">
        <f>Mangochi!J127+Mangochi!K127+Mangochi!L127</f>
        <v>0</v>
      </c>
      <c r="E127" s="25">
        <f>'Monkey Bay'!J127+'Monkey Bay'!K127+'Monkey Bay'!L127</f>
        <v>0</v>
      </c>
      <c r="F127" s="25">
        <f>Namwera!J127+Namwera!K127+Namwera!L127</f>
        <v>0</v>
      </c>
      <c r="G127" s="25">
        <f>Nkhudzi!J127+Nkhudzi!K127+Nkhudzi!L127</f>
        <v>0</v>
      </c>
      <c r="H127" s="18">
        <f>SUM(D127:F127)</f>
        <v>0</v>
      </c>
    </row>
    <row r="128" spans="1:8" ht="15.6" x14ac:dyDescent="0.3">
      <c r="A128" s="602"/>
      <c r="B128" s="23" t="s">
        <v>82</v>
      </c>
      <c r="C128" s="11" t="s">
        <v>3</v>
      </c>
      <c r="D128" s="25">
        <f>Mangochi!J128+Mangochi!K128+Mangochi!L128</f>
        <v>0</v>
      </c>
      <c r="E128" s="25">
        <f>'Monkey Bay'!J128+'Monkey Bay'!K128+'Monkey Bay'!L128</f>
        <v>0</v>
      </c>
      <c r="F128" s="25">
        <f>Namwera!J128+Namwera!K128+Namwera!L128</f>
        <v>0</v>
      </c>
      <c r="G128" s="25">
        <f>Nkhudzi!J128+Nkhudzi!K128+Nkhudzi!L128</f>
        <v>0</v>
      </c>
      <c r="H128" s="18">
        <f>SUM(D128:F128)</f>
        <v>0</v>
      </c>
    </row>
    <row r="129" spans="1:8" ht="15.6" x14ac:dyDescent="0.3">
      <c r="A129" s="556"/>
      <c r="B129" s="23" t="s">
        <v>81</v>
      </c>
      <c r="C129" s="11" t="s">
        <v>3</v>
      </c>
      <c r="D129" s="129">
        <f t="shared" ref="D129:F129" si="79">D125+D126-D127-D128</f>
        <v>0</v>
      </c>
      <c r="E129" s="130">
        <f t="shared" si="79"/>
        <v>0</v>
      </c>
      <c r="F129" s="130">
        <f t="shared" si="79"/>
        <v>0</v>
      </c>
      <c r="G129" s="130">
        <f t="shared" ref="G129" si="80">G125+G126-G127-G128</f>
        <v>0</v>
      </c>
      <c r="H129" s="24">
        <f>H125+H126-H127-H128</f>
        <v>0</v>
      </c>
    </row>
    <row r="130" spans="1:8" ht="15.6" x14ac:dyDescent="0.3">
      <c r="A130" s="555" t="s">
        <v>90</v>
      </c>
      <c r="B130" s="27" t="s">
        <v>85</v>
      </c>
      <c r="C130" s="26" t="s">
        <v>3</v>
      </c>
      <c r="D130" s="25">
        <f>Mangochi!J130</f>
        <v>0</v>
      </c>
      <c r="E130" s="25">
        <f>'Monkey Bay'!J130</f>
        <v>0</v>
      </c>
      <c r="F130" s="25">
        <f>Namwera!J130</f>
        <v>0</v>
      </c>
      <c r="G130" s="25">
        <f>Nkhudzi!J130</f>
        <v>0</v>
      </c>
      <c r="H130" s="24">
        <f>D130</f>
        <v>0</v>
      </c>
    </row>
    <row r="131" spans="1:8" ht="15.6" x14ac:dyDescent="0.3">
      <c r="A131" s="602"/>
      <c r="B131" s="23" t="s">
        <v>84</v>
      </c>
      <c r="C131" s="11" t="s">
        <v>3</v>
      </c>
      <c r="D131" s="25">
        <f>Mangochi!J131+Mangochi!K131+Mangochi!L131</f>
        <v>0</v>
      </c>
      <c r="E131" s="25">
        <f>'Monkey Bay'!J131+'Monkey Bay'!K131+'Monkey Bay'!L131</f>
        <v>0</v>
      </c>
      <c r="F131" s="25">
        <f>Namwera!J131+Namwera!K131+Namwera!L131</f>
        <v>0</v>
      </c>
      <c r="G131" s="25">
        <f>Nkhudzi!J131+Nkhudzi!K131+Nkhudzi!L131</f>
        <v>0</v>
      </c>
      <c r="H131" s="18">
        <f>SUM(D131:F131)</f>
        <v>0</v>
      </c>
    </row>
    <row r="132" spans="1:8" ht="15.6" x14ac:dyDescent="0.3">
      <c r="A132" s="602"/>
      <c r="B132" s="79" t="s">
        <v>88</v>
      </c>
      <c r="C132" s="11" t="s">
        <v>3</v>
      </c>
      <c r="D132" s="25">
        <f>Mangochi!J132+Mangochi!K132+Mangochi!L132</f>
        <v>0</v>
      </c>
      <c r="E132" s="25">
        <f>'Monkey Bay'!J132+'Monkey Bay'!K132+'Monkey Bay'!L132</f>
        <v>0</v>
      </c>
      <c r="F132" s="25">
        <f>Namwera!J132+Namwera!K132+Namwera!L132</f>
        <v>0</v>
      </c>
      <c r="G132" s="25">
        <f>Nkhudzi!J132+Nkhudzi!K132+Nkhudzi!L132</f>
        <v>0</v>
      </c>
      <c r="H132" s="18">
        <f>SUM(D132:F132)</f>
        <v>0</v>
      </c>
    </row>
    <row r="133" spans="1:8" ht="15.6" x14ac:dyDescent="0.3">
      <c r="A133" s="602"/>
      <c r="B133" s="23" t="s">
        <v>82</v>
      </c>
      <c r="C133" s="11" t="s">
        <v>3</v>
      </c>
      <c r="D133" s="25">
        <f>Mangochi!J133+Mangochi!K133+Mangochi!L133</f>
        <v>0</v>
      </c>
      <c r="E133" s="25">
        <f>'Monkey Bay'!J133+'Monkey Bay'!K133+'Monkey Bay'!L133</f>
        <v>0</v>
      </c>
      <c r="F133" s="25">
        <f>Namwera!J133+Namwera!K133+Namwera!L133</f>
        <v>0</v>
      </c>
      <c r="G133" s="25">
        <f>Nkhudzi!J133+Nkhudzi!K133+Nkhudzi!L133</f>
        <v>0</v>
      </c>
      <c r="H133" s="18">
        <f>SUM(D133:F133)</f>
        <v>0</v>
      </c>
    </row>
    <row r="134" spans="1:8" ht="15.6" x14ac:dyDescent="0.3">
      <c r="A134" s="556"/>
      <c r="B134" s="23" t="s">
        <v>81</v>
      </c>
      <c r="C134" s="11" t="s">
        <v>3</v>
      </c>
      <c r="D134" s="129">
        <f t="shared" ref="D134:F134" si="81">D130+D131-D132-D133</f>
        <v>0</v>
      </c>
      <c r="E134" s="130">
        <f t="shared" si="81"/>
        <v>0</v>
      </c>
      <c r="F134" s="130">
        <f t="shared" si="81"/>
        <v>0</v>
      </c>
      <c r="G134" s="130">
        <f t="shared" ref="G134" si="82">G130+G131-G132-G133</f>
        <v>0</v>
      </c>
      <c r="H134" s="24">
        <f>H130+H131-H132-H133</f>
        <v>0</v>
      </c>
    </row>
    <row r="135" spans="1:8" ht="15.6" x14ac:dyDescent="0.3">
      <c r="A135" s="555" t="s">
        <v>89</v>
      </c>
      <c r="B135" s="23" t="s">
        <v>85</v>
      </c>
      <c r="C135" s="11" t="s">
        <v>3</v>
      </c>
      <c r="D135" s="25">
        <f>Mangochi!J135</f>
        <v>0</v>
      </c>
      <c r="E135" s="25">
        <f>'Monkey Bay'!J135</f>
        <v>0</v>
      </c>
      <c r="F135" s="25">
        <f>Namwera!J135</f>
        <v>0</v>
      </c>
      <c r="G135" s="25">
        <f>Nkhudzi!J135</f>
        <v>0</v>
      </c>
      <c r="H135" s="24">
        <f>D135</f>
        <v>0</v>
      </c>
    </row>
    <row r="136" spans="1:8" ht="15.6" x14ac:dyDescent="0.3">
      <c r="A136" s="602"/>
      <c r="B136" s="23" t="s">
        <v>84</v>
      </c>
      <c r="C136" s="11" t="s">
        <v>3</v>
      </c>
      <c r="D136" s="25">
        <f>Mangochi!J136+Mangochi!K136+Mangochi!L136</f>
        <v>0</v>
      </c>
      <c r="E136" s="25">
        <f>'Monkey Bay'!J136+'Monkey Bay'!K136+'Monkey Bay'!L136</f>
        <v>0</v>
      </c>
      <c r="F136" s="25">
        <f>Namwera!J136+Namwera!K136+Namwera!L136</f>
        <v>0</v>
      </c>
      <c r="G136" s="25">
        <f>Nkhudzi!J136+Nkhudzi!K136+Nkhudzi!L136</f>
        <v>0</v>
      </c>
      <c r="H136" s="18">
        <f>SUM(D136:F136)</f>
        <v>0</v>
      </c>
    </row>
    <row r="137" spans="1:8" ht="15.6" x14ac:dyDescent="0.3">
      <c r="A137" s="602"/>
      <c r="B137" s="79" t="s">
        <v>88</v>
      </c>
      <c r="C137" s="11" t="s">
        <v>3</v>
      </c>
      <c r="D137" s="25">
        <f>Mangochi!J137+Mangochi!K137+Mangochi!L137</f>
        <v>0</v>
      </c>
      <c r="E137" s="25">
        <f>'Monkey Bay'!J137+'Monkey Bay'!K137+'Monkey Bay'!L137</f>
        <v>0</v>
      </c>
      <c r="F137" s="25">
        <f>Namwera!J137+Namwera!K137+Namwera!L137</f>
        <v>0</v>
      </c>
      <c r="G137" s="25">
        <f>Nkhudzi!J137+Nkhudzi!K137+Nkhudzi!L137</f>
        <v>0</v>
      </c>
      <c r="H137" s="18">
        <f>SUM(D137:F137)</f>
        <v>0</v>
      </c>
    </row>
    <row r="138" spans="1:8" ht="15.6" x14ac:dyDescent="0.3">
      <c r="A138" s="602"/>
      <c r="B138" s="23" t="s">
        <v>82</v>
      </c>
      <c r="C138" s="11" t="s">
        <v>3</v>
      </c>
      <c r="D138" s="25">
        <f>Mangochi!J138+Mangochi!K138+Mangochi!L138</f>
        <v>0</v>
      </c>
      <c r="E138" s="25">
        <f>'Monkey Bay'!J138+'Monkey Bay'!K138+'Monkey Bay'!L138</f>
        <v>0</v>
      </c>
      <c r="F138" s="25">
        <f>Namwera!J138+Namwera!K138+Namwera!L138</f>
        <v>0</v>
      </c>
      <c r="G138" s="25">
        <f>Nkhudzi!J138+Nkhudzi!K138+Nkhudzi!L138</f>
        <v>0</v>
      </c>
      <c r="H138" s="18">
        <f>SUM(D138:F138)</f>
        <v>0</v>
      </c>
    </row>
    <row r="139" spans="1:8" ht="15.6" x14ac:dyDescent="0.3">
      <c r="A139" s="556"/>
      <c r="B139" s="23" t="s">
        <v>81</v>
      </c>
      <c r="C139" s="11" t="s">
        <v>3</v>
      </c>
      <c r="D139" s="129">
        <f t="shared" ref="D139:F139" si="83">D135+D136-D137-D138</f>
        <v>0</v>
      </c>
      <c r="E139" s="130">
        <f t="shared" si="83"/>
        <v>0</v>
      </c>
      <c r="F139" s="130">
        <f t="shared" si="83"/>
        <v>0</v>
      </c>
      <c r="G139" s="130">
        <f t="shared" ref="G139" si="84">G135+G136-G137-G138</f>
        <v>0</v>
      </c>
      <c r="H139" s="24">
        <f>H135+H136-H137-H138</f>
        <v>0</v>
      </c>
    </row>
    <row r="140" spans="1:8" ht="15.6" x14ac:dyDescent="0.3">
      <c r="A140" s="555" t="s">
        <v>87</v>
      </c>
      <c r="B140" s="23" t="s">
        <v>85</v>
      </c>
      <c r="C140" s="11" t="s">
        <v>3</v>
      </c>
      <c r="D140" s="25">
        <f>Mangochi!J140</f>
        <v>0</v>
      </c>
      <c r="E140" s="25">
        <f>'Monkey Bay'!J140</f>
        <v>0</v>
      </c>
      <c r="F140" s="25">
        <f>Namwera!J140</f>
        <v>0</v>
      </c>
      <c r="G140" s="25">
        <f>Nkhudzi!J140</f>
        <v>0</v>
      </c>
      <c r="H140" s="24">
        <f>D140</f>
        <v>0</v>
      </c>
    </row>
    <row r="141" spans="1:8" ht="15.6" x14ac:dyDescent="0.3">
      <c r="A141" s="602"/>
      <c r="B141" s="23" t="s">
        <v>84</v>
      </c>
      <c r="C141" s="11" t="s">
        <v>3</v>
      </c>
      <c r="D141" s="25">
        <f>Mangochi!J141+Mangochi!K141+Mangochi!L141</f>
        <v>0</v>
      </c>
      <c r="E141" s="25">
        <f>'Monkey Bay'!J141+'Monkey Bay'!K141+'Monkey Bay'!L141</f>
        <v>0</v>
      </c>
      <c r="F141" s="25">
        <f>Namwera!J141+Namwera!K141+Namwera!L141</f>
        <v>0</v>
      </c>
      <c r="G141" s="25">
        <f>Nkhudzi!J141+Nkhudzi!K141+Nkhudzi!L141</f>
        <v>0</v>
      </c>
      <c r="H141" s="18">
        <f>SUM(D141:F141)</f>
        <v>0</v>
      </c>
    </row>
    <row r="142" spans="1:8" ht="15.6" x14ac:dyDescent="0.3">
      <c r="A142" s="602"/>
      <c r="B142" s="23" t="s">
        <v>83</v>
      </c>
      <c r="C142" s="11" t="s">
        <v>3</v>
      </c>
      <c r="D142" s="25">
        <f>Mangochi!J142+Mangochi!K142+Mangochi!L142</f>
        <v>0</v>
      </c>
      <c r="E142" s="25">
        <f>'Monkey Bay'!J142+'Monkey Bay'!K142+'Monkey Bay'!L142</f>
        <v>0</v>
      </c>
      <c r="F142" s="25">
        <f>Namwera!J142+Namwera!K142+Namwera!L142</f>
        <v>0</v>
      </c>
      <c r="G142" s="25">
        <f>Nkhudzi!J142+Nkhudzi!K142+Nkhudzi!L142</f>
        <v>0</v>
      </c>
      <c r="H142" s="18">
        <f>SUM(D142:F142)</f>
        <v>0</v>
      </c>
    </row>
    <row r="143" spans="1:8" ht="15.6" x14ac:dyDescent="0.3">
      <c r="A143" s="602"/>
      <c r="B143" s="23" t="s">
        <v>82</v>
      </c>
      <c r="C143" s="11" t="s">
        <v>3</v>
      </c>
      <c r="D143" s="25">
        <f>Mangochi!J143+Mangochi!K143+Mangochi!L143</f>
        <v>0</v>
      </c>
      <c r="E143" s="25">
        <f>'Monkey Bay'!J143+'Monkey Bay'!K143+'Monkey Bay'!L143</f>
        <v>0</v>
      </c>
      <c r="F143" s="25">
        <f>Namwera!J143+Namwera!K143+Namwera!L143</f>
        <v>0</v>
      </c>
      <c r="G143" s="25">
        <f>Nkhudzi!J143+Nkhudzi!K143+Nkhudzi!L143</f>
        <v>0</v>
      </c>
      <c r="H143" s="18">
        <f>SUM(D143:F143)</f>
        <v>0</v>
      </c>
    </row>
    <row r="144" spans="1:8" ht="15.6" x14ac:dyDescent="0.3">
      <c r="A144" s="556"/>
      <c r="B144" s="23" t="s">
        <v>81</v>
      </c>
      <c r="C144" s="11" t="s">
        <v>3</v>
      </c>
      <c r="D144" s="129">
        <f t="shared" ref="D144:F144" si="85">D140+D141-D142-D143</f>
        <v>0</v>
      </c>
      <c r="E144" s="130">
        <f t="shared" si="85"/>
        <v>0</v>
      </c>
      <c r="F144" s="130">
        <f t="shared" si="85"/>
        <v>0</v>
      </c>
      <c r="G144" s="130">
        <f t="shared" ref="G144" si="86">G140+G141-G142-G143</f>
        <v>0</v>
      </c>
      <c r="H144" s="24">
        <f>H140+H141-H142-H143</f>
        <v>0</v>
      </c>
    </row>
    <row r="145" spans="1:8" s="2" customFormat="1" ht="15.6" x14ac:dyDescent="0.3">
      <c r="A145" s="555" t="s">
        <v>86</v>
      </c>
      <c r="B145" s="23" t="s">
        <v>85</v>
      </c>
      <c r="C145" s="11" t="s">
        <v>3</v>
      </c>
      <c r="D145" s="128">
        <f t="shared" ref="D145:F148" si="87">D125+D130+D135+D140</f>
        <v>0</v>
      </c>
      <c r="E145" s="128">
        <f t="shared" si="87"/>
        <v>0</v>
      </c>
      <c r="F145" s="128">
        <f t="shared" si="87"/>
        <v>0</v>
      </c>
      <c r="G145" s="128">
        <f t="shared" ref="G145" si="88">G125+G130+G135+G140</f>
        <v>0</v>
      </c>
      <c r="H145" s="104">
        <f t="shared" ref="H145:H149" si="89">H125+H130+H135+H140</f>
        <v>0</v>
      </c>
    </row>
    <row r="146" spans="1:8" ht="15.6" x14ac:dyDescent="0.3">
      <c r="A146" s="602"/>
      <c r="B146" s="23" t="s">
        <v>84</v>
      </c>
      <c r="C146" s="11" t="s">
        <v>3</v>
      </c>
      <c r="D146" s="128">
        <f t="shared" si="87"/>
        <v>0</v>
      </c>
      <c r="E146" s="128">
        <f t="shared" si="87"/>
        <v>0</v>
      </c>
      <c r="F146" s="128">
        <f t="shared" si="87"/>
        <v>0</v>
      </c>
      <c r="G146" s="128">
        <f t="shared" ref="G146" si="90">G126+G131+G136+G141</f>
        <v>0</v>
      </c>
      <c r="H146" s="104">
        <f t="shared" si="89"/>
        <v>0</v>
      </c>
    </row>
    <row r="147" spans="1:8" ht="15.6" x14ac:dyDescent="0.3">
      <c r="A147" s="602"/>
      <c r="B147" s="23" t="s">
        <v>83</v>
      </c>
      <c r="C147" s="11" t="s">
        <v>3</v>
      </c>
      <c r="D147" s="128">
        <f t="shared" si="87"/>
        <v>0</v>
      </c>
      <c r="E147" s="128">
        <f t="shared" si="87"/>
        <v>0</v>
      </c>
      <c r="F147" s="128">
        <f t="shared" si="87"/>
        <v>0</v>
      </c>
      <c r="G147" s="128">
        <f t="shared" ref="G147" si="91">G127+G132+G137+G142</f>
        <v>0</v>
      </c>
      <c r="H147" s="104">
        <f t="shared" si="89"/>
        <v>0</v>
      </c>
    </row>
    <row r="148" spans="1:8" ht="15.6" x14ac:dyDescent="0.3">
      <c r="A148" s="602"/>
      <c r="B148" s="23" t="s">
        <v>82</v>
      </c>
      <c r="C148" s="11" t="s">
        <v>3</v>
      </c>
      <c r="D148" s="128">
        <f t="shared" si="87"/>
        <v>0</v>
      </c>
      <c r="E148" s="128">
        <f t="shared" si="87"/>
        <v>0</v>
      </c>
      <c r="F148" s="128">
        <f t="shared" si="87"/>
        <v>0</v>
      </c>
      <c r="G148" s="128">
        <f t="shared" ref="G148" si="92">G128+G133+G138+G143</f>
        <v>0</v>
      </c>
      <c r="H148" s="104">
        <f t="shared" si="89"/>
        <v>0</v>
      </c>
    </row>
    <row r="149" spans="1:8" ht="15.6" x14ac:dyDescent="0.3">
      <c r="A149" s="556"/>
      <c r="B149" s="23" t="s">
        <v>81</v>
      </c>
      <c r="C149" s="11" t="s">
        <v>3</v>
      </c>
      <c r="D149" s="129">
        <f t="shared" ref="D149:F149" si="93">D145+D146-D147-D148</f>
        <v>0</v>
      </c>
      <c r="E149" s="130">
        <f t="shared" si="93"/>
        <v>0</v>
      </c>
      <c r="F149" s="130">
        <f t="shared" si="93"/>
        <v>0</v>
      </c>
      <c r="G149" s="130">
        <f t="shared" ref="G149" si="94">G145+G146-G147-G148</f>
        <v>0</v>
      </c>
      <c r="H149" s="104">
        <f t="shared" si="89"/>
        <v>0</v>
      </c>
    </row>
    <row r="150" spans="1:8" x14ac:dyDescent="0.3">
      <c r="A150" s="543" t="s">
        <v>80</v>
      </c>
      <c r="B150" s="544"/>
      <c r="C150" s="544"/>
      <c r="D150" s="544"/>
      <c r="E150" s="544"/>
      <c r="F150" s="544"/>
      <c r="G150" s="544"/>
      <c r="H150" s="546"/>
    </row>
    <row r="151" spans="1:8" ht="15.6" customHeight="1" x14ac:dyDescent="0.3">
      <c r="A151" s="615" t="s">
        <v>79</v>
      </c>
      <c r="B151" s="616"/>
      <c r="C151" s="616"/>
      <c r="D151" s="616"/>
      <c r="E151" s="616"/>
      <c r="F151" s="616"/>
      <c r="G151" s="616"/>
      <c r="H151" s="617"/>
    </row>
    <row r="152" spans="1:8" ht="15.6" x14ac:dyDescent="0.3">
      <c r="A152" s="605" t="s">
        <v>78</v>
      </c>
      <c r="B152" s="86" t="s">
        <v>63</v>
      </c>
      <c r="C152" s="11"/>
      <c r="D152" s="172"/>
      <c r="E152" s="172"/>
      <c r="F152" s="172"/>
      <c r="G152" s="172"/>
      <c r="H152" s="9"/>
    </row>
    <row r="153" spans="1:8" ht="15.6" x14ac:dyDescent="0.3">
      <c r="A153" s="606"/>
      <c r="B153" s="19" t="s">
        <v>73</v>
      </c>
      <c r="C153" s="11" t="s">
        <v>57</v>
      </c>
      <c r="D153" s="25">
        <f>Mangochi!J153+Mangochi!K153+Mangochi!L153</f>
        <v>0</v>
      </c>
      <c r="E153" s="25">
        <f>'Monkey Bay'!J153+'Monkey Bay'!K153+'Monkey Bay'!L153</f>
        <v>0</v>
      </c>
      <c r="F153" s="25">
        <f>Namwera!J153+Namwera!K153+Namwera!L153</f>
        <v>0</v>
      </c>
      <c r="G153" s="25">
        <f>Nkhudzi!J153+Nkhudzi!K153+Nkhudzi!L153</f>
        <v>0</v>
      </c>
      <c r="H153" s="18">
        <f t="shared" ref="H153:H192" si="95">SUM(D153:G153)</f>
        <v>0</v>
      </c>
    </row>
    <row r="154" spans="1:8" ht="15.6" x14ac:dyDescent="0.3">
      <c r="A154" s="606"/>
      <c r="B154" s="19" t="s">
        <v>72</v>
      </c>
      <c r="C154" s="11" t="s">
        <v>57</v>
      </c>
      <c r="D154" s="25">
        <f>Mangochi!J154+Mangochi!K154+Mangochi!L154</f>
        <v>0</v>
      </c>
      <c r="E154" s="25">
        <f>'Monkey Bay'!J154+'Monkey Bay'!K154+'Monkey Bay'!L154</f>
        <v>0</v>
      </c>
      <c r="F154" s="25">
        <f>Namwera!J154+Namwera!K154+Namwera!L154</f>
        <v>0</v>
      </c>
      <c r="G154" s="25">
        <f>Nkhudzi!J154+Nkhudzi!K154+Nkhudzi!L154</f>
        <v>0</v>
      </c>
      <c r="H154" s="18">
        <f t="shared" si="95"/>
        <v>0</v>
      </c>
    </row>
    <row r="155" spans="1:8" ht="15.6" x14ac:dyDescent="0.3">
      <c r="A155" s="606"/>
      <c r="B155" s="19" t="s">
        <v>53</v>
      </c>
      <c r="C155" s="11" t="s">
        <v>57</v>
      </c>
      <c r="D155" s="25">
        <f>Mangochi!J155+Mangochi!K155+Mangochi!L155</f>
        <v>0</v>
      </c>
      <c r="E155" s="25">
        <f>'Monkey Bay'!J155+'Monkey Bay'!K155+'Monkey Bay'!L155</f>
        <v>0</v>
      </c>
      <c r="F155" s="25">
        <f>Namwera!J155+Namwera!K155+Namwera!L155</f>
        <v>0</v>
      </c>
      <c r="G155" s="25">
        <f>Nkhudzi!J155+Nkhudzi!K155+Nkhudzi!L155</f>
        <v>0</v>
      </c>
      <c r="H155" s="18">
        <f t="shared" si="95"/>
        <v>0</v>
      </c>
    </row>
    <row r="156" spans="1:8" ht="15.6" x14ac:dyDescent="0.3">
      <c r="A156" s="606"/>
      <c r="B156" s="19" t="s">
        <v>71</v>
      </c>
      <c r="C156" s="11" t="s">
        <v>57</v>
      </c>
      <c r="D156" s="25">
        <f>Mangochi!J156+Mangochi!K156+Mangochi!L156</f>
        <v>0</v>
      </c>
      <c r="E156" s="25">
        <f>'Monkey Bay'!J156+'Monkey Bay'!K156+'Monkey Bay'!L156</f>
        <v>0</v>
      </c>
      <c r="F156" s="25">
        <f>Namwera!J156+Namwera!K156+Namwera!L156</f>
        <v>0</v>
      </c>
      <c r="G156" s="25">
        <f>Nkhudzi!J156+Nkhudzi!K156+Nkhudzi!L156</f>
        <v>0</v>
      </c>
      <c r="H156" s="18">
        <f t="shared" si="95"/>
        <v>0</v>
      </c>
    </row>
    <row r="157" spans="1:8" ht="15.6" x14ac:dyDescent="0.3">
      <c r="A157" s="606"/>
      <c r="B157" s="19" t="s">
        <v>52</v>
      </c>
      <c r="C157" s="11" t="s">
        <v>57</v>
      </c>
      <c r="D157" s="25">
        <f>Mangochi!J157+Mangochi!K157+Mangochi!L157</f>
        <v>0</v>
      </c>
      <c r="E157" s="25">
        <f>'Monkey Bay'!J157+'Monkey Bay'!K157+'Monkey Bay'!L157</f>
        <v>0</v>
      </c>
      <c r="F157" s="25">
        <f>Namwera!J157+Namwera!K157+Namwera!L157</f>
        <v>0</v>
      </c>
      <c r="G157" s="25">
        <f>Nkhudzi!J157+Nkhudzi!K157+Nkhudzi!L157</f>
        <v>0</v>
      </c>
      <c r="H157" s="18">
        <f t="shared" si="95"/>
        <v>0</v>
      </c>
    </row>
    <row r="158" spans="1:8" ht="15.6" x14ac:dyDescent="0.3">
      <c r="A158" s="606"/>
      <c r="B158" s="19" t="s">
        <v>51</v>
      </c>
      <c r="C158" s="11" t="s">
        <v>57</v>
      </c>
      <c r="D158" s="25">
        <f>Mangochi!J158+Mangochi!K158+Mangochi!L158</f>
        <v>0</v>
      </c>
      <c r="E158" s="25">
        <f>'Monkey Bay'!J158+'Monkey Bay'!K158+'Monkey Bay'!L158</f>
        <v>0</v>
      </c>
      <c r="F158" s="25">
        <f>Namwera!J158+Namwera!K158+Namwera!L158</f>
        <v>0</v>
      </c>
      <c r="G158" s="25">
        <f>Nkhudzi!J158+Nkhudzi!K158+Nkhudzi!L158</f>
        <v>0</v>
      </c>
      <c r="H158" s="18">
        <f t="shared" si="95"/>
        <v>0</v>
      </c>
    </row>
    <row r="159" spans="1:8" ht="15.6" x14ac:dyDescent="0.3">
      <c r="A159" s="606"/>
      <c r="B159" s="19" t="s">
        <v>62</v>
      </c>
      <c r="C159" s="11" t="s">
        <v>57</v>
      </c>
      <c r="D159" s="25">
        <f>Mangochi!J159+Mangochi!K159+Mangochi!L159</f>
        <v>0</v>
      </c>
      <c r="E159" s="25">
        <f>'Monkey Bay'!J159+'Monkey Bay'!K159+'Monkey Bay'!L159</f>
        <v>0</v>
      </c>
      <c r="F159" s="25">
        <f>Namwera!J159+Namwera!K159+Namwera!L159</f>
        <v>0</v>
      </c>
      <c r="G159" s="25">
        <f>Nkhudzi!J159+Nkhudzi!K159+Nkhudzi!L159</f>
        <v>0</v>
      </c>
      <c r="H159" s="18">
        <f t="shared" si="95"/>
        <v>0</v>
      </c>
    </row>
    <row r="160" spans="1:8" ht="15.6" x14ac:dyDescent="0.3">
      <c r="A160" s="606"/>
      <c r="B160" s="19" t="s">
        <v>50</v>
      </c>
      <c r="C160" s="11" t="s">
        <v>57</v>
      </c>
      <c r="D160" s="25">
        <f>Mangochi!J160+Mangochi!K160+Mangochi!L160</f>
        <v>0</v>
      </c>
      <c r="E160" s="25">
        <f>'Monkey Bay'!J160+'Monkey Bay'!K160+'Monkey Bay'!L160</f>
        <v>0</v>
      </c>
      <c r="F160" s="25">
        <f>Namwera!J160+Namwera!K160+Namwera!L160</f>
        <v>0</v>
      </c>
      <c r="G160" s="25">
        <f>Nkhudzi!J160+Nkhudzi!K160+Nkhudzi!L160</f>
        <v>0</v>
      </c>
      <c r="H160" s="18">
        <f t="shared" si="95"/>
        <v>0</v>
      </c>
    </row>
    <row r="161" spans="1:8" ht="15.6" x14ac:dyDescent="0.3">
      <c r="A161" s="606"/>
      <c r="B161" s="19" t="s">
        <v>49</v>
      </c>
      <c r="C161" s="11" t="s">
        <v>57</v>
      </c>
      <c r="D161" s="25">
        <f>Mangochi!J161+Mangochi!K161+Mangochi!L161</f>
        <v>0</v>
      </c>
      <c r="E161" s="25">
        <f>'Monkey Bay'!J161+'Monkey Bay'!K161+'Monkey Bay'!L161</f>
        <v>0</v>
      </c>
      <c r="F161" s="25">
        <f>Namwera!J161+Namwera!K161+Namwera!L161</f>
        <v>0</v>
      </c>
      <c r="G161" s="25">
        <f>Nkhudzi!J161+Nkhudzi!K161+Nkhudzi!L161</f>
        <v>0</v>
      </c>
      <c r="H161" s="18">
        <f t="shared" si="95"/>
        <v>0</v>
      </c>
    </row>
    <row r="162" spans="1:8" ht="15.6" x14ac:dyDescent="0.3">
      <c r="A162" s="606"/>
      <c r="B162" s="19" t="s">
        <v>77</v>
      </c>
      <c r="C162" s="11" t="s">
        <v>57</v>
      </c>
      <c r="D162" s="25">
        <f>Mangochi!J162+Mangochi!K162+Mangochi!L162</f>
        <v>0</v>
      </c>
      <c r="E162" s="25">
        <f>'Monkey Bay'!J162+'Monkey Bay'!K162+'Monkey Bay'!L162</f>
        <v>0</v>
      </c>
      <c r="F162" s="25">
        <f>Namwera!J162+Namwera!K162+Namwera!L162</f>
        <v>0</v>
      </c>
      <c r="G162" s="25">
        <f>Nkhudzi!J162+Nkhudzi!K162+Nkhudzi!L162</f>
        <v>0</v>
      </c>
      <c r="H162" s="18">
        <f t="shared" si="95"/>
        <v>0</v>
      </c>
    </row>
    <row r="163" spans="1:8" ht="15.6" x14ac:dyDescent="0.3">
      <c r="A163" s="606"/>
      <c r="B163" s="19" t="s">
        <v>69</v>
      </c>
      <c r="C163" s="11" t="s">
        <v>57</v>
      </c>
      <c r="D163" s="25">
        <f>Mangochi!J163+Mangochi!K163+Mangochi!L163</f>
        <v>0</v>
      </c>
      <c r="E163" s="25">
        <f>'Monkey Bay'!J163+'Monkey Bay'!K163+'Monkey Bay'!L163</f>
        <v>0</v>
      </c>
      <c r="F163" s="25">
        <f>Namwera!J163+Namwera!K163+Namwera!L163</f>
        <v>0</v>
      </c>
      <c r="G163" s="25">
        <f>Nkhudzi!J163+Nkhudzi!K163+Nkhudzi!L163</f>
        <v>0</v>
      </c>
      <c r="H163" s="18">
        <f t="shared" si="95"/>
        <v>0</v>
      </c>
    </row>
    <row r="164" spans="1:8" ht="15.6" x14ac:dyDescent="0.3">
      <c r="A164" s="606"/>
      <c r="B164" s="19" t="s">
        <v>68</v>
      </c>
      <c r="C164" s="11" t="s">
        <v>57</v>
      </c>
      <c r="D164" s="25">
        <f>Mangochi!J164+Mangochi!K164+Mangochi!L164</f>
        <v>0</v>
      </c>
      <c r="E164" s="25">
        <f>'Monkey Bay'!J164+'Monkey Bay'!K164+'Monkey Bay'!L164</f>
        <v>0</v>
      </c>
      <c r="F164" s="25">
        <f>Namwera!J164+Namwera!K164+Namwera!L164</f>
        <v>0</v>
      </c>
      <c r="G164" s="25">
        <f>Nkhudzi!J164+Nkhudzi!K164+Nkhudzi!L164</f>
        <v>0</v>
      </c>
      <c r="H164" s="18">
        <f t="shared" si="95"/>
        <v>0</v>
      </c>
    </row>
    <row r="165" spans="1:8" ht="15.6" x14ac:dyDescent="0.3">
      <c r="A165" s="607"/>
      <c r="B165" s="19" t="s">
        <v>76</v>
      </c>
      <c r="C165" s="11" t="s">
        <v>57</v>
      </c>
      <c r="D165" s="25">
        <f>Mangochi!J165+Mangochi!K165+Mangochi!L165</f>
        <v>0</v>
      </c>
      <c r="E165" s="25">
        <f>'Monkey Bay'!J165+'Monkey Bay'!K165+'Monkey Bay'!L165</f>
        <v>0</v>
      </c>
      <c r="F165" s="25">
        <f>Namwera!J165+Namwera!K165+Namwera!L165</f>
        <v>0</v>
      </c>
      <c r="G165" s="25">
        <f>Nkhudzi!J165+Nkhudzi!K165+Nkhudzi!L165</f>
        <v>0</v>
      </c>
      <c r="H165" s="18">
        <f t="shared" si="95"/>
        <v>0</v>
      </c>
    </row>
    <row r="166" spans="1:8" ht="15.6" x14ac:dyDescent="0.3">
      <c r="A166" s="605" t="s">
        <v>75</v>
      </c>
      <c r="B166" s="21" t="s">
        <v>63</v>
      </c>
      <c r="C166" s="11"/>
      <c r="D166" s="4"/>
      <c r="E166" s="4"/>
      <c r="F166" s="4"/>
      <c r="G166" s="4">
        <f>Nkhudzi!J166+Nkhudzi!K166+Nkhudzi!L166</f>
        <v>0</v>
      </c>
      <c r="H166" s="18">
        <f t="shared" si="95"/>
        <v>0</v>
      </c>
    </row>
    <row r="167" spans="1:8" ht="15.6" x14ac:dyDescent="0.3">
      <c r="A167" s="606"/>
      <c r="B167" s="19" t="s">
        <v>74</v>
      </c>
      <c r="C167" s="11" t="s">
        <v>57</v>
      </c>
      <c r="D167" s="25">
        <f>Mangochi!J167+Mangochi!K167+Mangochi!L167</f>
        <v>0</v>
      </c>
      <c r="E167" s="25">
        <f>'Monkey Bay'!J167+'Monkey Bay'!K167+'Monkey Bay'!L167</f>
        <v>0</v>
      </c>
      <c r="F167" s="25">
        <f>Namwera!J167+Namwera!K167+Namwera!L167</f>
        <v>0</v>
      </c>
      <c r="G167" s="25">
        <f>Nkhudzi!J167+Nkhudzi!K167+Nkhudzi!L167</f>
        <v>0</v>
      </c>
      <c r="H167" s="18">
        <f t="shared" si="95"/>
        <v>0</v>
      </c>
    </row>
    <row r="168" spans="1:8" ht="15.6" x14ac:dyDescent="0.3">
      <c r="A168" s="606"/>
      <c r="B168" s="19" t="s">
        <v>73</v>
      </c>
      <c r="C168" s="11" t="s">
        <v>57</v>
      </c>
      <c r="D168" s="25">
        <f>Mangochi!J168+Mangochi!K168+Mangochi!L168</f>
        <v>0</v>
      </c>
      <c r="E168" s="25">
        <f>'Monkey Bay'!J168+'Monkey Bay'!K168+'Monkey Bay'!L168</f>
        <v>0</v>
      </c>
      <c r="F168" s="25">
        <f>Namwera!J168+Namwera!K168+Namwera!L168</f>
        <v>0</v>
      </c>
      <c r="G168" s="25">
        <f>Nkhudzi!J168+Nkhudzi!K168+Nkhudzi!L168</f>
        <v>0</v>
      </c>
      <c r="H168" s="18">
        <f t="shared" si="95"/>
        <v>0</v>
      </c>
    </row>
    <row r="169" spans="1:8" ht="15.6" x14ac:dyDescent="0.3">
      <c r="A169" s="606"/>
      <c r="B169" s="19" t="s">
        <v>72</v>
      </c>
      <c r="C169" s="11" t="s">
        <v>57</v>
      </c>
      <c r="D169" s="25">
        <f>Mangochi!J169+Mangochi!K169+Mangochi!L169</f>
        <v>0</v>
      </c>
      <c r="E169" s="25">
        <f>'Monkey Bay'!J169+'Monkey Bay'!K169+'Monkey Bay'!L169</f>
        <v>0</v>
      </c>
      <c r="F169" s="25">
        <f>Namwera!J169+Namwera!K169+Namwera!L169</f>
        <v>0</v>
      </c>
      <c r="G169" s="25">
        <f>Nkhudzi!J169+Nkhudzi!K169+Nkhudzi!L169</f>
        <v>0</v>
      </c>
      <c r="H169" s="18">
        <f t="shared" si="95"/>
        <v>0</v>
      </c>
    </row>
    <row r="170" spans="1:8" ht="15.6" x14ac:dyDescent="0.3">
      <c r="A170" s="606"/>
      <c r="B170" s="19" t="s">
        <v>71</v>
      </c>
      <c r="C170" s="11" t="s">
        <v>57</v>
      </c>
      <c r="D170" s="25">
        <f>Mangochi!J170+Mangochi!K170+Mangochi!L170</f>
        <v>0</v>
      </c>
      <c r="E170" s="25">
        <f>'Monkey Bay'!J170+'Monkey Bay'!K170+'Monkey Bay'!L170</f>
        <v>0</v>
      </c>
      <c r="F170" s="25">
        <f>Namwera!J170+Namwera!K170+Namwera!L170</f>
        <v>0</v>
      </c>
      <c r="G170" s="25">
        <f>Nkhudzi!J170+Nkhudzi!K170+Nkhudzi!L170</f>
        <v>0</v>
      </c>
      <c r="H170" s="18">
        <f t="shared" si="95"/>
        <v>0</v>
      </c>
    </row>
    <row r="171" spans="1:8" ht="15.6" x14ac:dyDescent="0.3">
      <c r="A171" s="606"/>
      <c r="B171" s="19" t="s">
        <v>52</v>
      </c>
      <c r="C171" s="11" t="s">
        <v>57</v>
      </c>
      <c r="D171" s="25">
        <f>Mangochi!J171+Mangochi!K171+Mangochi!L171</f>
        <v>0</v>
      </c>
      <c r="E171" s="25">
        <f>'Monkey Bay'!J171+'Monkey Bay'!K171+'Monkey Bay'!L171</f>
        <v>0</v>
      </c>
      <c r="F171" s="25">
        <f>Namwera!J171+Namwera!K171+Namwera!L171</f>
        <v>0</v>
      </c>
      <c r="G171" s="25">
        <f>Nkhudzi!J171+Nkhudzi!K171+Nkhudzi!L171</f>
        <v>0</v>
      </c>
      <c r="H171" s="18">
        <f t="shared" si="95"/>
        <v>0</v>
      </c>
    </row>
    <row r="172" spans="1:8" ht="15.6" x14ac:dyDescent="0.3">
      <c r="A172" s="606"/>
      <c r="B172" s="19" t="s">
        <v>62</v>
      </c>
      <c r="C172" s="11" t="s">
        <v>57</v>
      </c>
      <c r="D172" s="25">
        <f>Mangochi!J172+Mangochi!K172+Mangochi!L172</f>
        <v>0</v>
      </c>
      <c r="E172" s="25">
        <f>'Monkey Bay'!J172+'Monkey Bay'!K172+'Monkey Bay'!L172</f>
        <v>0</v>
      </c>
      <c r="F172" s="25">
        <f>Namwera!J172+Namwera!K172+Namwera!L172</f>
        <v>0</v>
      </c>
      <c r="G172" s="25">
        <f>Nkhudzi!J172+Nkhudzi!K172+Nkhudzi!L172</f>
        <v>0</v>
      </c>
      <c r="H172" s="18">
        <f t="shared" si="95"/>
        <v>0</v>
      </c>
    </row>
    <row r="173" spans="1:8" ht="15.6" x14ac:dyDescent="0.3">
      <c r="A173" s="606"/>
      <c r="B173" s="19" t="s">
        <v>61</v>
      </c>
      <c r="C173" s="11" t="s">
        <v>57</v>
      </c>
      <c r="D173" s="25">
        <f>Mangochi!J173+Mangochi!K173+Mangochi!L173</f>
        <v>0</v>
      </c>
      <c r="E173" s="25">
        <f>'Monkey Bay'!J173+'Monkey Bay'!K173+'Monkey Bay'!L173</f>
        <v>0</v>
      </c>
      <c r="F173" s="25">
        <f>Namwera!J173+Namwera!K173+Namwera!L173</f>
        <v>0</v>
      </c>
      <c r="G173" s="25">
        <f>Nkhudzi!J173+Nkhudzi!K173+Nkhudzi!L173</f>
        <v>0</v>
      </c>
      <c r="H173" s="18">
        <f t="shared" si="95"/>
        <v>0</v>
      </c>
    </row>
    <row r="174" spans="1:8" ht="15.6" x14ac:dyDescent="0.3">
      <c r="A174" s="606"/>
      <c r="B174" s="19" t="s">
        <v>60</v>
      </c>
      <c r="C174" s="11" t="s">
        <v>57</v>
      </c>
      <c r="D174" s="25">
        <f>Mangochi!J174+Mangochi!K174+Mangochi!L174</f>
        <v>0</v>
      </c>
      <c r="E174" s="25">
        <f>'Monkey Bay'!J174+'Monkey Bay'!K174+'Monkey Bay'!L174</f>
        <v>0</v>
      </c>
      <c r="F174" s="25">
        <f>Namwera!J174+Namwera!K174+Namwera!L174</f>
        <v>0</v>
      </c>
      <c r="G174" s="25">
        <f>Nkhudzi!J174+Nkhudzi!K174+Nkhudzi!L174</f>
        <v>0</v>
      </c>
      <c r="H174" s="18">
        <f t="shared" si="95"/>
        <v>0</v>
      </c>
    </row>
    <row r="175" spans="1:8" ht="15.6" x14ac:dyDescent="0.3">
      <c r="A175" s="607"/>
      <c r="B175" s="19" t="s">
        <v>69</v>
      </c>
      <c r="C175" s="11" t="s">
        <v>57</v>
      </c>
      <c r="D175" s="25">
        <f>Mangochi!J175+Mangochi!K175+Mangochi!L175</f>
        <v>0</v>
      </c>
      <c r="E175" s="25">
        <f>'Monkey Bay'!J175+'Monkey Bay'!K175+'Monkey Bay'!L175</f>
        <v>0</v>
      </c>
      <c r="F175" s="25">
        <f>Namwera!J175+Namwera!K175+Namwera!L175</f>
        <v>0</v>
      </c>
      <c r="G175" s="25">
        <f>Nkhudzi!J175+Nkhudzi!K175+Nkhudzi!L175</f>
        <v>0</v>
      </c>
      <c r="H175" s="18">
        <f t="shared" si="95"/>
        <v>0</v>
      </c>
    </row>
    <row r="176" spans="1:8" ht="15.6" x14ac:dyDescent="0.3">
      <c r="A176" s="605" t="s">
        <v>70</v>
      </c>
      <c r="B176" s="21" t="s">
        <v>63</v>
      </c>
      <c r="C176" s="11"/>
      <c r="D176" s="4"/>
      <c r="E176" s="4"/>
      <c r="F176" s="4"/>
      <c r="G176" s="4">
        <f>Nkhudzi!J176+Nkhudzi!K176+Nkhudzi!L176</f>
        <v>0</v>
      </c>
      <c r="H176" s="18">
        <f t="shared" si="95"/>
        <v>0</v>
      </c>
    </row>
    <row r="177" spans="1:8" ht="15.6" x14ac:dyDescent="0.3">
      <c r="A177" s="606"/>
      <c r="B177" s="19" t="s">
        <v>60</v>
      </c>
      <c r="C177" s="11" t="s">
        <v>57</v>
      </c>
      <c r="D177" s="25">
        <f>Mangochi!J177+Mangochi!K177+Mangochi!L177</f>
        <v>0</v>
      </c>
      <c r="E177" s="25">
        <f>'Monkey Bay'!J177+'Monkey Bay'!K177+'Monkey Bay'!L177</f>
        <v>0</v>
      </c>
      <c r="F177" s="25">
        <f>Namwera!J177+Namwera!K177+Namwera!L177</f>
        <v>0</v>
      </c>
      <c r="G177" s="25">
        <f>Nkhudzi!J177+Nkhudzi!K177+Nkhudzi!L177</f>
        <v>0</v>
      </c>
      <c r="H177" s="18">
        <f t="shared" si="95"/>
        <v>0</v>
      </c>
    </row>
    <row r="178" spans="1:8" ht="15.6" x14ac:dyDescent="0.3">
      <c r="A178" s="606"/>
      <c r="B178" s="19" t="s">
        <v>69</v>
      </c>
      <c r="C178" s="11" t="s">
        <v>57</v>
      </c>
      <c r="D178" s="25">
        <f>Mangochi!J178+Mangochi!K178+Mangochi!L178</f>
        <v>0</v>
      </c>
      <c r="E178" s="25">
        <f>'Monkey Bay'!J178+'Monkey Bay'!K178+'Monkey Bay'!L178</f>
        <v>0</v>
      </c>
      <c r="F178" s="25">
        <f>Namwera!J178+Namwera!K178+Namwera!L178</f>
        <v>0</v>
      </c>
      <c r="G178" s="25">
        <f>Nkhudzi!J178+Nkhudzi!K178+Nkhudzi!L178</f>
        <v>0</v>
      </c>
      <c r="H178" s="18">
        <f t="shared" si="95"/>
        <v>0</v>
      </c>
    </row>
    <row r="179" spans="1:8" ht="15.6" x14ac:dyDescent="0.3">
      <c r="A179" s="606"/>
      <c r="B179" s="19" t="s">
        <v>68</v>
      </c>
      <c r="C179" s="11" t="s">
        <v>57</v>
      </c>
      <c r="D179" s="25">
        <f>Mangochi!J179+Mangochi!K179+Mangochi!L179</f>
        <v>0</v>
      </c>
      <c r="E179" s="25">
        <f>'Monkey Bay'!J179+'Monkey Bay'!K179+'Monkey Bay'!L179</f>
        <v>0</v>
      </c>
      <c r="F179" s="25">
        <f>Namwera!J179+Namwera!K179+Namwera!L179</f>
        <v>0</v>
      </c>
      <c r="G179" s="25">
        <f>Nkhudzi!J179+Nkhudzi!K179+Nkhudzi!L179</f>
        <v>0</v>
      </c>
      <c r="H179" s="18">
        <f t="shared" si="95"/>
        <v>0</v>
      </c>
    </row>
    <row r="180" spans="1:8" ht="15.6" x14ac:dyDescent="0.3">
      <c r="A180" s="606"/>
      <c r="B180" s="19" t="s">
        <v>67</v>
      </c>
      <c r="C180" s="11" t="s">
        <v>57</v>
      </c>
      <c r="D180" s="25">
        <f>Mangochi!J180+Mangochi!K180+Mangochi!L180</f>
        <v>0</v>
      </c>
      <c r="E180" s="25">
        <f>'Monkey Bay'!J180+'Monkey Bay'!K180+'Monkey Bay'!L180</f>
        <v>0</v>
      </c>
      <c r="F180" s="25">
        <f>Namwera!J180+Namwera!K180+Namwera!L180</f>
        <v>0</v>
      </c>
      <c r="G180" s="25">
        <f>Nkhudzi!J180+Nkhudzi!K180+Nkhudzi!L180</f>
        <v>0</v>
      </c>
      <c r="H180" s="18">
        <f t="shared" si="95"/>
        <v>0</v>
      </c>
    </row>
    <row r="181" spans="1:8" ht="15.6" x14ac:dyDescent="0.3">
      <c r="A181" s="606"/>
      <c r="B181" s="19" t="s">
        <v>66</v>
      </c>
      <c r="C181" s="11" t="s">
        <v>57</v>
      </c>
      <c r="D181" s="25">
        <f>Mangochi!J181+Mangochi!K181+Mangochi!L181</f>
        <v>0</v>
      </c>
      <c r="E181" s="25">
        <f>'Monkey Bay'!J181+'Monkey Bay'!K181+'Monkey Bay'!L181</f>
        <v>0</v>
      </c>
      <c r="F181" s="25">
        <f>Namwera!J181+Namwera!K181+Namwera!L181</f>
        <v>0</v>
      </c>
      <c r="G181" s="25">
        <f>Nkhudzi!J181+Nkhudzi!K181+Nkhudzi!L181</f>
        <v>0</v>
      </c>
      <c r="H181" s="18">
        <f t="shared" si="95"/>
        <v>0</v>
      </c>
    </row>
    <row r="182" spans="1:8" ht="15.6" x14ac:dyDescent="0.3">
      <c r="A182" s="607"/>
      <c r="B182" s="19" t="s">
        <v>65</v>
      </c>
      <c r="C182" s="11" t="s">
        <v>57</v>
      </c>
      <c r="D182" s="25">
        <f>Mangochi!J182+Mangochi!K182+Mangochi!L182</f>
        <v>0</v>
      </c>
      <c r="E182" s="25">
        <f>'Monkey Bay'!J182+'Monkey Bay'!K182+'Monkey Bay'!L182</f>
        <v>0</v>
      </c>
      <c r="F182" s="25">
        <f>Namwera!J182+Namwera!K182+Namwera!L182</f>
        <v>0</v>
      </c>
      <c r="G182" s="25">
        <f>Nkhudzi!J182+Nkhudzi!K182+Nkhudzi!L182</f>
        <v>0</v>
      </c>
      <c r="H182" s="18">
        <f t="shared" si="95"/>
        <v>0</v>
      </c>
    </row>
    <row r="183" spans="1:8" ht="15.6" x14ac:dyDescent="0.3">
      <c r="A183" s="605" t="s">
        <v>211</v>
      </c>
      <c r="B183" s="21" t="s">
        <v>63</v>
      </c>
      <c r="C183" s="11"/>
      <c r="D183" s="4"/>
      <c r="E183" s="4"/>
      <c r="F183" s="4"/>
      <c r="G183" s="4">
        <f>Nkhudzi!J183+Nkhudzi!K183+Nkhudzi!L183</f>
        <v>0</v>
      </c>
      <c r="H183" s="18">
        <f t="shared" si="95"/>
        <v>0</v>
      </c>
    </row>
    <row r="184" spans="1:8" ht="15.6" x14ac:dyDescent="0.3">
      <c r="A184" s="606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Nkhudzi!J184+Nkhudzi!K184+Nkhudzi!L184</f>
        <v>0</v>
      </c>
      <c r="H184" s="18">
        <f t="shared" si="95"/>
        <v>0</v>
      </c>
    </row>
    <row r="185" spans="1:8" ht="15.6" x14ac:dyDescent="0.3">
      <c r="A185" s="606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Nkhudzi!J185+Nkhudzi!K185+Nkhudzi!L185</f>
        <v>0</v>
      </c>
      <c r="H185" s="18">
        <f t="shared" si="95"/>
        <v>0</v>
      </c>
    </row>
    <row r="186" spans="1:8" ht="15.6" x14ac:dyDescent="0.3">
      <c r="A186" s="606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Nkhudzi!J186+Nkhudzi!K186+Nkhudzi!L186</f>
        <v>0</v>
      </c>
      <c r="H186" s="18">
        <f t="shared" si="95"/>
        <v>0</v>
      </c>
    </row>
    <row r="187" spans="1:8" ht="15.6" x14ac:dyDescent="0.3">
      <c r="A187" s="607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Nkhudzi!J187+Nkhudzi!K187+Nkhudzi!L187</f>
        <v>0</v>
      </c>
      <c r="H187" s="18">
        <f t="shared" si="95"/>
        <v>0</v>
      </c>
    </row>
    <row r="188" spans="1:8" ht="15.6" x14ac:dyDescent="0.3">
      <c r="A188" s="605" t="s">
        <v>64</v>
      </c>
      <c r="B188" s="21" t="s">
        <v>63</v>
      </c>
      <c r="C188" s="11"/>
      <c r="D188" s="4"/>
      <c r="E188" s="4"/>
      <c r="F188" s="4"/>
      <c r="G188" s="4">
        <f>Nkhudzi!J188+Nkhudzi!K188+Nkhudzi!L188</f>
        <v>0</v>
      </c>
      <c r="H188" s="18">
        <f t="shared" si="95"/>
        <v>0</v>
      </c>
    </row>
    <row r="189" spans="1:8" ht="15.6" x14ac:dyDescent="0.3">
      <c r="A189" s="606"/>
      <c r="B189" s="20" t="s">
        <v>52</v>
      </c>
      <c r="C189" s="11" t="s">
        <v>57</v>
      </c>
      <c r="D189" s="25">
        <f>Mangochi!J189+Mangochi!K189+Mangochi!L189</f>
        <v>0</v>
      </c>
      <c r="E189" s="25">
        <f>'Monkey Bay'!J189+'Monkey Bay'!K189+'Monkey Bay'!L189</f>
        <v>0</v>
      </c>
      <c r="F189" s="25">
        <f>Namwera!J189+Namwera!K189+Namwera!L189</f>
        <v>0</v>
      </c>
      <c r="G189" s="25">
        <f>Nkhudzi!J189+Nkhudzi!K189+Nkhudzi!L189</f>
        <v>0</v>
      </c>
      <c r="H189" s="18">
        <f t="shared" si="95"/>
        <v>0</v>
      </c>
    </row>
    <row r="190" spans="1:8" ht="15.6" x14ac:dyDescent="0.3">
      <c r="A190" s="606"/>
      <c r="B190" s="19" t="s">
        <v>62</v>
      </c>
      <c r="C190" s="11" t="s">
        <v>57</v>
      </c>
      <c r="D190" s="25">
        <f>Mangochi!J190+Mangochi!K190+Mangochi!L190</f>
        <v>0</v>
      </c>
      <c r="E190" s="25">
        <f>'Monkey Bay'!J190+'Monkey Bay'!K190+'Monkey Bay'!L190</f>
        <v>0</v>
      </c>
      <c r="F190" s="25">
        <f>Namwera!J190+Namwera!K190+Namwera!L190</f>
        <v>0</v>
      </c>
      <c r="G190" s="25">
        <f>Nkhudzi!J190+Nkhudzi!K190+Nkhudzi!L190</f>
        <v>0</v>
      </c>
      <c r="H190" s="18">
        <f t="shared" si="95"/>
        <v>0</v>
      </c>
    </row>
    <row r="191" spans="1:8" ht="15.6" x14ac:dyDescent="0.3">
      <c r="A191" s="606"/>
      <c r="B191" s="19" t="s">
        <v>61</v>
      </c>
      <c r="C191" s="11" t="s">
        <v>57</v>
      </c>
      <c r="D191" s="25">
        <f>Mangochi!J191+Mangochi!K191+Mangochi!L191</f>
        <v>0</v>
      </c>
      <c r="E191" s="25">
        <f>'Monkey Bay'!J191+'Monkey Bay'!K191+'Monkey Bay'!L191</f>
        <v>0</v>
      </c>
      <c r="F191" s="25">
        <f>Namwera!J191+Namwera!K191+Namwera!L191</f>
        <v>0</v>
      </c>
      <c r="G191" s="25">
        <f>Nkhudzi!J191+Nkhudzi!K191+Nkhudzi!L191</f>
        <v>0</v>
      </c>
      <c r="H191" s="18">
        <f t="shared" si="95"/>
        <v>0</v>
      </c>
    </row>
    <row r="192" spans="1:8" ht="15.6" x14ac:dyDescent="0.3">
      <c r="A192" s="607"/>
      <c r="B192" s="19" t="s">
        <v>60</v>
      </c>
      <c r="C192" s="11" t="s">
        <v>57</v>
      </c>
      <c r="D192" s="25">
        <f>Mangochi!J192+Mangochi!K192+Mangochi!L192</f>
        <v>0</v>
      </c>
      <c r="E192" s="25">
        <f>'Monkey Bay'!J192+'Monkey Bay'!K192+'Monkey Bay'!L192</f>
        <v>0</v>
      </c>
      <c r="F192" s="25">
        <f>Namwera!J192+Namwera!K192+Namwera!L192</f>
        <v>0</v>
      </c>
      <c r="G192" s="25">
        <f>Nkhudzi!J192+Nkhudzi!K192+Nkhudzi!L192</f>
        <v>0</v>
      </c>
      <c r="H192" s="18">
        <f t="shared" si="95"/>
        <v>0</v>
      </c>
    </row>
    <row r="193" spans="1:8" ht="15.6" x14ac:dyDescent="0.3">
      <c r="A193" s="608" t="s">
        <v>59</v>
      </c>
      <c r="B193" s="609"/>
      <c r="C193" s="11"/>
      <c r="D193" s="10">
        <f>SUM(D153:D192)</f>
        <v>0</v>
      </c>
      <c r="E193" s="10">
        <f t="shared" ref="E193:H193" si="96">SUM(E153:E192)</f>
        <v>0</v>
      </c>
      <c r="F193" s="10">
        <f t="shared" si="96"/>
        <v>0</v>
      </c>
      <c r="G193" s="10">
        <f t="shared" ref="G193" si="97">SUM(G153:G192)</f>
        <v>0</v>
      </c>
      <c r="H193" s="97">
        <f t="shared" si="96"/>
        <v>0</v>
      </c>
    </row>
    <row r="194" spans="1:8" ht="15.6" x14ac:dyDescent="0.3">
      <c r="A194" s="610" t="s">
        <v>58</v>
      </c>
      <c r="B194" s="611"/>
      <c r="C194" s="11" t="s">
        <v>57</v>
      </c>
      <c r="D194" s="25">
        <f>Mangochi!J194+Mangochi!K194+Mangochi!L194</f>
        <v>0</v>
      </c>
      <c r="E194" s="25">
        <f>'Monkey Bay'!J194+'Monkey Bay'!K194+'Monkey Bay'!L194</f>
        <v>0</v>
      </c>
      <c r="F194" s="25">
        <f>Namwera!J194+Namwera!K194+Namwera!L194</f>
        <v>0</v>
      </c>
      <c r="G194" s="25">
        <f>Nkhudzi!J194+Nkhudzi!K194+Nkhudzi!L194</f>
        <v>0</v>
      </c>
      <c r="H194" s="9">
        <f t="shared" ref="H194" si="98">SUM(D194:G194)</f>
        <v>0</v>
      </c>
    </row>
    <row r="195" spans="1:8" ht="15.6" x14ac:dyDescent="0.3">
      <c r="A195" s="612"/>
      <c r="B195" s="613"/>
      <c r="C195" s="16" t="s">
        <v>55</v>
      </c>
      <c r="D195" s="25">
        <f>Mangochi!J195+Mangochi!K195+Mangochi!L195</f>
        <v>0</v>
      </c>
      <c r="E195" s="25">
        <f>'Monkey Bay'!J195+'Monkey Bay'!K195+'Monkey Bay'!L195</f>
        <v>0</v>
      </c>
      <c r="F195" s="25">
        <f>Namwera!J195+Namwera!K195+Namwera!L195</f>
        <v>0</v>
      </c>
      <c r="G195" s="25">
        <f>Nkhudzi!J195+Nkhudzi!K195+Nkhudzi!L195</f>
        <v>0</v>
      </c>
      <c r="H195" s="9">
        <f t="shared" ref="H195" si="99">SUM(D195:G195)</f>
        <v>0</v>
      </c>
    </row>
    <row r="196" spans="1:8" ht="15.6" x14ac:dyDescent="0.3">
      <c r="A196" s="82" t="s">
        <v>204</v>
      </c>
      <c r="B196" s="83"/>
      <c r="C196" s="16" t="s">
        <v>55</v>
      </c>
      <c r="D196" s="25">
        <f>Mangochi!J196+Mangochi!K196+Mangochi!L196</f>
        <v>0</v>
      </c>
      <c r="E196" s="25">
        <f>'Monkey Bay'!J196+'Monkey Bay'!K196+'Monkey Bay'!L196</f>
        <v>0</v>
      </c>
      <c r="F196" s="25">
        <f>Namwera!J196+Namwera!K196+Namwera!L196</f>
        <v>0</v>
      </c>
      <c r="G196" s="25">
        <f>Nkhudzi!J196+Nkhudzi!K196+Nkhudzi!L196</f>
        <v>0</v>
      </c>
      <c r="H196" s="9"/>
    </row>
    <row r="197" spans="1:8" ht="15.6" x14ac:dyDescent="0.3">
      <c r="A197" s="549" t="s">
        <v>56</v>
      </c>
      <c r="B197" s="550"/>
      <c r="C197" s="16" t="s">
        <v>55</v>
      </c>
      <c r="D197" s="25">
        <f>Mangochi!J197+Mangochi!K197+Mangochi!L197</f>
        <v>0</v>
      </c>
      <c r="E197" s="25">
        <f>'Monkey Bay'!J197+'Monkey Bay'!K197+'Monkey Bay'!L197</f>
        <v>0</v>
      </c>
      <c r="F197" s="25">
        <f>Namwera!J197+Namwera!K197+Namwera!L197</f>
        <v>0</v>
      </c>
      <c r="G197" s="25">
        <f>Nkhudzi!J197+Nkhudzi!K197+Nkhudzi!L197</f>
        <v>0</v>
      </c>
      <c r="H197" s="9">
        <f t="shared" ref="H197" si="100">SUM(D197:G197)</f>
        <v>0</v>
      </c>
    </row>
    <row r="198" spans="1:8" x14ac:dyDescent="0.3">
      <c r="A198" s="543" t="s">
        <v>205</v>
      </c>
      <c r="B198" s="544"/>
      <c r="C198" s="544"/>
      <c r="D198" s="544"/>
      <c r="E198" s="544"/>
      <c r="F198" s="544"/>
      <c r="G198" s="544"/>
      <c r="H198" s="546"/>
    </row>
    <row r="199" spans="1:8" ht="15.6" x14ac:dyDescent="0.3">
      <c r="A199" s="610" t="s">
        <v>54</v>
      </c>
      <c r="B199" s="76" t="s">
        <v>53</v>
      </c>
      <c r="C199" s="11" t="s">
        <v>47</v>
      </c>
      <c r="D199" s="25">
        <f>Mangochi!J199+Mangochi!K199+Mangochi!L199</f>
        <v>0</v>
      </c>
      <c r="E199" s="25">
        <f>'Monkey Bay'!J199+'Monkey Bay'!K199+'Monkey Bay'!L199</f>
        <v>0</v>
      </c>
      <c r="F199" s="25">
        <f>Namwera!J199+Namwera!K199+Namwera!L199</f>
        <v>0</v>
      </c>
      <c r="G199" s="25">
        <f>Nkhudzi!J199+Nkhudzi!K199+Nkhudzi!L199</f>
        <v>0</v>
      </c>
      <c r="H199" s="9">
        <f t="shared" ref="H199:H203" si="101">SUM(D199:G199)</f>
        <v>0</v>
      </c>
    </row>
    <row r="200" spans="1:8" ht="15.6" x14ac:dyDescent="0.3">
      <c r="A200" s="614"/>
      <c r="B200" s="76" t="s">
        <v>52</v>
      </c>
      <c r="C200" s="11" t="s">
        <v>47</v>
      </c>
      <c r="D200" s="25">
        <f>Mangochi!J200+Mangochi!K200+Mangochi!L200</f>
        <v>0</v>
      </c>
      <c r="E200" s="25">
        <f>'Monkey Bay'!J200+'Monkey Bay'!K200+'Monkey Bay'!L200</f>
        <v>0</v>
      </c>
      <c r="F200" s="25">
        <f>Namwera!J200+Namwera!K200+Namwera!L200</f>
        <v>0</v>
      </c>
      <c r="G200" s="25">
        <f>Nkhudzi!J200+Nkhudzi!K200+Nkhudzi!L200</f>
        <v>0</v>
      </c>
      <c r="H200" s="9">
        <f t="shared" si="101"/>
        <v>0</v>
      </c>
    </row>
    <row r="201" spans="1:8" ht="15.6" x14ac:dyDescent="0.3">
      <c r="A201" s="614"/>
      <c r="B201" s="76" t="s">
        <v>51</v>
      </c>
      <c r="C201" s="11" t="s">
        <v>47</v>
      </c>
      <c r="D201" s="25">
        <f>Mangochi!J201+Mangochi!K201+Mangochi!L201</f>
        <v>0</v>
      </c>
      <c r="E201" s="25">
        <f>'Monkey Bay'!J201+'Monkey Bay'!K201+'Monkey Bay'!L201</f>
        <v>0</v>
      </c>
      <c r="F201" s="25">
        <f>Namwera!J201+Namwera!K201+Namwera!L201</f>
        <v>0</v>
      </c>
      <c r="G201" s="25">
        <f>Nkhudzi!J201+Nkhudzi!K201+Nkhudzi!L201</f>
        <v>0</v>
      </c>
      <c r="H201" s="9">
        <f t="shared" si="101"/>
        <v>0</v>
      </c>
    </row>
    <row r="202" spans="1:8" ht="15.6" x14ac:dyDescent="0.3">
      <c r="A202" s="614"/>
      <c r="B202" s="76" t="s">
        <v>50</v>
      </c>
      <c r="C202" s="11" t="s">
        <v>47</v>
      </c>
      <c r="D202" s="25">
        <f>Mangochi!J202+Mangochi!K202+Mangochi!L202</f>
        <v>0</v>
      </c>
      <c r="E202" s="25">
        <f>'Monkey Bay'!J202+'Monkey Bay'!K202+'Monkey Bay'!L202</f>
        <v>0</v>
      </c>
      <c r="F202" s="25">
        <f>Namwera!J202+Namwera!K202+Namwera!L202</f>
        <v>0</v>
      </c>
      <c r="G202" s="25">
        <f>Nkhudzi!J202+Nkhudzi!K202+Nkhudzi!L202</f>
        <v>0</v>
      </c>
      <c r="H202" s="9">
        <f t="shared" si="101"/>
        <v>0</v>
      </c>
    </row>
    <row r="203" spans="1:8" ht="15.6" x14ac:dyDescent="0.3">
      <c r="A203" s="612"/>
      <c r="B203" s="76" t="s">
        <v>49</v>
      </c>
      <c r="C203" s="11" t="s">
        <v>47</v>
      </c>
      <c r="D203" s="25">
        <f>Mangochi!J203+Mangochi!K203+Mangochi!L203</f>
        <v>0</v>
      </c>
      <c r="E203" s="25">
        <f>'Monkey Bay'!J203+'Monkey Bay'!K203+'Monkey Bay'!L203</f>
        <v>0</v>
      </c>
      <c r="F203" s="25">
        <f>Namwera!J203+Namwera!K203+Namwera!L203</f>
        <v>0</v>
      </c>
      <c r="G203" s="25">
        <f>Nkhudzi!J203+Nkhudzi!K203+Nkhudzi!L203</f>
        <v>0</v>
      </c>
      <c r="H203" s="9">
        <f t="shared" si="101"/>
        <v>0</v>
      </c>
    </row>
    <row r="204" spans="1:8" ht="15.6" x14ac:dyDescent="0.3">
      <c r="A204" s="80" t="s">
        <v>48</v>
      </c>
      <c r="B204" s="76"/>
      <c r="C204" s="11" t="s">
        <v>47</v>
      </c>
      <c r="D204" s="15">
        <f t="shared" ref="D204:F204" si="102">SUM(D199:D203)</f>
        <v>0</v>
      </c>
      <c r="E204" s="15">
        <f t="shared" si="102"/>
        <v>0</v>
      </c>
      <c r="F204" s="15">
        <f t="shared" si="102"/>
        <v>0</v>
      </c>
      <c r="G204" s="15">
        <f t="shared" ref="G204" si="103">SUM(G199:G203)</f>
        <v>0</v>
      </c>
      <c r="H204" s="105">
        <f t="shared" ref="H204" si="104">SUM(D204:F204)</f>
        <v>0</v>
      </c>
    </row>
    <row r="205" spans="1:8" s="2" customFormat="1" x14ac:dyDescent="0.3">
      <c r="A205" s="543" t="s">
        <v>46</v>
      </c>
      <c r="B205" s="544"/>
      <c r="C205" s="544"/>
      <c r="D205" s="544"/>
      <c r="E205" s="544"/>
      <c r="F205" s="544"/>
      <c r="G205" s="544"/>
      <c r="H205" s="546"/>
    </row>
    <row r="206" spans="1:8" ht="15.6" x14ac:dyDescent="0.3">
      <c r="A206" s="549" t="s">
        <v>43</v>
      </c>
      <c r="B206" s="550"/>
      <c r="C206" s="11" t="s">
        <v>31</v>
      </c>
      <c r="D206" s="15">
        <f>Mangochi!J206+Mangochi!K206+Mangochi!L206</f>
        <v>0</v>
      </c>
      <c r="E206" s="15">
        <f>'Monkey Bay'!J206+'Monkey Bay'!K206+'Monkey Bay'!L206</f>
        <v>0</v>
      </c>
      <c r="F206" s="15">
        <f>Namwera!J206+Namwera!K206+Namwera!L206</f>
        <v>0</v>
      </c>
      <c r="G206" s="15">
        <f>Nkhudzi!J206+Nkhudzi!K206+Nkhudzi!L206</f>
        <v>0</v>
      </c>
      <c r="H206" s="9">
        <f t="shared" ref="H206:H209" si="105">SUM(D206:G206)</f>
        <v>0</v>
      </c>
    </row>
    <row r="207" spans="1:8" ht="15.6" x14ac:dyDescent="0.3">
      <c r="A207" s="549" t="s">
        <v>42</v>
      </c>
      <c r="B207" s="550"/>
      <c r="C207" s="11" t="s">
        <v>31</v>
      </c>
      <c r="D207" s="15">
        <f>Mangochi!J207+Mangochi!K207+Mangochi!L207</f>
        <v>0</v>
      </c>
      <c r="E207" s="15">
        <f>'Monkey Bay'!J207+'Monkey Bay'!K207+'Monkey Bay'!L207</f>
        <v>0</v>
      </c>
      <c r="F207" s="15">
        <f>Namwera!J207+Namwera!K207+Namwera!L207</f>
        <v>0</v>
      </c>
      <c r="G207" s="15">
        <f>Nkhudzi!J207+Nkhudzi!K207+Nkhudzi!L207</f>
        <v>0</v>
      </c>
      <c r="H207" s="9">
        <f t="shared" si="105"/>
        <v>0</v>
      </c>
    </row>
    <row r="208" spans="1:8" ht="15.6" x14ac:dyDescent="0.3">
      <c r="A208" s="547" t="s">
        <v>41</v>
      </c>
      <c r="B208" s="548"/>
      <c r="C208" s="11" t="s">
        <v>31</v>
      </c>
      <c r="D208" s="15">
        <f>Mangochi!J208+Mangochi!K208+Mangochi!L208</f>
        <v>0</v>
      </c>
      <c r="E208" s="15">
        <f>'Monkey Bay'!J208+'Monkey Bay'!K208+'Monkey Bay'!L208</f>
        <v>0</v>
      </c>
      <c r="F208" s="15">
        <f>Namwera!J208+Namwera!K208+Namwera!L208</f>
        <v>0</v>
      </c>
      <c r="G208" s="15">
        <f>Nkhudzi!J208+Nkhudzi!K208+Nkhudzi!L208</f>
        <v>0</v>
      </c>
      <c r="H208" s="9">
        <f t="shared" si="105"/>
        <v>0</v>
      </c>
    </row>
    <row r="209" spans="1:8" ht="15.6" x14ac:dyDescent="0.3">
      <c r="A209" s="549" t="s">
        <v>40</v>
      </c>
      <c r="B209" s="550"/>
      <c r="C209" s="11" t="s">
        <v>31</v>
      </c>
      <c r="D209" s="15">
        <f>Mangochi!J209+Mangochi!K209+Mangochi!M209</f>
        <v>0</v>
      </c>
      <c r="E209" s="15">
        <f>'Monkey Bay'!J209+'Monkey Bay'!K209+'Monkey Bay'!L209</f>
        <v>0</v>
      </c>
      <c r="F209" s="15">
        <f>Namwera!J209+Namwera!K209+Namwera!L209</f>
        <v>0</v>
      </c>
      <c r="G209" s="15">
        <f>Nkhudzi!J209+Nkhudzi!K209+Nkhudzi!L209</f>
        <v>0</v>
      </c>
      <c r="H209" s="9">
        <f t="shared" si="105"/>
        <v>0</v>
      </c>
    </row>
    <row r="210" spans="1:8" ht="15.6" x14ac:dyDescent="0.3">
      <c r="A210" s="618" t="s">
        <v>45</v>
      </c>
      <c r="B210" s="619"/>
      <c r="C210" s="11" t="s">
        <v>31</v>
      </c>
      <c r="D210" s="10">
        <f t="shared" ref="D210:F210" si="106">SUM(D206:D209)</f>
        <v>0</v>
      </c>
      <c r="E210" s="10">
        <f t="shared" si="106"/>
        <v>0</v>
      </c>
      <c r="F210" s="10">
        <f t="shared" si="106"/>
        <v>0</v>
      </c>
      <c r="G210" s="10">
        <f t="shared" ref="G210" si="107">SUM(G206:G209)</f>
        <v>0</v>
      </c>
      <c r="H210" s="9">
        <f>SUM(D210:F210)</f>
        <v>0</v>
      </c>
    </row>
    <row r="211" spans="1:8" s="2" customFormat="1" x14ac:dyDescent="0.3">
      <c r="A211" s="543" t="s">
        <v>44</v>
      </c>
      <c r="B211" s="544"/>
      <c r="C211" s="544"/>
      <c r="D211" s="544"/>
      <c r="E211" s="544"/>
      <c r="F211" s="544"/>
      <c r="G211" s="544"/>
      <c r="H211" s="546"/>
    </row>
    <row r="212" spans="1:8" ht="15.6" x14ac:dyDescent="0.3">
      <c r="A212" s="549" t="s">
        <v>43</v>
      </c>
      <c r="B212" s="550"/>
      <c r="C212" s="11" t="s">
        <v>31</v>
      </c>
      <c r="D212" s="15">
        <f>Mangochi!J212+Mangochi!K212+Mangochi!L212</f>
        <v>0</v>
      </c>
      <c r="E212" s="15">
        <f>'Monkey Bay'!J212+'Monkey Bay'!K212+'Monkey Bay'!L212</f>
        <v>0</v>
      </c>
      <c r="F212" s="15">
        <f>Namwera!J212+Namwera!K212+Namwera!L212</f>
        <v>0</v>
      </c>
      <c r="G212" s="15">
        <f>Nkhudzi!J212+Nkhudzi!K212+Nkhudzi!L212</f>
        <v>0</v>
      </c>
      <c r="H212" s="9">
        <f t="shared" ref="H212:H215" si="108">SUM(D212:G212)</f>
        <v>0</v>
      </c>
    </row>
    <row r="213" spans="1:8" ht="15.6" x14ac:dyDescent="0.3">
      <c r="A213" s="549" t="s">
        <v>42</v>
      </c>
      <c r="B213" s="550"/>
      <c r="C213" s="11" t="s">
        <v>31</v>
      </c>
      <c r="D213" s="15">
        <f>Mangochi!J213+Mangochi!K213+Mangochi!L213</f>
        <v>0</v>
      </c>
      <c r="E213" s="15">
        <f>'Monkey Bay'!J213+'Monkey Bay'!K213+'Monkey Bay'!L213</f>
        <v>0</v>
      </c>
      <c r="F213" s="15">
        <f>Namwera!J213+Namwera!K213+Namwera!L213</f>
        <v>0</v>
      </c>
      <c r="G213" s="15">
        <f>Nkhudzi!J213+Nkhudzi!K213+Nkhudzi!L213</f>
        <v>0</v>
      </c>
      <c r="H213" s="9">
        <f t="shared" si="108"/>
        <v>0</v>
      </c>
    </row>
    <row r="214" spans="1:8" ht="15.6" x14ac:dyDescent="0.3">
      <c r="A214" s="547" t="s">
        <v>41</v>
      </c>
      <c r="B214" s="548"/>
      <c r="C214" s="11" t="s">
        <v>31</v>
      </c>
      <c r="D214" s="15">
        <f>Mangochi!J214+Mangochi!K214+Mangochi!L214</f>
        <v>0</v>
      </c>
      <c r="E214" s="15">
        <f>'Monkey Bay'!J214+'Monkey Bay'!K214+'Monkey Bay'!L214</f>
        <v>0</v>
      </c>
      <c r="F214" s="15">
        <f>Namwera!J214+Namwera!K214+Namwera!L214</f>
        <v>0</v>
      </c>
      <c r="G214" s="15">
        <f>Nkhudzi!J214+Nkhudzi!K214+Nkhudzi!L214</f>
        <v>0</v>
      </c>
      <c r="H214" s="9">
        <f t="shared" si="108"/>
        <v>0</v>
      </c>
    </row>
    <row r="215" spans="1:8" ht="15.6" x14ac:dyDescent="0.3">
      <c r="A215" s="549" t="s">
        <v>40</v>
      </c>
      <c r="B215" s="550"/>
      <c r="C215" s="11" t="s">
        <v>31</v>
      </c>
      <c r="D215" s="15">
        <f>Mangochi!J215+Mangochi!K215+Mangochi!L215</f>
        <v>0</v>
      </c>
      <c r="E215" s="15">
        <f>'Monkey Bay'!J215+'Monkey Bay'!K215+'Monkey Bay'!L215</f>
        <v>0</v>
      </c>
      <c r="F215" s="15">
        <f>Namwera!J215+Namwera!K215+Namwera!L215</f>
        <v>0</v>
      </c>
      <c r="G215" s="15">
        <f>Nkhudzi!J215+Nkhudzi!K215+Nkhudzi!L215</f>
        <v>0</v>
      </c>
      <c r="H215" s="9">
        <f t="shared" si="108"/>
        <v>0</v>
      </c>
    </row>
    <row r="216" spans="1:8" ht="15.6" x14ac:dyDescent="0.3">
      <c r="A216" s="618" t="s">
        <v>39</v>
      </c>
      <c r="B216" s="619"/>
      <c r="C216" s="11" t="s">
        <v>31</v>
      </c>
      <c r="D216" s="10">
        <f t="shared" ref="D216:F216" si="109">SUM(D212:D215)</f>
        <v>0</v>
      </c>
      <c r="E216" s="10">
        <f t="shared" si="109"/>
        <v>0</v>
      </c>
      <c r="F216" s="10">
        <f t="shared" si="109"/>
        <v>0</v>
      </c>
      <c r="G216" s="10">
        <f t="shared" ref="G216" si="110">SUM(G212:G215)</f>
        <v>0</v>
      </c>
      <c r="H216" s="9">
        <f>SUM(D216:F216)</f>
        <v>0</v>
      </c>
    </row>
    <row r="217" spans="1:8" s="2" customFormat="1" ht="15.6" x14ac:dyDescent="0.3">
      <c r="A217" s="73" t="s">
        <v>38</v>
      </c>
      <c r="B217" s="74"/>
      <c r="C217" s="11" t="s">
        <v>31</v>
      </c>
      <c r="D217" s="10">
        <f>D210+D216</f>
        <v>0</v>
      </c>
      <c r="E217" s="10">
        <f t="shared" ref="E217:H217" si="111">E210+E216</f>
        <v>0</v>
      </c>
      <c r="F217" s="10">
        <f t="shared" si="111"/>
        <v>0</v>
      </c>
      <c r="G217" s="10">
        <f t="shared" ref="G217" si="112">G210+G216</f>
        <v>0</v>
      </c>
      <c r="H217" s="39">
        <f t="shared" si="111"/>
        <v>0</v>
      </c>
    </row>
    <row r="218" spans="1:8" s="2" customFormat="1" x14ac:dyDescent="0.3">
      <c r="A218" s="543" t="s">
        <v>37</v>
      </c>
      <c r="B218" s="544"/>
      <c r="C218" s="544"/>
      <c r="D218" s="544"/>
      <c r="E218" s="544"/>
      <c r="F218" s="544"/>
      <c r="G218" s="544"/>
      <c r="H218" s="546"/>
    </row>
    <row r="219" spans="1:8" ht="15.6" x14ac:dyDescent="0.3">
      <c r="A219" s="549" t="s">
        <v>35</v>
      </c>
      <c r="B219" s="550"/>
      <c r="C219" s="11" t="s">
        <v>31</v>
      </c>
      <c r="D219" s="15">
        <f>Mangochi!J219+Mangochi!K219+Mangochi!L219</f>
        <v>0</v>
      </c>
      <c r="E219" s="15">
        <f>'Monkey Bay'!J219+'Monkey Bay'!K219+'Monkey Bay'!L219</f>
        <v>0</v>
      </c>
      <c r="F219" s="15">
        <f>Namwera!J219+Namwera!K219+Namwera!L219</f>
        <v>0</v>
      </c>
      <c r="G219" s="15">
        <f>Nkhudzi!J219+Nkhudzi!K219+Nkhudzi!L219</f>
        <v>0</v>
      </c>
      <c r="H219" s="9">
        <f t="shared" ref="H219:H222" si="113">SUM(D219:G219)</f>
        <v>0</v>
      </c>
    </row>
    <row r="220" spans="1:8" ht="15.6" x14ac:dyDescent="0.3">
      <c r="A220" s="549" t="s">
        <v>34</v>
      </c>
      <c r="B220" s="550"/>
      <c r="C220" s="11" t="s">
        <v>31</v>
      </c>
      <c r="D220" s="15">
        <f>Mangochi!J220+Mangochi!K220+Mangochi!L220</f>
        <v>0</v>
      </c>
      <c r="E220" s="15">
        <f>'Monkey Bay'!J220+'Monkey Bay'!K220+'Monkey Bay'!L220</f>
        <v>0</v>
      </c>
      <c r="F220" s="15">
        <f>Namwera!J220+Namwera!K221+Namwera!L220</f>
        <v>0</v>
      </c>
      <c r="G220" s="15">
        <f>Nkhudzi!J220+Nkhudzi!K220+Nkhudzi!L220</f>
        <v>0</v>
      </c>
      <c r="H220" s="9">
        <f t="shared" si="113"/>
        <v>0</v>
      </c>
    </row>
    <row r="221" spans="1:8" ht="15.6" x14ac:dyDescent="0.3">
      <c r="A221" s="549" t="s">
        <v>33</v>
      </c>
      <c r="B221" s="550"/>
      <c r="C221" s="11" t="s">
        <v>31</v>
      </c>
      <c r="D221" s="15">
        <f>Mangochi!J221+Mangochi!K221+Mangochi!L221</f>
        <v>0</v>
      </c>
      <c r="E221" s="15">
        <f>'Monkey Bay'!J221+'Monkey Bay'!K221+'Monkey Bay'!L221</f>
        <v>0</v>
      </c>
      <c r="F221" s="15">
        <f>'Monkey Bay'!K221+'Monkey Bay'!L221+'Monkey Bay'!M221</f>
        <v>0</v>
      </c>
      <c r="G221" s="15">
        <f>Nkhudzi!J221+Nkhudzi!K221+Nkhudzi!L221</f>
        <v>0</v>
      </c>
      <c r="H221" s="9">
        <f t="shared" si="113"/>
        <v>0</v>
      </c>
    </row>
    <row r="222" spans="1:8" ht="15.6" x14ac:dyDescent="0.3">
      <c r="A222" s="549" t="s">
        <v>32</v>
      </c>
      <c r="B222" s="550"/>
      <c r="C222" s="11" t="s">
        <v>31</v>
      </c>
      <c r="D222" s="15">
        <f>Mangochi!J222+Mangochi!K222+Mangochi!L222</f>
        <v>0</v>
      </c>
      <c r="E222" s="15">
        <f>'Monkey Bay'!J222+'Monkey Bay'!K222+'Monkey Bay'!L222</f>
        <v>0</v>
      </c>
      <c r="F222" s="15">
        <f>Namwera!J222+Namwera!K222+Namwera!L222</f>
        <v>0</v>
      </c>
      <c r="G222" s="15">
        <f>Nkhudzi!J222+Nkhudzi!K222+Nkhudzi!L222</f>
        <v>0</v>
      </c>
      <c r="H222" s="9">
        <f t="shared" si="113"/>
        <v>0</v>
      </c>
    </row>
    <row r="223" spans="1:8" ht="15.6" x14ac:dyDescent="0.3">
      <c r="A223" s="618" t="s">
        <v>36</v>
      </c>
      <c r="B223" s="619"/>
      <c r="C223" s="11" t="s">
        <v>31</v>
      </c>
      <c r="D223" s="12">
        <f t="shared" ref="D223:F223" si="114">SUM(D219:D222)</f>
        <v>0</v>
      </c>
      <c r="E223" s="10">
        <f t="shared" si="114"/>
        <v>0</v>
      </c>
      <c r="F223" s="10">
        <f t="shared" si="114"/>
        <v>0</v>
      </c>
      <c r="G223" s="10">
        <f t="shared" ref="G223" si="115">SUM(G219:G222)</f>
        <v>0</v>
      </c>
      <c r="H223" s="9">
        <f>SUM(D223:F223)</f>
        <v>0</v>
      </c>
    </row>
    <row r="224" spans="1:8" x14ac:dyDescent="0.3">
      <c r="A224" s="543" t="s">
        <v>213</v>
      </c>
      <c r="B224" s="544"/>
      <c r="C224" s="544"/>
      <c r="D224" s="544"/>
      <c r="E224" s="544"/>
      <c r="F224" s="544"/>
      <c r="G224" s="544"/>
      <c r="H224" s="546"/>
    </row>
    <row r="225" spans="1:8" ht="15.6" x14ac:dyDescent="0.3">
      <c r="A225" s="549" t="s">
        <v>35</v>
      </c>
      <c r="B225" s="550"/>
      <c r="C225" s="11" t="s">
        <v>31</v>
      </c>
      <c r="D225" s="15">
        <f>Mangochi!J225+Mangochi!K225+Mangochi!L225</f>
        <v>0</v>
      </c>
      <c r="E225" s="15">
        <f>'Monkey Bay'!J225+'Monkey Bay'!K225+'Monkey Bay'!L225</f>
        <v>0</v>
      </c>
      <c r="F225" s="15">
        <f>Namwera!J225+Namwera!K225+Namwera!L225</f>
        <v>0</v>
      </c>
      <c r="G225" s="15">
        <f>Nkhudzi!J225+Nkhudzi!K225+Nkhudzi!L225</f>
        <v>0</v>
      </c>
      <c r="H225" s="9">
        <f t="shared" ref="H225:H230" si="116">SUM(D225:G225)</f>
        <v>0</v>
      </c>
    </row>
    <row r="226" spans="1:8" ht="15.6" x14ac:dyDescent="0.3">
      <c r="A226" s="549" t="s">
        <v>34</v>
      </c>
      <c r="B226" s="550"/>
      <c r="C226" s="11" t="s">
        <v>31</v>
      </c>
      <c r="D226" s="15">
        <f>Mangochi!J226+Mangochi!K226+Mangochi!L226</f>
        <v>0</v>
      </c>
      <c r="E226" s="15">
        <f>'Monkey Bay'!J226+'Monkey Bay'!K226+'Monkey Bay'!L226</f>
        <v>0</v>
      </c>
      <c r="F226" s="15">
        <f>Namwera!J226+Namwera!K226+Namwera!L226</f>
        <v>0</v>
      </c>
      <c r="G226" s="15">
        <f>Nkhudzi!J226+Nkhudzi!K226+Nkhudzi!L226</f>
        <v>0</v>
      </c>
      <c r="H226" s="9">
        <f t="shared" si="116"/>
        <v>0</v>
      </c>
    </row>
    <row r="227" spans="1:8" ht="15.6" x14ac:dyDescent="0.3">
      <c r="A227" s="549" t="s">
        <v>33</v>
      </c>
      <c r="B227" s="550"/>
      <c r="C227" s="11" t="s">
        <v>31</v>
      </c>
      <c r="D227" s="15">
        <f>Mangochi!J227+Mangochi!K227+Mangochi!L227</f>
        <v>0</v>
      </c>
      <c r="E227" s="15">
        <f>'Monkey Bay'!J227+'Monkey Bay'!K227+'Monkey Bay'!L227</f>
        <v>0</v>
      </c>
      <c r="F227" s="15">
        <f>Namwera!J227+Namwera!K227+Namwera!L227</f>
        <v>0</v>
      </c>
      <c r="G227" s="15">
        <f>Nkhudzi!J227+Nkhudzi!K227+Nkhudzi!L227</f>
        <v>0</v>
      </c>
      <c r="H227" s="9">
        <f t="shared" si="116"/>
        <v>0</v>
      </c>
    </row>
    <row r="228" spans="1:8" ht="15.6" x14ac:dyDescent="0.3">
      <c r="A228" s="549" t="s">
        <v>32</v>
      </c>
      <c r="B228" s="550"/>
      <c r="C228" s="11" t="s">
        <v>31</v>
      </c>
      <c r="D228" s="15">
        <f>Mangochi!J228+Mangochi!K228+Mangochi!L228</f>
        <v>0</v>
      </c>
      <c r="E228" s="15">
        <f>'Monkey Bay'!J228+'Monkey Bay'!K228+'Monkey Bay'!L228</f>
        <v>0</v>
      </c>
      <c r="F228" s="15">
        <f>Namwera!J228+Namwera!K228+Namwera!L228</f>
        <v>0</v>
      </c>
      <c r="G228" s="15">
        <f>Nkhudzi!J228+Nkhudzi!K228+Nkhudzi!L228</f>
        <v>0</v>
      </c>
      <c r="H228" s="9">
        <f t="shared" si="116"/>
        <v>0</v>
      </c>
    </row>
    <row r="229" spans="1:8" ht="15.6" x14ac:dyDescent="0.3">
      <c r="A229" s="618" t="s">
        <v>214</v>
      </c>
      <c r="B229" s="619"/>
      <c r="C229" s="11" t="s">
        <v>31</v>
      </c>
      <c r="D229" s="12">
        <f t="shared" ref="D229:F229" si="117">SUM(D225:D228)</f>
        <v>0</v>
      </c>
      <c r="E229" s="10">
        <f t="shared" si="117"/>
        <v>0</v>
      </c>
      <c r="F229" s="10">
        <f t="shared" si="117"/>
        <v>0</v>
      </c>
      <c r="G229" s="10">
        <f t="shared" ref="G229" si="118">SUM(G225:G228)</f>
        <v>0</v>
      </c>
      <c r="H229" s="9">
        <f t="shared" si="116"/>
        <v>0</v>
      </c>
    </row>
    <row r="230" spans="1:8" ht="15.6" x14ac:dyDescent="0.3">
      <c r="A230" s="73" t="s">
        <v>215</v>
      </c>
      <c r="B230" s="114"/>
      <c r="C230" s="11" t="s">
        <v>31</v>
      </c>
      <c r="D230" s="12">
        <f>D223+D229</f>
        <v>0</v>
      </c>
      <c r="E230" s="12">
        <f t="shared" ref="E230:F230" si="119">E223+E229</f>
        <v>0</v>
      </c>
      <c r="F230" s="12">
        <f t="shared" si="119"/>
        <v>0</v>
      </c>
      <c r="G230" s="12">
        <f t="shared" ref="G230" si="120">G223+G229</f>
        <v>0</v>
      </c>
      <c r="H230" s="9">
        <f t="shared" si="116"/>
        <v>0</v>
      </c>
    </row>
    <row r="231" spans="1:8" x14ac:dyDescent="0.3">
      <c r="A231" s="543" t="s">
        <v>30</v>
      </c>
      <c r="B231" s="544"/>
      <c r="C231" s="544"/>
      <c r="D231" s="544"/>
      <c r="E231" s="544"/>
      <c r="F231" s="544"/>
      <c r="G231" s="544"/>
      <c r="H231" s="546"/>
    </row>
    <row r="232" spans="1:8" ht="15.6" x14ac:dyDescent="0.3">
      <c r="A232" s="549" t="s">
        <v>29</v>
      </c>
      <c r="B232" s="550"/>
      <c r="C232" s="11" t="s">
        <v>18</v>
      </c>
      <c r="D232" s="15">
        <f>Mangochi!J232+Mangochi!K232+Mangochi!L232</f>
        <v>0</v>
      </c>
      <c r="E232" s="15">
        <f>'Monkey Bay'!J232+'Monkey Bay'!K232+'Monkey Bay'!L232</f>
        <v>0</v>
      </c>
      <c r="F232" s="15">
        <f>Namwera!J232+Namwera!K232+Namwera!L232</f>
        <v>0</v>
      </c>
      <c r="G232" s="15">
        <f>Nkhudzi!J232+Nkhudzi!K232+Nkhudzi!L232</f>
        <v>0</v>
      </c>
      <c r="H232" s="9">
        <f t="shared" ref="H232:H235" si="121">SUM(D232:G232)</f>
        <v>0</v>
      </c>
    </row>
    <row r="233" spans="1:8" ht="15.6" x14ac:dyDescent="0.3">
      <c r="A233" s="549" t="s">
        <v>28</v>
      </c>
      <c r="B233" s="550"/>
      <c r="C233" s="11" t="s">
        <v>18</v>
      </c>
      <c r="D233" s="15">
        <f>Mangochi!J233+Mangochi!K233+Mangochi!L233</f>
        <v>0</v>
      </c>
      <c r="E233" s="15">
        <f>'Monkey Bay'!J233+'Monkey Bay'!K233+'Monkey Bay'!L233</f>
        <v>0</v>
      </c>
      <c r="F233" s="15">
        <f>Namwera!J233+Namwera!K233+Namwera!L233</f>
        <v>0</v>
      </c>
      <c r="G233" s="15">
        <f>Nkhudzi!J233+Nkhudzi!K233+Nkhudzi!L233</f>
        <v>0</v>
      </c>
      <c r="H233" s="9">
        <f t="shared" si="121"/>
        <v>0</v>
      </c>
    </row>
    <row r="234" spans="1:8" ht="15.6" x14ac:dyDescent="0.3">
      <c r="A234" s="549" t="s">
        <v>27</v>
      </c>
      <c r="B234" s="550"/>
      <c r="C234" s="11" t="s">
        <v>18</v>
      </c>
      <c r="D234" s="15">
        <f>Mangochi!J234+Mangochi!K234+Mangochi!L234</f>
        <v>0</v>
      </c>
      <c r="E234" s="15">
        <f>'Monkey Bay'!J234+'Monkey Bay'!K234+'Monkey Bay'!L234</f>
        <v>0</v>
      </c>
      <c r="F234" s="15">
        <f>Namwera!J234+Namwera!K234+Namwera!L234</f>
        <v>0</v>
      </c>
      <c r="G234" s="15">
        <f>Nkhudzi!J234+Nkhudzi!K234+Nkhudzi!L234</f>
        <v>0</v>
      </c>
      <c r="H234" s="9">
        <f t="shared" si="121"/>
        <v>0</v>
      </c>
    </row>
    <row r="235" spans="1:8" ht="15.6" x14ac:dyDescent="0.3">
      <c r="A235" s="549" t="s">
        <v>26</v>
      </c>
      <c r="B235" s="550"/>
      <c r="C235" s="11" t="s">
        <v>18</v>
      </c>
      <c r="D235" s="15">
        <f>Mangochi!J235+Mangochi!K235+Mangochi!L235</f>
        <v>0</v>
      </c>
      <c r="E235" s="15">
        <f>'Monkey Bay'!J235+'Monkey Bay'!K235+'Monkey Bay'!L235</f>
        <v>0</v>
      </c>
      <c r="F235" s="15">
        <f>Namwera!J235+Namwera!K235+Namwera!L235</f>
        <v>0</v>
      </c>
      <c r="G235" s="15">
        <f>Nkhudzi!J235+Nkhudzi!K235+Nkhudzi!L235</f>
        <v>0</v>
      </c>
      <c r="H235" s="9">
        <f t="shared" si="121"/>
        <v>0</v>
      </c>
    </row>
    <row r="236" spans="1:8" ht="15.6" x14ac:dyDescent="0.3">
      <c r="A236" s="618" t="s">
        <v>25</v>
      </c>
      <c r="B236" s="619"/>
      <c r="C236" s="11" t="s">
        <v>18</v>
      </c>
      <c r="D236" s="12"/>
      <c r="E236" s="12"/>
      <c r="F236" s="12"/>
      <c r="G236" s="12"/>
      <c r="H236" s="39">
        <f t="shared" ref="H236" si="122">SUM(H232:H235)</f>
        <v>0</v>
      </c>
    </row>
    <row r="237" spans="1:8" x14ac:dyDescent="0.3">
      <c r="A237" s="543" t="s">
        <v>24</v>
      </c>
      <c r="B237" s="544"/>
      <c r="C237" s="544"/>
      <c r="D237" s="544"/>
      <c r="E237" s="544"/>
      <c r="F237" s="544"/>
      <c r="G237" s="544"/>
      <c r="H237" s="546"/>
    </row>
    <row r="238" spans="1:8" ht="15.6" x14ac:dyDescent="0.3">
      <c r="A238" s="549" t="s">
        <v>23</v>
      </c>
      <c r="B238" s="550"/>
      <c r="C238" s="11" t="s">
        <v>18</v>
      </c>
      <c r="D238" s="15">
        <f>Mangochi!J238+Mangochi!K238+Mangochi!L238</f>
        <v>0</v>
      </c>
      <c r="E238" s="15">
        <f>'Monkey Bay'!J238+'Monkey Bay'!K238+'Monkey Bay'!L238</f>
        <v>0</v>
      </c>
      <c r="F238" s="15">
        <f>Namwera!J238+Namwera!K238+Namwera!L238</f>
        <v>0</v>
      </c>
      <c r="G238" s="15">
        <f>Nkhudzi!J238+Nkhudzi!K238+Nkhudzi!L238</f>
        <v>0</v>
      </c>
      <c r="H238" s="38">
        <f t="shared" ref="H238:H242" si="123">SUM(D238:G238)</f>
        <v>0</v>
      </c>
    </row>
    <row r="239" spans="1:8" ht="15.6" x14ac:dyDescent="0.3">
      <c r="A239" s="549" t="s">
        <v>22</v>
      </c>
      <c r="B239" s="550"/>
      <c r="C239" s="11" t="s">
        <v>18</v>
      </c>
      <c r="D239" s="15">
        <f>Mangochi!J239+Mangochi!K239+Mangochi!L239</f>
        <v>0</v>
      </c>
      <c r="E239" s="15">
        <f>'Monkey Bay'!J239+'Monkey Bay'!K239+'Monkey Bay'!L239</f>
        <v>0</v>
      </c>
      <c r="F239" s="15">
        <f>Namwera!J239+Namwera!K239+Namwera!L239</f>
        <v>0</v>
      </c>
      <c r="G239" s="15">
        <f>Nkhudzi!J239+Nkhudzi!K239+Nkhudzi!L239</f>
        <v>0</v>
      </c>
      <c r="H239" s="38">
        <f t="shared" si="123"/>
        <v>0</v>
      </c>
    </row>
    <row r="240" spans="1:8" ht="15.6" x14ac:dyDescent="0.3">
      <c r="A240" s="549" t="s">
        <v>21</v>
      </c>
      <c r="B240" s="550"/>
      <c r="C240" s="11" t="s">
        <v>18</v>
      </c>
      <c r="D240" s="15">
        <f>Mangochi!J240+Mangochi!K240+Mangochi!L240</f>
        <v>0</v>
      </c>
      <c r="E240" s="15">
        <f>'Monkey Bay'!J240+'Monkey Bay'!K240+'Monkey Bay'!L240</f>
        <v>0</v>
      </c>
      <c r="F240" s="15">
        <f>Namwera!J240+Namwera!K240+Namwera!L240</f>
        <v>0</v>
      </c>
      <c r="G240" s="15">
        <f>Nkhudzi!J240+Nkhudzi!K240+Nkhudzi!L240</f>
        <v>0</v>
      </c>
      <c r="H240" s="38">
        <f t="shared" si="123"/>
        <v>0</v>
      </c>
    </row>
    <row r="241" spans="1:8" ht="15.6" x14ac:dyDescent="0.3">
      <c r="A241" s="549" t="s">
        <v>20</v>
      </c>
      <c r="B241" s="550"/>
      <c r="C241" s="11" t="s">
        <v>18</v>
      </c>
      <c r="D241" s="15">
        <f>Mangochi!J241+Mangochi!K241+Mangochi!L241</f>
        <v>0</v>
      </c>
      <c r="E241" s="15">
        <f>'Monkey Bay'!J241+'Monkey Bay'!K241+'Monkey Bay'!L241</f>
        <v>0</v>
      </c>
      <c r="F241" s="15">
        <f>Namwera!J241+Namwera!K241+Namwera!L241</f>
        <v>0</v>
      </c>
      <c r="G241" s="15">
        <f>Nkhudzi!J241+Nkhudzi!K241+Nkhudzi!L241</f>
        <v>0</v>
      </c>
      <c r="H241" s="38">
        <f t="shared" si="123"/>
        <v>0</v>
      </c>
    </row>
    <row r="242" spans="1:8" ht="15.6" x14ac:dyDescent="0.3">
      <c r="A242" s="618" t="s">
        <v>19</v>
      </c>
      <c r="B242" s="619"/>
      <c r="C242" s="11" t="s">
        <v>18</v>
      </c>
      <c r="D242" s="12">
        <f t="shared" ref="D242:F242" si="124">SUM(D238:D241)</f>
        <v>0</v>
      </c>
      <c r="E242" s="12">
        <f t="shared" si="124"/>
        <v>0</v>
      </c>
      <c r="F242" s="12">
        <f t="shared" si="124"/>
        <v>0</v>
      </c>
      <c r="G242" s="12">
        <f t="shared" ref="G242" si="125">SUM(G238:G241)</f>
        <v>0</v>
      </c>
      <c r="H242" s="39">
        <f t="shared" si="123"/>
        <v>0</v>
      </c>
    </row>
    <row r="243" spans="1:8" ht="15.6" x14ac:dyDescent="0.3">
      <c r="A243" s="618" t="s">
        <v>216</v>
      </c>
      <c r="B243" s="619"/>
      <c r="C243" s="11" t="s">
        <v>18</v>
      </c>
      <c r="D243" s="10">
        <f>D230+D236+D242</f>
        <v>0</v>
      </c>
      <c r="E243" s="10">
        <f t="shared" ref="E243:F243" si="126">E230+E236+E242</f>
        <v>0</v>
      </c>
      <c r="F243" s="10">
        <f t="shared" si="126"/>
        <v>0</v>
      </c>
      <c r="G243" s="10">
        <f t="shared" ref="G243" si="127">G230+G236+G242</f>
        <v>0</v>
      </c>
      <c r="H243" s="39">
        <f t="shared" ref="H243" si="128">H216+H223+H236+H242</f>
        <v>0</v>
      </c>
    </row>
    <row r="244" spans="1:8" x14ac:dyDescent="0.3">
      <c r="A244" s="543" t="s">
        <v>206</v>
      </c>
      <c r="B244" s="544"/>
      <c r="C244" s="544"/>
      <c r="D244" s="544"/>
      <c r="E244" s="544"/>
      <c r="F244" s="544"/>
      <c r="G244" s="544"/>
      <c r="H244" s="546"/>
    </row>
    <row r="245" spans="1:8" ht="15.6" x14ac:dyDescent="0.3">
      <c r="A245" s="622" t="s">
        <v>207</v>
      </c>
      <c r="B245" s="623"/>
      <c r="C245" s="11" t="s">
        <v>18</v>
      </c>
      <c r="D245" s="15">
        <f>Mangochi!J245+Mangochi!K245+Mangochi!L245</f>
        <v>0</v>
      </c>
      <c r="E245" s="15">
        <f>'Monkey Bay'!J245+'Monkey Bay'!K245+'Monkey Bay'!L245</f>
        <v>0</v>
      </c>
      <c r="F245" s="15">
        <f>Namwera!J245+Namwera!K245+Namwera!L245</f>
        <v>0</v>
      </c>
      <c r="G245" s="15">
        <f>Nkhudzi!J245+Nkhudzi!K245+Nkhudzi!L245</f>
        <v>0</v>
      </c>
      <c r="H245" s="39">
        <f t="shared" ref="H245:H246" si="129">SUM(D245:G245)</f>
        <v>0</v>
      </c>
    </row>
    <row r="246" spans="1:8" ht="15.6" x14ac:dyDescent="0.3">
      <c r="A246" s="622" t="s">
        <v>208</v>
      </c>
      <c r="B246" s="623"/>
      <c r="C246" s="11" t="s">
        <v>18</v>
      </c>
      <c r="D246" s="15">
        <f>Mangochi!J246+Mangochi!K246+Mangochi!L246</f>
        <v>0</v>
      </c>
      <c r="E246" s="15">
        <f>'Monkey Bay'!J246+'Monkey Bay'!K246+'Monkey Bay'!L246</f>
        <v>0</v>
      </c>
      <c r="F246" s="15">
        <f>Namwera!J246+Namwera!K246+Namwera!L246</f>
        <v>0</v>
      </c>
      <c r="G246" s="15">
        <f>Nkhudzi!J246+Nkhudzi!K246+Nkhudzi!L246</f>
        <v>0</v>
      </c>
      <c r="H246" s="39">
        <f t="shared" si="129"/>
        <v>0</v>
      </c>
    </row>
    <row r="247" spans="1:8" ht="15.6" x14ac:dyDescent="0.3">
      <c r="A247" s="624" t="s">
        <v>209</v>
      </c>
      <c r="B247" s="625"/>
      <c r="C247" s="11" t="s">
        <v>18</v>
      </c>
      <c r="D247" s="173">
        <f>D245+D246</f>
        <v>0</v>
      </c>
      <c r="E247" s="173">
        <f t="shared" ref="E247:F247" si="130">E245+E246</f>
        <v>0</v>
      </c>
      <c r="F247" s="173">
        <f t="shared" si="130"/>
        <v>0</v>
      </c>
      <c r="G247" s="173">
        <f t="shared" ref="G247" si="131">G245+G246</f>
        <v>0</v>
      </c>
      <c r="H247" s="150">
        <f t="shared" ref="H247" si="132">H245+H246</f>
        <v>0</v>
      </c>
    </row>
    <row r="248" spans="1:8" x14ac:dyDescent="0.3">
      <c r="A248" s="543" t="s">
        <v>17</v>
      </c>
      <c r="B248" s="544"/>
      <c r="C248" s="544"/>
      <c r="D248" s="544"/>
      <c r="E248" s="544"/>
      <c r="F248" s="544"/>
      <c r="G248" s="544"/>
      <c r="H248" s="546"/>
    </row>
    <row r="249" spans="1:8" ht="15.6" x14ac:dyDescent="0.3">
      <c r="A249" s="567" t="s">
        <v>16</v>
      </c>
      <c r="B249" s="568"/>
      <c r="C249" s="5" t="s">
        <v>6</v>
      </c>
      <c r="D249" s="8" t="e">
        <f>D58/D243%</f>
        <v>#DIV/0!</v>
      </c>
      <c r="E249" s="8" t="e">
        <f t="shared" ref="E249:H249" si="133">E58/E243%</f>
        <v>#DIV/0!</v>
      </c>
      <c r="F249" s="8" t="e">
        <f t="shared" si="133"/>
        <v>#DIV/0!</v>
      </c>
      <c r="G249" s="8" t="e">
        <f t="shared" ref="G249" si="134">G58/G243%</f>
        <v>#DIV/0!</v>
      </c>
      <c r="H249" s="8" t="e">
        <f t="shared" si="133"/>
        <v>#DIV/0!</v>
      </c>
    </row>
    <row r="250" spans="1:8" ht="15.6" x14ac:dyDescent="0.3">
      <c r="A250" s="567" t="s">
        <v>210</v>
      </c>
      <c r="B250" s="568"/>
      <c r="C250" s="5" t="s">
        <v>6</v>
      </c>
      <c r="D250" s="28" t="e">
        <f>D210/(D223+D245)%</f>
        <v>#DIV/0!</v>
      </c>
      <c r="E250" s="28" t="e">
        <f t="shared" ref="E250:H250" si="135">E210/(E223+E245)%</f>
        <v>#DIV/0!</v>
      </c>
      <c r="F250" s="28" t="e">
        <f t="shared" si="135"/>
        <v>#DIV/0!</v>
      </c>
      <c r="G250" s="28" t="e">
        <f t="shared" ref="G250" si="136">G210/(G223+G245)%</f>
        <v>#DIV/0!</v>
      </c>
      <c r="H250" s="28" t="e">
        <f t="shared" si="135"/>
        <v>#DIV/0!</v>
      </c>
    </row>
    <row r="251" spans="1:8" ht="16.2" thickBot="1" x14ac:dyDescent="0.35">
      <c r="A251" s="620" t="s">
        <v>15</v>
      </c>
      <c r="B251" s="621"/>
      <c r="C251" s="5" t="s">
        <v>6</v>
      </c>
      <c r="D251" s="7" t="e">
        <f>D210/D223%</f>
        <v>#DIV/0!</v>
      </c>
      <c r="E251" s="7" t="e">
        <f t="shared" ref="E251:H251" si="137">E210/E223%</f>
        <v>#DIV/0!</v>
      </c>
      <c r="F251" s="7" t="e">
        <f t="shared" si="137"/>
        <v>#DIV/0!</v>
      </c>
      <c r="G251" s="7" t="e">
        <f t="shared" ref="G251" si="138">G210/G223%</f>
        <v>#DIV/0!</v>
      </c>
      <c r="H251" s="7" t="e">
        <f t="shared" si="137"/>
        <v>#DIV/0!</v>
      </c>
    </row>
    <row r="252" spans="1:8" x14ac:dyDescent="0.3">
      <c r="A252" s="599" t="s">
        <v>14</v>
      </c>
      <c r="B252" s="600"/>
      <c r="C252" s="600"/>
      <c r="D252" s="600"/>
      <c r="E252" s="600"/>
      <c r="F252" s="600"/>
      <c r="G252" s="600"/>
      <c r="H252" s="601"/>
    </row>
    <row r="253" spans="1:8" s="2" customFormat="1" ht="15" customHeight="1" x14ac:dyDescent="0.3">
      <c r="A253" s="567" t="s">
        <v>13</v>
      </c>
      <c r="B253" s="568"/>
      <c r="C253" s="5" t="s">
        <v>3</v>
      </c>
      <c r="D253" s="25">
        <f>Mangochi!J253+Mangochi!K253+Mangochi!L253</f>
        <v>0</v>
      </c>
      <c r="E253" s="25">
        <f>'Monkey Bay'!J253+'Monkey Bay'!K253+'Monkey Bay'!L253</f>
        <v>0</v>
      </c>
      <c r="F253" s="25">
        <f>Namwera!J253+Namwera!K253+Namwera!L253</f>
        <v>0</v>
      </c>
      <c r="G253" s="25">
        <f>Nkhudzi!J253+Nkhudzi!K253+Nkhudzi!L253</f>
        <v>0</v>
      </c>
      <c r="H253" s="108">
        <f t="shared" ref="H253:H257" si="139">SUM(D253:G253)</f>
        <v>0</v>
      </c>
    </row>
    <row r="254" spans="1:8" s="2" customFormat="1" ht="15.6" x14ac:dyDescent="0.3">
      <c r="A254" s="567" t="s">
        <v>12</v>
      </c>
      <c r="B254" s="568"/>
      <c r="C254" s="5" t="s">
        <v>3</v>
      </c>
      <c r="D254" s="25">
        <f>Mangochi!J254+Mangochi!K254+Mangochi!L254</f>
        <v>0</v>
      </c>
      <c r="E254" s="25">
        <f>'Monkey Bay'!J254+'Monkey Bay'!K254+'Monkey Bay'!L254</f>
        <v>0</v>
      </c>
      <c r="F254" s="25">
        <f>Namwera!J254+Namwera!K254+Namwera!L254</f>
        <v>0</v>
      </c>
      <c r="G254" s="25">
        <f>Nkhudzi!J254+Nkhudzi!K254+Nkhudzi!L254</f>
        <v>0</v>
      </c>
      <c r="H254" s="108">
        <f t="shared" si="139"/>
        <v>0</v>
      </c>
    </row>
    <row r="255" spans="1:8" ht="15.75" customHeight="1" x14ac:dyDescent="0.3">
      <c r="A255" s="567" t="s">
        <v>11</v>
      </c>
      <c r="B255" s="568"/>
      <c r="C255" s="5" t="s">
        <v>3</v>
      </c>
      <c r="D255" s="25">
        <f>Mangochi!J255+Mangochi!K255+Mangochi!L255</f>
        <v>0</v>
      </c>
      <c r="E255" s="25">
        <f>'Monkey Bay'!J255+'Monkey Bay'!K255+'Monkey Bay'!L255</f>
        <v>0</v>
      </c>
      <c r="F255" s="25">
        <f>Namwera!J255+Namwera!K255+Namwera!L255</f>
        <v>0</v>
      </c>
      <c r="G255" s="25">
        <f>Nkhudzi!J255+Nkhudzi!K255+Nkhudzi!L255</f>
        <v>0</v>
      </c>
      <c r="H255" s="108">
        <f t="shared" si="139"/>
        <v>0</v>
      </c>
    </row>
    <row r="256" spans="1:8" ht="15.6" x14ac:dyDescent="0.3">
      <c r="A256" s="567" t="s">
        <v>10</v>
      </c>
      <c r="B256" s="568"/>
      <c r="C256" s="5" t="s">
        <v>3</v>
      </c>
      <c r="D256" s="25">
        <f>Mangochi!J256+Mangochi!K256+Mangochi!L256</f>
        <v>0</v>
      </c>
      <c r="E256" s="25">
        <f>'Monkey Bay'!J256+'Monkey Bay'!K256+'Monkey Bay'!L256</f>
        <v>0</v>
      </c>
      <c r="F256" s="25">
        <f>Namwera!J256+Namwera!K256+Namwera!L256</f>
        <v>0</v>
      </c>
      <c r="G256" s="25">
        <f>Nkhudzi!J256+Nkhudzi!K256+Nkhudzi!L256</f>
        <v>0</v>
      </c>
      <c r="H256" s="108">
        <f t="shared" si="139"/>
        <v>0</v>
      </c>
    </row>
    <row r="257" spans="1:8" ht="15.6" customHeight="1" x14ac:dyDescent="0.3">
      <c r="A257" s="567" t="s">
        <v>9</v>
      </c>
      <c r="B257" s="568"/>
      <c r="C257" s="5" t="s">
        <v>3</v>
      </c>
      <c r="D257" s="25">
        <f>Mangochi!J257+Mangochi!K257+Mangochi!L257</f>
        <v>0</v>
      </c>
      <c r="E257" s="25">
        <f>'Monkey Bay'!J257+'Monkey Bay'!K257+'Monkey Bay'!L257</f>
        <v>0</v>
      </c>
      <c r="F257" s="25">
        <f>Namwera!J257+Namwera!K257+Namwera!L257</f>
        <v>0</v>
      </c>
      <c r="G257" s="25">
        <f>Nkhudzi!J257+Nkhudzi!K257+Nkhudzi!L257</f>
        <v>0</v>
      </c>
      <c r="H257" s="108">
        <f t="shared" si="139"/>
        <v>0</v>
      </c>
    </row>
    <row r="258" spans="1:8" ht="15.6" x14ac:dyDescent="0.3">
      <c r="A258" s="618" t="s">
        <v>8</v>
      </c>
      <c r="B258" s="619"/>
      <c r="C258" s="5" t="s">
        <v>3</v>
      </c>
      <c r="D258" s="1" t="e">
        <f t="shared" ref="D258:H258" si="140">D257/D256</f>
        <v>#DIV/0!</v>
      </c>
      <c r="E258" s="1" t="e">
        <f t="shared" si="140"/>
        <v>#DIV/0!</v>
      </c>
      <c r="F258" s="1" t="e">
        <f t="shared" si="140"/>
        <v>#DIV/0!</v>
      </c>
      <c r="G258" s="1" t="e">
        <f t="shared" ref="G258" si="141">G257/G256</f>
        <v>#DIV/0!</v>
      </c>
      <c r="H258" s="108" t="e">
        <f t="shared" si="140"/>
        <v>#DIV/0!</v>
      </c>
    </row>
    <row r="259" spans="1:8" ht="15.6" x14ac:dyDescent="0.3">
      <c r="A259" s="618" t="s">
        <v>7</v>
      </c>
      <c r="B259" s="619"/>
      <c r="C259" s="5" t="s">
        <v>6</v>
      </c>
      <c r="D259" s="1" t="e">
        <f t="shared" ref="D259:H259" si="142">D92/D255*100</f>
        <v>#DIV/0!</v>
      </c>
      <c r="E259" s="1" t="e">
        <f t="shared" si="142"/>
        <v>#DIV/0!</v>
      </c>
      <c r="F259" s="1" t="e">
        <f t="shared" si="142"/>
        <v>#DIV/0!</v>
      </c>
      <c r="G259" s="1" t="e">
        <f t="shared" ref="G259" si="143">G92/G255*100</f>
        <v>#DIV/0!</v>
      </c>
      <c r="H259" s="109" t="e">
        <f t="shared" si="142"/>
        <v>#DIV/0!</v>
      </c>
    </row>
    <row r="260" spans="1:8" x14ac:dyDescent="0.3">
      <c r="A260" s="543" t="s">
        <v>5</v>
      </c>
      <c r="B260" s="544"/>
      <c r="C260" s="544"/>
      <c r="D260" s="544"/>
      <c r="E260" s="544"/>
      <c r="F260" s="544"/>
      <c r="G260" s="544"/>
      <c r="H260" s="546"/>
    </row>
    <row r="261" spans="1:8" s="2" customFormat="1" ht="15" customHeight="1" x14ac:dyDescent="0.3">
      <c r="A261" s="567" t="s">
        <v>4</v>
      </c>
      <c r="B261" s="568"/>
      <c r="C261" s="5" t="s">
        <v>3</v>
      </c>
      <c r="D261" s="25">
        <f>Mangochi!J261+Mangochi!K261+Mangochi!L261</f>
        <v>0</v>
      </c>
      <c r="E261" s="25">
        <f>'Monkey Bay'!J261+'Monkey Bay'!K261+'Monkey Bay'!L261</f>
        <v>0</v>
      </c>
      <c r="F261" s="25">
        <f>Namwera!J261+Namwera!K261+Namwera!L261</f>
        <v>0</v>
      </c>
      <c r="G261" s="25">
        <f>Nkhudzi!J261+Nkhudzi!K261+Nkhudzi!L261</f>
        <v>0</v>
      </c>
      <c r="H261" s="108"/>
    </row>
    <row r="262" spans="1:8" s="2" customFormat="1" ht="15.75" customHeight="1" x14ac:dyDescent="0.3">
      <c r="A262" s="567" t="s">
        <v>2</v>
      </c>
      <c r="B262" s="568"/>
      <c r="C262" s="5" t="s">
        <v>0</v>
      </c>
      <c r="D262" s="25">
        <f>Mangochi!J262+Mangochi!K262+Mangochi!L262</f>
        <v>0</v>
      </c>
      <c r="E262" s="25">
        <f>'Monkey Bay'!J262+'Monkey Bay'!K262+'Monkey Bay'!L262</f>
        <v>0</v>
      </c>
      <c r="F262" s="25">
        <f>Namwera!J262+Namwera!K262+Namwera!L262</f>
        <v>0</v>
      </c>
      <c r="G262" s="25">
        <f>Nkhudzi!J262+Nkhudzi!K262+Nkhudzi!L262</f>
        <v>0</v>
      </c>
      <c r="H262" s="108"/>
    </row>
    <row r="263" spans="1:8" ht="16.2" thickBot="1" x14ac:dyDescent="0.35">
      <c r="A263" s="626" t="s">
        <v>1</v>
      </c>
      <c r="B263" s="627"/>
      <c r="C263" s="110" t="s">
        <v>0</v>
      </c>
      <c r="D263" s="111" t="e">
        <f t="shared" ref="D263:H263" si="144">D261/D262</f>
        <v>#DIV/0!</v>
      </c>
      <c r="E263" s="111" t="e">
        <f t="shared" si="144"/>
        <v>#DIV/0!</v>
      </c>
      <c r="F263" s="111" t="e">
        <f t="shared" si="144"/>
        <v>#DIV/0!</v>
      </c>
      <c r="G263" s="111" t="e">
        <f t="shared" ref="G263" si="145">G261/G262</f>
        <v>#DIV/0!</v>
      </c>
      <c r="H263" s="111" t="e">
        <f t="shared" si="144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263"/>
  <sheetViews>
    <sheetView workbookViewId="0">
      <selection activeCell="D208" sqref="D20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16" ht="18" thickBot="1" x14ac:dyDescent="0.35">
      <c r="A1" s="112" t="s">
        <v>177</v>
      </c>
      <c r="B1" s="113"/>
      <c r="C1" s="113"/>
      <c r="D1" s="113"/>
      <c r="E1" s="113"/>
      <c r="F1" s="113"/>
      <c r="G1" s="113"/>
      <c r="H1" s="115"/>
    </row>
    <row r="2" spans="1:16" ht="18" thickBot="1" x14ac:dyDescent="0.35">
      <c r="A2" s="87"/>
      <c r="B2" s="116"/>
      <c r="C2" s="116"/>
      <c r="D2" s="116"/>
      <c r="E2" s="116"/>
      <c r="F2" s="116"/>
      <c r="G2" s="116"/>
      <c r="H2" s="117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118"/>
      <c r="E4" s="118"/>
      <c r="F4" s="118"/>
      <c r="G4" s="118"/>
      <c r="H4" s="119"/>
    </row>
    <row r="5" spans="1:16" ht="14.4" customHeight="1" x14ac:dyDescent="0.3">
      <c r="A5" s="89" t="s">
        <v>222</v>
      </c>
      <c r="B5" s="90"/>
      <c r="C5" s="90"/>
      <c r="D5" s="90"/>
      <c r="E5" s="90"/>
      <c r="F5" s="90"/>
      <c r="G5" s="90"/>
      <c r="H5" s="120"/>
    </row>
    <row r="6" spans="1:16" ht="15" customHeight="1" thickBot="1" x14ac:dyDescent="0.35">
      <c r="A6" s="91"/>
      <c r="B6" s="92"/>
      <c r="C6" s="92"/>
      <c r="D6" s="92"/>
      <c r="E6" s="92"/>
      <c r="F6" s="92"/>
      <c r="G6" s="92"/>
      <c r="H6" s="93"/>
    </row>
    <row r="7" spans="1:16" ht="16.2" thickBot="1" x14ac:dyDescent="0.35">
      <c r="A7" s="536" t="s">
        <v>176</v>
      </c>
      <c r="B7" s="537"/>
      <c r="C7" s="60" t="s">
        <v>175</v>
      </c>
      <c r="D7" s="59" t="s">
        <v>219</v>
      </c>
      <c r="E7" s="59" t="s">
        <v>220</v>
      </c>
      <c r="F7" s="59" t="s">
        <v>221</v>
      </c>
      <c r="G7" s="59" t="s">
        <v>223</v>
      </c>
      <c r="H7" s="58" t="s">
        <v>162</v>
      </c>
    </row>
    <row r="8" spans="1:16" ht="15" thickBot="1" x14ac:dyDescent="0.35">
      <c r="A8" s="538" t="s">
        <v>161</v>
      </c>
      <c r="B8" s="539"/>
      <c r="C8" s="539"/>
      <c r="D8" s="539"/>
      <c r="E8" s="539"/>
      <c r="F8" s="539"/>
      <c r="G8" s="539"/>
      <c r="H8" s="540"/>
    </row>
    <row r="9" spans="1:16" ht="15.6" x14ac:dyDescent="0.3">
      <c r="A9" s="541" t="s">
        <v>178</v>
      </c>
      <c r="B9" s="542"/>
      <c r="C9" s="57" t="s">
        <v>154</v>
      </c>
      <c r="D9" s="56">
        <f>Mangochi!M9+Mangochi!N9+Mangochi!O9</f>
        <v>0</v>
      </c>
      <c r="E9" s="56">
        <f>'Monkey Bay'!M9+'Monkey Bay'!N9+'Monkey Bay'!O9</f>
        <v>0</v>
      </c>
      <c r="F9" s="56">
        <f>Namwera!M9+Namwera!N9+Namwera!O9</f>
        <v>0</v>
      </c>
      <c r="G9" s="56">
        <f>Nkhudzi!M9+Nkhudzi!N9+Nkhudzi!O9</f>
        <v>0</v>
      </c>
      <c r="H9" s="55">
        <f>SUM(D9:G9)</f>
        <v>0</v>
      </c>
    </row>
    <row r="10" spans="1:16" ht="15" thickBot="1" x14ac:dyDescent="0.35">
      <c r="A10" s="543" t="s">
        <v>179</v>
      </c>
      <c r="B10" s="544"/>
      <c r="C10" s="544"/>
      <c r="D10" s="545"/>
      <c r="E10" s="545"/>
      <c r="F10" s="545"/>
      <c r="G10" s="545"/>
      <c r="H10" s="546"/>
    </row>
    <row r="11" spans="1:16" ht="15.6" x14ac:dyDescent="0.3">
      <c r="A11" s="547" t="s">
        <v>159</v>
      </c>
      <c r="B11" s="548"/>
      <c r="C11" s="11" t="s">
        <v>154</v>
      </c>
      <c r="D11" s="25">
        <f>Mangochi!M11+Mangochi!N11+Mangochi!O11</f>
        <v>0</v>
      </c>
      <c r="E11" s="25">
        <f>'Monkey Bay'!M11+'Monkey Bay'!N11+'Monkey Bay'!O11</f>
        <v>0</v>
      </c>
      <c r="F11" s="25">
        <f>Namwera!M11+Namwera!N11+Namwera!O11</f>
        <v>0</v>
      </c>
      <c r="G11" s="171">
        <f>Nkhudzi!M11+Nkhudzi!N11+Nkhudzi!O11</f>
        <v>0</v>
      </c>
      <c r="H11" s="54">
        <f t="shared" ref="H11:H15" si="0">SUM(D11:G11)</f>
        <v>0</v>
      </c>
    </row>
    <row r="12" spans="1:16" ht="15.6" x14ac:dyDescent="0.3">
      <c r="A12" s="547" t="s">
        <v>158</v>
      </c>
      <c r="B12" s="548"/>
      <c r="C12" s="11" t="s">
        <v>154</v>
      </c>
      <c r="D12" s="25">
        <f>Mangochi!M12+Mangochi!N12+Mangochi!O12</f>
        <v>0</v>
      </c>
      <c r="E12" s="25">
        <f>'Monkey Bay'!M12+'Monkey Bay'!N12+'Monkey Bay'!O12</f>
        <v>0</v>
      </c>
      <c r="F12" s="25">
        <f>Namwera!M12+Namwera!N12+Namwera!O12</f>
        <v>0</v>
      </c>
      <c r="G12" s="25">
        <f>Nkhudzi!M12+Nkhudzi!N12+Nkhudzi!O12</f>
        <v>0</v>
      </c>
      <c r="H12" s="54">
        <f t="shared" si="0"/>
        <v>0</v>
      </c>
    </row>
    <row r="13" spans="1:16" ht="15.6" x14ac:dyDescent="0.3">
      <c r="A13" s="547" t="s">
        <v>157</v>
      </c>
      <c r="B13" s="548"/>
      <c r="C13" s="11" t="s">
        <v>154</v>
      </c>
      <c r="D13" s="25">
        <f>Mangochi!M13+Mangochi!N13+Mangochi!O13</f>
        <v>0</v>
      </c>
      <c r="E13" s="25">
        <f>'Monkey Bay'!M13+'Monkey Bay'!N13+'Monkey Bay'!O13</f>
        <v>0</v>
      </c>
      <c r="F13" s="25">
        <f>Namwera!M13+Namwera!N13+Namwera!O13</f>
        <v>0</v>
      </c>
      <c r="G13" s="25">
        <f>Nkhudzi!M13+Nkhudzi!N13+Nkhudzi!O13</f>
        <v>0</v>
      </c>
      <c r="H13" s="54">
        <f t="shared" si="0"/>
        <v>0</v>
      </c>
    </row>
    <row r="14" spans="1:16" ht="15.6" x14ac:dyDescent="0.3">
      <c r="A14" s="549" t="s">
        <v>156</v>
      </c>
      <c r="B14" s="550"/>
      <c r="C14" s="11" t="s">
        <v>154</v>
      </c>
      <c r="D14" s="25">
        <f>Mangochi!M14+Mangochi!N14+Mangochi!O14</f>
        <v>0</v>
      </c>
      <c r="E14" s="25">
        <f>'Monkey Bay'!M14+'Monkey Bay'!N14+'Monkey Bay'!O14</f>
        <v>0</v>
      </c>
      <c r="F14" s="25">
        <f>Namwera!M14+Namwera!N14+Namwera!O14</f>
        <v>0</v>
      </c>
      <c r="G14" s="25">
        <f>Nkhudzi!M14+Nkhudzi!N14+Nkhudzi!O14</f>
        <v>0</v>
      </c>
      <c r="H14" s="54">
        <f t="shared" si="0"/>
        <v>0</v>
      </c>
    </row>
    <row r="15" spans="1:16" s="62" customFormat="1" ht="15.6" x14ac:dyDescent="0.3">
      <c r="A15" s="551" t="s">
        <v>160</v>
      </c>
      <c r="B15" s="552"/>
      <c r="C15" s="61" t="s">
        <v>154</v>
      </c>
      <c r="D15" s="33">
        <f t="shared" ref="D15:G15" si="1">SUM(D11:D14)</f>
        <v>0</v>
      </c>
      <c r="E15" s="33">
        <f t="shared" si="1"/>
        <v>0</v>
      </c>
      <c r="F15" s="33">
        <f t="shared" si="1"/>
        <v>0</v>
      </c>
      <c r="G15" s="33">
        <f t="shared" si="1"/>
        <v>0</v>
      </c>
      <c r="H15" s="54">
        <f t="shared" si="0"/>
        <v>0</v>
      </c>
    </row>
    <row r="16" spans="1:16" s="2" customFormat="1" ht="15" thickBot="1" x14ac:dyDescent="0.35">
      <c r="A16" s="543" t="s">
        <v>180</v>
      </c>
      <c r="B16" s="544"/>
      <c r="C16" s="544"/>
      <c r="D16" s="544"/>
      <c r="E16" s="545"/>
      <c r="F16" s="545"/>
      <c r="G16" s="545"/>
      <c r="H16" s="546"/>
    </row>
    <row r="17" spans="1:8" s="2" customFormat="1" ht="15.6" x14ac:dyDescent="0.3">
      <c r="A17" s="547" t="s">
        <v>182</v>
      </c>
      <c r="B17" s="548"/>
      <c r="C17" s="11" t="s">
        <v>154</v>
      </c>
      <c r="D17" s="25">
        <f>Mangochi!M17+Mangochi!N17+Mangochi!O17</f>
        <v>0</v>
      </c>
      <c r="E17" s="25">
        <f>'Monkey Bay'!M17+'Monkey Bay'!N17+'Monkey Bay'!O17</f>
        <v>0</v>
      </c>
      <c r="F17" s="25">
        <f>Namwera!M17+Namwera!N17+Namwera!O17</f>
        <v>0</v>
      </c>
      <c r="G17" s="171">
        <f>Nkhudzi!M17+Nkhudzi!N17+Nkhudzi!O17</f>
        <v>0</v>
      </c>
      <c r="H17" s="54">
        <f t="shared" ref="H17:H22" si="2">SUM(D17:G17)</f>
        <v>0</v>
      </c>
    </row>
    <row r="18" spans="1:8" s="2" customFormat="1" ht="15.6" x14ac:dyDescent="0.3">
      <c r="A18" s="547" t="s">
        <v>183</v>
      </c>
      <c r="B18" s="548"/>
      <c r="C18" s="11" t="s">
        <v>154</v>
      </c>
      <c r="D18" s="25">
        <f>Mangochi!M18+Mangochi!N18+Mangochi!O18</f>
        <v>0</v>
      </c>
      <c r="E18" s="25">
        <f>'Monkey Bay'!M18+'Monkey Bay'!N18+'Monkey Bay'!O18</f>
        <v>0</v>
      </c>
      <c r="F18" s="25">
        <f>Namwera!M18+Namwera!N18+Namwera!O18</f>
        <v>0</v>
      </c>
      <c r="G18" s="25">
        <f>Nkhudzi!M18+Nkhudzi!N18+Nkhudzi!O18</f>
        <v>0</v>
      </c>
      <c r="H18" s="54">
        <f t="shared" si="2"/>
        <v>0</v>
      </c>
    </row>
    <row r="19" spans="1:8" s="2" customFormat="1" ht="15.6" x14ac:dyDescent="0.3">
      <c r="A19" s="547" t="s">
        <v>184</v>
      </c>
      <c r="B19" s="548"/>
      <c r="C19" s="11" t="s">
        <v>154</v>
      </c>
      <c r="D19" s="25">
        <f>Mangochi!M19+Mangochi!N19+Mangochi!O19</f>
        <v>0</v>
      </c>
      <c r="E19" s="25">
        <f>'Monkey Bay'!M19+'Monkey Bay'!N19+'Monkey Bay'!O19</f>
        <v>0</v>
      </c>
      <c r="F19" s="25">
        <f>Namwera!M19+Namwera!N19+Namwera!O19</f>
        <v>0</v>
      </c>
      <c r="G19" s="25">
        <f>Nkhudzi!M19+Nkhudzi!N19+Nkhudzi!O19</f>
        <v>0</v>
      </c>
      <c r="H19" s="54">
        <f t="shared" si="2"/>
        <v>0</v>
      </c>
    </row>
    <row r="20" spans="1:8" s="2" customFormat="1" ht="15.6" x14ac:dyDescent="0.3">
      <c r="A20" s="549" t="s">
        <v>185</v>
      </c>
      <c r="B20" s="550"/>
      <c r="C20" s="11" t="s">
        <v>154</v>
      </c>
      <c r="D20" s="25">
        <f>Mangochi!M20+Mangochi!N20+Mangochi!O20</f>
        <v>0</v>
      </c>
      <c r="E20" s="25">
        <f>'Monkey Bay'!M20+'Monkey Bay'!N20+'Monkey Bay'!O20</f>
        <v>0</v>
      </c>
      <c r="F20" s="25">
        <f>Namwera!M20+Namwera!N20+Namwera!O20</f>
        <v>0</v>
      </c>
      <c r="G20" s="25">
        <f>Nkhudzi!M20+Nkhudzi!N20+Nkhudzi!O20</f>
        <v>0</v>
      </c>
      <c r="H20" s="54">
        <f t="shared" si="2"/>
        <v>0</v>
      </c>
    </row>
    <row r="21" spans="1:8" s="70" customFormat="1" ht="15.6" x14ac:dyDescent="0.3">
      <c r="A21" s="551" t="s">
        <v>186</v>
      </c>
      <c r="B21" s="552"/>
      <c r="C21" s="61" t="s">
        <v>154</v>
      </c>
      <c r="D21" s="33">
        <f>SUM(D17:D20)</f>
        <v>0</v>
      </c>
      <c r="E21" s="33">
        <f t="shared" ref="E21:G21" si="3">SUM(E17:E20)</f>
        <v>0</v>
      </c>
      <c r="F21" s="33">
        <f t="shared" si="3"/>
        <v>0</v>
      </c>
      <c r="G21" s="33">
        <f t="shared" si="3"/>
        <v>0</v>
      </c>
      <c r="H21" s="54">
        <f t="shared" si="2"/>
        <v>0</v>
      </c>
    </row>
    <row r="22" spans="1:8" s="2" customFormat="1" ht="15.6" x14ac:dyDescent="0.3">
      <c r="A22" s="196" t="s">
        <v>187</v>
      </c>
      <c r="B22" s="190"/>
      <c r="C22" s="11" t="s">
        <v>154</v>
      </c>
      <c r="D22" s="33">
        <f>D21+D15</f>
        <v>0</v>
      </c>
      <c r="E22" s="33">
        <f t="shared" ref="E22:G22" si="4">E21+E15</f>
        <v>0</v>
      </c>
      <c r="F22" s="33">
        <f t="shared" si="4"/>
        <v>0</v>
      </c>
      <c r="G22" s="33">
        <f t="shared" si="4"/>
        <v>0</v>
      </c>
      <c r="H22" s="54">
        <f t="shared" si="2"/>
        <v>0</v>
      </c>
    </row>
    <row r="23" spans="1:8" x14ac:dyDescent="0.3">
      <c r="A23" s="543" t="s">
        <v>217</v>
      </c>
      <c r="B23" s="544"/>
      <c r="C23" s="544"/>
      <c r="D23" s="544"/>
      <c r="E23" s="544"/>
      <c r="F23" s="544"/>
      <c r="G23" s="544"/>
      <c r="H23" s="546"/>
    </row>
    <row r="24" spans="1:8" ht="15.6" x14ac:dyDescent="0.3">
      <c r="A24" s="553" t="s">
        <v>181</v>
      </c>
      <c r="B24" s="36" t="s">
        <v>155</v>
      </c>
      <c r="C24" s="5" t="s">
        <v>154</v>
      </c>
      <c r="D24" s="53">
        <f>D9-D22</f>
        <v>0</v>
      </c>
      <c r="E24" s="53">
        <f t="shared" ref="E24:H24" si="5">E9-E22</f>
        <v>0</v>
      </c>
      <c r="F24" s="53">
        <f t="shared" si="5"/>
        <v>0</v>
      </c>
      <c r="G24" s="53">
        <f t="shared" si="5"/>
        <v>0</v>
      </c>
      <c r="H24" s="94">
        <f t="shared" si="5"/>
        <v>0</v>
      </c>
    </row>
    <row r="25" spans="1:8" ht="15.6" x14ac:dyDescent="0.3">
      <c r="A25" s="554"/>
      <c r="B25" s="52" t="s">
        <v>153</v>
      </c>
      <c r="C25" s="51" t="s">
        <v>6</v>
      </c>
      <c r="D25" s="50" t="e">
        <f t="shared" ref="D25:H25" si="6">D24/D9</f>
        <v>#DIV/0!</v>
      </c>
      <c r="E25" s="50" t="e">
        <f t="shared" si="6"/>
        <v>#DIV/0!</v>
      </c>
      <c r="F25" s="50" t="e">
        <f t="shared" si="6"/>
        <v>#DIV/0!</v>
      </c>
      <c r="G25" s="50" t="e">
        <f t="shared" si="6"/>
        <v>#DIV/0!</v>
      </c>
      <c r="H25" s="95" t="e">
        <f t="shared" si="6"/>
        <v>#DIV/0!</v>
      </c>
    </row>
    <row r="26" spans="1:8" x14ac:dyDescent="0.3">
      <c r="A26" s="543" t="s">
        <v>152</v>
      </c>
      <c r="B26" s="544"/>
      <c r="C26" s="544"/>
      <c r="D26" s="544"/>
      <c r="E26" s="544"/>
      <c r="F26" s="544"/>
      <c r="G26" s="544"/>
      <c r="H26" s="546"/>
    </row>
    <row r="27" spans="1:8" x14ac:dyDescent="0.3">
      <c r="A27" s="559" t="s">
        <v>151</v>
      </c>
      <c r="B27" s="560"/>
      <c r="C27" s="560"/>
      <c r="D27" s="560"/>
      <c r="E27" s="560"/>
      <c r="F27" s="560"/>
      <c r="G27" s="560"/>
      <c r="H27" s="561"/>
    </row>
    <row r="28" spans="1:8" ht="15.6" x14ac:dyDescent="0.3">
      <c r="A28" s="96" t="s">
        <v>150</v>
      </c>
      <c r="B28" s="49" t="s">
        <v>149</v>
      </c>
      <c r="C28" s="48"/>
      <c r="D28" s="188"/>
      <c r="E28" s="188"/>
      <c r="F28" s="188"/>
      <c r="G28" s="46"/>
      <c r="H28" s="45"/>
    </row>
    <row r="29" spans="1:8" ht="15.6" x14ac:dyDescent="0.3">
      <c r="A29" s="562" t="s">
        <v>148</v>
      </c>
      <c r="B29" s="557">
        <v>3525.29</v>
      </c>
      <c r="C29" s="5" t="s">
        <v>142</v>
      </c>
      <c r="D29" s="25">
        <f>Mangochi!M29+Mangochi!N29+Mangochi!O29</f>
        <v>0</v>
      </c>
      <c r="E29" s="25">
        <f>'Monkey Bay'!M29+'Monkey Bay'!N29+'Monkey Bay'!O29</f>
        <v>0</v>
      </c>
      <c r="F29" s="25">
        <f>Namwera!M29+Namwera!N29+Namwera!O29</f>
        <v>0</v>
      </c>
      <c r="G29" s="4">
        <f>Nkhudzi!M29+Nkhudzi!N29+Nkhudzi!O29</f>
        <v>0</v>
      </c>
      <c r="H29" s="44">
        <f>SUM(D29:G29)</f>
        <v>0</v>
      </c>
    </row>
    <row r="30" spans="1:8" ht="15.6" x14ac:dyDescent="0.3">
      <c r="A30" s="563"/>
      <c r="B30" s="558"/>
      <c r="C30" s="41" t="s">
        <v>141</v>
      </c>
      <c r="D30" s="15" t="e">
        <f t="shared" ref="D30:H30" si="7">D29/(D9/1000)</f>
        <v>#DIV/0!</v>
      </c>
      <c r="E30" s="15" t="e">
        <f t="shared" si="7"/>
        <v>#DIV/0!</v>
      </c>
      <c r="F30" s="15" t="e">
        <f t="shared" si="7"/>
        <v>#DIV/0!</v>
      </c>
      <c r="G30" s="15" t="e">
        <f t="shared" si="7"/>
        <v>#DIV/0!</v>
      </c>
      <c r="H30" s="97" t="e">
        <f t="shared" si="7"/>
        <v>#DIV/0!</v>
      </c>
    </row>
    <row r="31" spans="1:8" ht="15.6" x14ac:dyDescent="0.3">
      <c r="A31" s="555" t="s">
        <v>147</v>
      </c>
      <c r="B31" s="557">
        <v>1060.0102199999999</v>
      </c>
      <c r="C31" s="5" t="s">
        <v>142</v>
      </c>
      <c r="D31" s="25">
        <f>Mangochi!M31+Mangochi!N31+Mangochi!O31</f>
        <v>0</v>
      </c>
      <c r="E31" s="25">
        <f>'Monkey Bay'!M31+'Monkey Bay'!N31+'Monkey Bay'!O31</f>
        <v>0</v>
      </c>
      <c r="F31" s="25">
        <f>Namwera!M31+Namwera!N31+Namwera!O31</f>
        <v>0</v>
      </c>
      <c r="G31" s="4">
        <f>Nkhudzi!J31+Nkhudzi!K31+Nkhudzi!L31</f>
        <v>0</v>
      </c>
      <c r="H31" s="44">
        <f>SUM(D31:G31)</f>
        <v>0</v>
      </c>
    </row>
    <row r="32" spans="1:8" ht="15.6" x14ac:dyDescent="0.3">
      <c r="A32" s="556"/>
      <c r="B32" s="558"/>
      <c r="C32" s="41" t="s">
        <v>141</v>
      </c>
      <c r="D32" s="15" t="e">
        <f t="shared" ref="D32:F32" si="8">D31/(D9/1000)</f>
        <v>#DIV/0!</v>
      </c>
      <c r="E32" s="15" t="e">
        <f t="shared" si="8"/>
        <v>#DIV/0!</v>
      </c>
      <c r="F32" s="15" t="e">
        <f t="shared" si="8"/>
        <v>#DIV/0!</v>
      </c>
      <c r="G32" s="15" t="e">
        <f>Nkhudzi!J32+Nkhudzi!K32+Nkhudzi!L32</f>
        <v>#DIV/0!</v>
      </c>
      <c r="H32" s="97" t="e">
        <f t="shared" ref="H32" si="9">H31/(H9/1000)</f>
        <v>#DIV/0!</v>
      </c>
    </row>
    <row r="33" spans="1:8" ht="15.6" x14ac:dyDescent="0.3">
      <c r="A33" s="555" t="s">
        <v>146</v>
      </c>
      <c r="B33" s="557">
        <v>1228.2886000000001</v>
      </c>
      <c r="C33" s="5" t="s">
        <v>142</v>
      </c>
      <c r="D33" s="25">
        <f>Mangochi!M33+Mangochi!N33+Mangochi!O33</f>
        <v>0</v>
      </c>
      <c r="E33" s="25">
        <f>'Monkey Bay'!M33+'Monkey Bay'!N33+'Monkey Bay'!O33</f>
        <v>0</v>
      </c>
      <c r="F33" s="25">
        <f>Namwera!M33+Namwera!N33+Namwera!O33</f>
        <v>0</v>
      </c>
      <c r="G33" s="4">
        <f>Nkhudzi!J33+Nkhudzi!K33+Nkhudzi!L33</f>
        <v>0</v>
      </c>
      <c r="H33" s="44">
        <f>SUM(D33:F33)</f>
        <v>0</v>
      </c>
    </row>
    <row r="34" spans="1:8" ht="15.6" x14ac:dyDescent="0.3">
      <c r="A34" s="556"/>
      <c r="B34" s="558"/>
      <c r="C34" s="41" t="s">
        <v>141</v>
      </c>
      <c r="D34" s="15" t="e">
        <f t="shared" ref="D34:F34" si="10">D33/(D9/1000)</f>
        <v>#DIV/0!</v>
      </c>
      <c r="E34" s="15" t="e">
        <f t="shared" si="10"/>
        <v>#DIV/0!</v>
      </c>
      <c r="F34" s="15" t="e">
        <f t="shared" si="10"/>
        <v>#DIV/0!</v>
      </c>
      <c r="G34" s="15" t="e">
        <f>Nkhudzi!J34+Nkhudzi!K34+Nkhudzi!L34</f>
        <v>#DIV/0!</v>
      </c>
      <c r="H34" s="97" t="e">
        <f t="shared" ref="H34" si="11">H33/(H9/1000)</f>
        <v>#DIV/0!</v>
      </c>
    </row>
    <row r="35" spans="1:8" ht="15.6" x14ac:dyDescent="0.3">
      <c r="A35" s="555" t="s">
        <v>145</v>
      </c>
      <c r="B35" s="557">
        <v>3726.7258000000002</v>
      </c>
      <c r="C35" s="5" t="s">
        <v>128</v>
      </c>
      <c r="D35" s="4">
        <f>Mangochi!M35+Mangochi!N35+Mangochi!O35</f>
        <v>0</v>
      </c>
      <c r="E35" s="4">
        <f>'Monkey Bay'!M35+'Monkey Bay'!N35+'Monkey Bay'!O35</f>
        <v>0</v>
      </c>
      <c r="F35" s="4">
        <f>Namwera!M35+Namwera!N35+Namwera!O35</f>
        <v>0</v>
      </c>
      <c r="G35" s="4">
        <f>Nkhudzi!J35+Nkhudzi!K35+Nkhudzi!L35</f>
        <v>0</v>
      </c>
      <c r="H35" s="97"/>
    </row>
    <row r="36" spans="1:8" ht="15.6" x14ac:dyDescent="0.3">
      <c r="A36" s="556"/>
      <c r="B36" s="558"/>
      <c r="C36" s="5" t="s">
        <v>144</v>
      </c>
      <c r="D36" s="13"/>
      <c r="E36" s="13"/>
      <c r="F36" s="13"/>
      <c r="G36" s="15">
        <f>Nkhudzi!J36+Nkhudzi!K36+Nkhudzi!L36</f>
        <v>0</v>
      </c>
      <c r="H36" s="97"/>
    </row>
    <row r="37" spans="1:8" ht="15.6" x14ac:dyDescent="0.3">
      <c r="A37" s="555" t="s">
        <v>188</v>
      </c>
      <c r="B37" s="557">
        <v>3951.5935999999997</v>
      </c>
      <c r="C37" s="5" t="s">
        <v>128</v>
      </c>
      <c r="D37" s="42">
        <v>0</v>
      </c>
      <c r="E37" s="42">
        <v>0</v>
      </c>
      <c r="F37" s="42">
        <v>0</v>
      </c>
      <c r="G37" s="4">
        <f>Nkhudzi!J37+Nkhudzi!K37+Nkhudzi!L37</f>
        <v>0</v>
      </c>
      <c r="H37" s="44">
        <f>SUM(D37:F37)</f>
        <v>0</v>
      </c>
    </row>
    <row r="38" spans="1:8" ht="15.6" x14ac:dyDescent="0.3">
      <c r="A38" s="556"/>
      <c r="B38" s="558"/>
      <c r="C38" s="5" t="s">
        <v>144</v>
      </c>
      <c r="D38" s="15" t="e">
        <f t="shared" ref="D38:F38" si="12">D37/(D9/1000)</f>
        <v>#DIV/0!</v>
      </c>
      <c r="E38" s="15" t="e">
        <f t="shared" si="12"/>
        <v>#DIV/0!</v>
      </c>
      <c r="F38" s="15" t="e">
        <f t="shared" si="12"/>
        <v>#DIV/0!</v>
      </c>
      <c r="G38" s="15" t="e">
        <f>Nkhudzi!J38+Nkhudzi!K38+Nkhudzi!L38</f>
        <v>#DIV/0!</v>
      </c>
      <c r="H38" s="97" t="e">
        <f t="shared" ref="H38" si="13">H37/(H9/1000)</f>
        <v>#DIV/0!</v>
      </c>
    </row>
    <row r="39" spans="1:8" ht="15.6" x14ac:dyDescent="0.3">
      <c r="A39" s="555" t="s">
        <v>143</v>
      </c>
      <c r="B39" s="557">
        <v>1950</v>
      </c>
      <c r="C39" s="5" t="s">
        <v>142</v>
      </c>
      <c r="D39" s="42">
        <v>0</v>
      </c>
      <c r="E39" s="42">
        <v>0</v>
      </c>
      <c r="F39" s="42">
        <v>0</v>
      </c>
      <c r="G39" s="4">
        <f>Nkhudzi!J39+Nkhudzi!K39+Nkhudzi!L39</f>
        <v>0</v>
      </c>
      <c r="H39" s="44">
        <f>SUM(D39:F39)</f>
        <v>0</v>
      </c>
    </row>
    <row r="40" spans="1:8" ht="15.6" x14ac:dyDescent="0.3">
      <c r="A40" s="556"/>
      <c r="B40" s="558"/>
      <c r="C40" s="41" t="s">
        <v>141</v>
      </c>
      <c r="D40" s="15" t="e">
        <f t="shared" ref="D40:F40" si="14">D39/(D9/1000)</f>
        <v>#DIV/0!</v>
      </c>
      <c r="E40" s="15" t="e">
        <f t="shared" si="14"/>
        <v>#DIV/0!</v>
      </c>
      <c r="F40" s="15" t="e">
        <f t="shared" si="14"/>
        <v>#DIV/0!</v>
      </c>
      <c r="G40" s="15" t="e">
        <f>Nkhudzi!J40+Nkhudzi!K40+Nkhudzi!L40</f>
        <v>#DIV/0!</v>
      </c>
      <c r="H40" s="97" t="e">
        <f t="shared" ref="H40" si="15">H39/(H9/1000)</f>
        <v>#DIV/0!</v>
      </c>
    </row>
    <row r="41" spans="1:8" ht="15.6" x14ac:dyDescent="0.3">
      <c r="A41" s="549" t="s">
        <v>140</v>
      </c>
      <c r="B41" s="550"/>
      <c r="C41" s="11" t="s">
        <v>31</v>
      </c>
      <c r="D41" s="40">
        <f>(D29*$B29)+(D31*$B31)+(D33*$B33)+(D35*$B35)+(D37*$B37)+(D39*$B39)</f>
        <v>0</v>
      </c>
      <c r="E41" s="40">
        <f t="shared" ref="E41:G41" si="16">(E29*$B29)+(E31*$B31)+(E33*$B33)+(E35*$B35)+(E37*$B37)+(E39*$B39)</f>
        <v>0</v>
      </c>
      <c r="F41" s="40">
        <f t="shared" si="16"/>
        <v>0</v>
      </c>
      <c r="G41" s="40">
        <f t="shared" si="16"/>
        <v>0</v>
      </c>
      <c r="H41" s="38">
        <f>SUM(D41:G41)</f>
        <v>0</v>
      </c>
    </row>
    <row r="42" spans="1:8" ht="15.6" x14ac:dyDescent="0.3">
      <c r="A42" s="569" t="s">
        <v>139</v>
      </c>
      <c r="B42" s="570"/>
      <c r="C42" s="41" t="s">
        <v>117</v>
      </c>
      <c r="D42" s="15" t="e">
        <f t="shared" ref="D42:H42" si="17">D41/D9</f>
        <v>#DIV/0!</v>
      </c>
      <c r="E42" s="15" t="e">
        <f t="shared" si="17"/>
        <v>#DIV/0!</v>
      </c>
      <c r="F42" s="15" t="e">
        <f t="shared" si="17"/>
        <v>#DIV/0!</v>
      </c>
      <c r="G42" s="15" t="e">
        <f t="shared" si="17"/>
        <v>#DIV/0!</v>
      </c>
      <c r="H42" s="43" t="e">
        <f t="shared" si="17"/>
        <v>#DIV/0!</v>
      </c>
    </row>
    <row r="43" spans="1:8" ht="15" thickBot="1" x14ac:dyDescent="0.35">
      <c r="A43" s="564" t="s">
        <v>138</v>
      </c>
      <c r="B43" s="565"/>
      <c r="C43" s="565"/>
      <c r="D43" s="565"/>
      <c r="E43" s="565"/>
      <c r="F43" s="565"/>
      <c r="G43" s="565"/>
      <c r="H43" s="566"/>
    </row>
    <row r="44" spans="1:8" ht="15.6" x14ac:dyDescent="0.3">
      <c r="A44" s="549" t="s">
        <v>137</v>
      </c>
      <c r="B44" s="550"/>
      <c r="C44" s="11" t="s">
        <v>136</v>
      </c>
      <c r="D44" s="171">
        <f>Mangochi!M44+Mangochi!N44+Mangochi!O44</f>
        <v>0</v>
      </c>
      <c r="E44" s="171">
        <f>'Monkey Bay'!M44+'Monkey Bay'!N44+'Monkey Bay'!O44</f>
        <v>0</v>
      </c>
      <c r="F44" s="171">
        <f>Namwera!M44+Namwera!N44+Namwera!O44</f>
        <v>0</v>
      </c>
      <c r="G44" s="4">
        <f>Nkhudzi!M44+Nkhudzi!N44+Nkhudzi!O44</f>
        <v>0</v>
      </c>
      <c r="H44" s="38">
        <f>SUM(D44:G44)</f>
        <v>0</v>
      </c>
    </row>
    <row r="45" spans="1:8" ht="16.2" thickBot="1" x14ac:dyDescent="0.35">
      <c r="A45" s="569" t="s">
        <v>135</v>
      </c>
      <c r="B45" s="570"/>
      <c r="C45" s="41" t="s">
        <v>134</v>
      </c>
      <c r="D45" s="15" t="e">
        <f t="shared" ref="D45:H45" si="18">D44/D9</f>
        <v>#DIV/0!</v>
      </c>
      <c r="E45" s="15" t="e">
        <f t="shared" si="18"/>
        <v>#DIV/0!</v>
      </c>
      <c r="F45" s="15" t="e">
        <f t="shared" si="18"/>
        <v>#DIV/0!</v>
      </c>
      <c r="G45" s="15" t="e">
        <f t="shared" si="18"/>
        <v>#DIV/0!</v>
      </c>
      <c r="H45" s="97" t="e">
        <f t="shared" si="18"/>
        <v>#DIV/0!</v>
      </c>
    </row>
    <row r="46" spans="1:8" ht="15.6" x14ac:dyDescent="0.3">
      <c r="A46" s="567" t="s">
        <v>133</v>
      </c>
      <c r="B46" s="568"/>
      <c r="C46" s="5" t="s">
        <v>31</v>
      </c>
      <c r="D46" s="171">
        <f>Mangochi!M46+Mangochi!N46+Mangochi!O46</f>
        <v>58017</v>
      </c>
      <c r="E46" s="171">
        <f>'Monkey Bay'!M46+'Monkey Bay'!N46+'Monkey Bay'!O46</f>
        <v>58017</v>
      </c>
      <c r="F46" s="171">
        <f>Namwera!M46+Namwera!N46+Namwera!O46</f>
        <v>58017</v>
      </c>
      <c r="G46" s="4">
        <f>Nkhudzi!M46+Nkhudzi!N46+Nkhudzi!O46</f>
        <v>58017</v>
      </c>
      <c r="H46" s="38">
        <f>SUM(D46:G46)</f>
        <v>232068</v>
      </c>
    </row>
    <row r="47" spans="1:8" s="2" customFormat="1" ht="15.6" x14ac:dyDescent="0.3">
      <c r="A47" s="549" t="s">
        <v>132</v>
      </c>
      <c r="B47" s="550"/>
      <c r="C47" s="11" t="s">
        <v>117</v>
      </c>
      <c r="D47" s="15" t="e">
        <f t="shared" ref="D47:H47" si="19">D46/D9</f>
        <v>#DIV/0!</v>
      </c>
      <c r="E47" s="15" t="e">
        <f t="shared" si="19"/>
        <v>#DIV/0!</v>
      </c>
      <c r="F47" s="15" t="e">
        <f t="shared" si="19"/>
        <v>#DIV/0!</v>
      </c>
      <c r="G47" s="15" t="e">
        <f t="shared" si="19"/>
        <v>#DIV/0!</v>
      </c>
      <c r="H47" s="97" t="e">
        <f t="shared" si="19"/>
        <v>#DIV/0!</v>
      </c>
    </row>
    <row r="48" spans="1:8" ht="15" thickBot="1" x14ac:dyDescent="0.35">
      <c r="A48" s="564" t="s">
        <v>131</v>
      </c>
      <c r="B48" s="565"/>
      <c r="C48" s="565"/>
      <c r="D48" s="565"/>
      <c r="E48" s="565"/>
      <c r="F48" s="565"/>
      <c r="G48" s="565"/>
      <c r="H48" s="566"/>
    </row>
    <row r="49" spans="1:8" ht="15.6" x14ac:dyDescent="0.3">
      <c r="A49" s="549" t="s">
        <v>130</v>
      </c>
      <c r="B49" s="550"/>
      <c r="C49" s="5" t="s">
        <v>129</v>
      </c>
      <c r="D49" s="174">
        <f>Mangochi!M49+Mangochi!N49+Mangochi!O49</f>
        <v>0</v>
      </c>
      <c r="E49" s="174">
        <f>'Monkey Bay'!M49+'Monkey Bay'!N49+'Monkey Bay'!O49</f>
        <v>0</v>
      </c>
      <c r="F49" s="174">
        <f>Namwera!M49+Namwera!N49+Namwera!O49</f>
        <v>0</v>
      </c>
      <c r="G49" s="171">
        <f>Nkhudzi!M49+Nkhudzi!N49+Nkhudzi!O49</f>
        <v>0</v>
      </c>
      <c r="H49" s="38">
        <f t="shared" ref="H49:H52" si="20">SUM(D49:G49)</f>
        <v>0</v>
      </c>
    </row>
    <row r="50" spans="1:8" ht="15.6" x14ac:dyDescent="0.3">
      <c r="A50" s="549" t="s">
        <v>189</v>
      </c>
      <c r="B50" s="550"/>
      <c r="C50" s="5" t="s">
        <v>128</v>
      </c>
      <c r="D50" s="25">
        <f>Mangochi!M50+Mangochi!N50+Mangochi!O50</f>
        <v>0</v>
      </c>
      <c r="E50" s="25">
        <f>'Monkey Bay'!M50+'Monkey Bay'!N50+'Monkey Bay'!O50</f>
        <v>0</v>
      </c>
      <c r="F50" s="25">
        <f>Namwera!M50+Namwera!N50+Namwera!O50</f>
        <v>0</v>
      </c>
      <c r="G50" s="25">
        <f>Nkhudzi!M50+Nkhudzi!N50+Nkhudzi!O50</f>
        <v>0</v>
      </c>
      <c r="H50" s="38">
        <f t="shared" si="20"/>
        <v>0</v>
      </c>
    </row>
    <row r="51" spans="1:8" ht="15.6" x14ac:dyDescent="0.3">
      <c r="A51" s="567" t="s">
        <v>127</v>
      </c>
      <c r="B51" s="568"/>
      <c r="C51" s="5" t="s">
        <v>31</v>
      </c>
      <c r="D51" s="4">
        <f>Mangochi!M51+Mangochi!N51+Mangochi!O51</f>
        <v>0</v>
      </c>
      <c r="E51" s="4">
        <f>'Monkey Bay'!M51+'Monkey Bay'!N51+'Monkey Bay'!O51</f>
        <v>0</v>
      </c>
      <c r="F51" s="4">
        <f>Namwera!M51+Namwera!N51+Namwera!O51</f>
        <v>0</v>
      </c>
      <c r="G51" s="25">
        <f>Nkhudzi!M51+Nkhudzi!N51+Nkhudzi!O51</f>
        <v>0</v>
      </c>
      <c r="H51" s="39">
        <f t="shared" si="20"/>
        <v>0</v>
      </c>
    </row>
    <row r="52" spans="1:8" ht="15.6" x14ac:dyDescent="0.3">
      <c r="A52" s="549" t="s">
        <v>126</v>
      </c>
      <c r="B52" s="550"/>
      <c r="C52" s="5" t="s">
        <v>31</v>
      </c>
      <c r="D52" s="13">
        <v>0</v>
      </c>
      <c r="E52" s="13">
        <v>0</v>
      </c>
      <c r="F52" s="13">
        <v>0</v>
      </c>
      <c r="G52" s="25">
        <f>Nkhudzi!M52+Nkhudzi!N52+Nkhudzi!O52</f>
        <v>0</v>
      </c>
      <c r="H52" s="39">
        <f t="shared" si="20"/>
        <v>0</v>
      </c>
    </row>
    <row r="53" spans="1:8" ht="15" thickBot="1" x14ac:dyDescent="0.35">
      <c r="A53" s="564" t="s">
        <v>125</v>
      </c>
      <c r="B53" s="565"/>
      <c r="C53" s="565"/>
      <c r="D53" s="565"/>
      <c r="E53" s="565"/>
      <c r="F53" s="565"/>
      <c r="G53" s="565"/>
      <c r="H53" s="566"/>
    </row>
    <row r="54" spans="1:8" ht="15.6" x14ac:dyDescent="0.3">
      <c r="A54" s="549" t="s">
        <v>124</v>
      </c>
      <c r="B54" s="550"/>
      <c r="C54" s="11" t="s">
        <v>18</v>
      </c>
      <c r="D54" s="25">
        <f>Mangochi!M54+Mangochi!N54+Mangochi!O54</f>
        <v>0</v>
      </c>
      <c r="E54" s="25">
        <f>'Monkey Bay'!M54+'Monkey Bay'!N54+'Monkey Bay'!O54</f>
        <v>0</v>
      </c>
      <c r="F54" s="25">
        <f>Namwera!M54+Namwera!N54+Namwera!O54</f>
        <v>0</v>
      </c>
      <c r="G54" s="174">
        <f>Nkhudzi!M54+Nkhudzi!N54+Nkhudzi!O54</f>
        <v>0</v>
      </c>
      <c r="H54" s="38">
        <f t="shared" ref="H54:H56" si="21">SUM(D54:G54)</f>
        <v>0</v>
      </c>
    </row>
    <row r="55" spans="1:8" ht="15.6" x14ac:dyDescent="0.3">
      <c r="A55" s="189" t="s">
        <v>123</v>
      </c>
      <c r="B55" s="190"/>
      <c r="C55" s="11" t="s">
        <v>18</v>
      </c>
      <c r="D55" s="25">
        <f>Mangochi!M55+Mangochi!N55+Mangochi!O55</f>
        <v>0</v>
      </c>
      <c r="E55" s="25">
        <f>'Monkey Bay'!M55+'Monkey Bay'!N55+'Monkey Bay'!O55</f>
        <v>0</v>
      </c>
      <c r="F55" s="25">
        <f>Namwera!M55+Namwera!N55+Namwera!O55</f>
        <v>0</v>
      </c>
      <c r="G55" s="25">
        <f>Nkhudzi!M55+Nkhudzi!N55+Nkhudzi!O55</f>
        <v>0</v>
      </c>
      <c r="H55" s="38">
        <f t="shared" si="21"/>
        <v>0</v>
      </c>
    </row>
    <row r="56" spans="1:8" ht="15.6" x14ac:dyDescent="0.3">
      <c r="A56" s="549" t="s">
        <v>122</v>
      </c>
      <c r="B56" s="550"/>
      <c r="C56" s="5" t="s">
        <v>18</v>
      </c>
      <c r="D56" s="25">
        <f>Mangochi!M56+Mangochi!N56+Mangochi!O56</f>
        <v>0</v>
      </c>
      <c r="E56" s="25">
        <f>'Monkey Bay'!M56+'Monkey Bay'!N56+'Monkey Bay'!O56</f>
        <v>0</v>
      </c>
      <c r="F56" s="25">
        <f>Namwera!M56+Namwera!N56+Namwera!O56</f>
        <v>0</v>
      </c>
      <c r="G56" s="4">
        <f>Nkhudzi!M56+Nkhudzi!N56+Nkhudzi!O56</f>
        <v>0</v>
      </c>
      <c r="H56" s="38">
        <f t="shared" si="21"/>
        <v>0</v>
      </c>
    </row>
    <row r="57" spans="1:8" x14ac:dyDescent="0.3">
      <c r="A57" s="564" t="s">
        <v>121</v>
      </c>
      <c r="B57" s="565"/>
      <c r="C57" s="565"/>
      <c r="D57" s="565"/>
      <c r="E57" s="565"/>
      <c r="F57" s="565"/>
      <c r="G57" s="565"/>
      <c r="H57" s="566"/>
    </row>
    <row r="58" spans="1:8" ht="15.6" x14ac:dyDescent="0.3">
      <c r="A58" s="567" t="s">
        <v>120</v>
      </c>
      <c r="B58" s="568"/>
      <c r="C58" s="5" t="s">
        <v>18</v>
      </c>
      <c r="D58" s="13">
        <f>D41+D46+D51+D52+D54+D55+D56</f>
        <v>58017</v>
      </c>
      <c r="E58" s="13">
        <f t="shared" ref="E58:G58" si="22">E41+E46+E51+E52+E54+E55+E56</f>
        <v>58017</v>
      </c>
      <c r="F58" s="13">
        <f t="shared" si="22"/>
        <v>58017</v>
      </c>
      <c r="G58" s="13">
        <f t="shared" si="22"/>
        <v>58017</v>
      </c>
      <c r="H58" s="63">
        <f>SUM(D58:G58)</f>
        <v>232068</v>
      </c>
    </row>
    <row r="59" spans="1:8" ht="15.6" x14ac:dyDescent="0.3">
      <c r="A59" s="567" t="s">
        <v>119</v>
      </c>
      <c r="B59" s="568"/>
      <c r="C59" s="5" t="s">
        <v>117</v>
      </c>
      <c r="D59" s="15" t="e">
        <f t="shared" ref="D59:H59" si="23">D58/D9</f>
        <v>#DIV/0!</v>
      </c>
      <c r="E59" s="15" t="e">
        <f t="shared" si="23"/>
        <v>#DIV/0!</v>
      </c>
      <c r="F59" s="15" t="e">
        <f t="shared" si="23"/>
        <v>#DIV/0!</v>
      </c>
      <c r="G59" s="15" t="e">
        <f t="shared" si="23"/>
        <v>#DIV/0!</v>
      </c>
      <c r="H59" s="97" t="e">
        <f t="shared" si="23"/>
        <v>#DIV/0!</v>
      </c>
    </row>
    <row r="60" spans="1:8" ht="15.6" x14ac:dyDescent="0.3">
      <c r="A60" s="567" t="s">
        <v>118</v>
      </c>
      <c r="B60" s="568"/>
      <c r="C60" s="5" t="s">
        <v>117</v>
      </c>
      <c r="D60" s="15" t="e">
        <f>D58/D22</f>
        <v>#DIV/0!</v>
      </c>
      <c r="E60" s="15" t="e">
        <f t="shared" ref="E60:G60" si="24">E58/E22</f>
        <v>#DIV/0!</v>
      </c>
      <c r="F60" s="15" t="e">
        <f t="shared" si="24"/>
        <v>#DIV/0!</v>
      </c>
      <c r="G60" s="15" t="e">
        <f t="shared" si="24"/>
        <v>#DIV/0!</v>
      </c>
      <c r="H60" s="98" t="e">
        <f>H58/H22</f>
        <v>#DIV/0!</v>
      </c>
    </row>
    <row r="61" spans="1:8" ht="15.6" x14ac:dyDescent="0.3">
      <c r="A61" s="549" t="s">
        <v>116</v>
      </c>
      <c r="B61" s="550"/>
      <c r="C61" s="5" t="s">
        <v>3</v>
      </c>
      <c r="D61" s="4"/>
      <c r="E61" s="4"/>
      <c r="F61" s="4"/>
      <c r="G61" s="4">
        <f>Nkhudzi!O61</f>
        <v>0</v>
      </c>
      <c r="H61" s="9">
        <f>SUM(D61:G61)</f>
        <v>0</v>
      </c>
    </row>
    <row r="62" spans="1:8" ht="15.6" customHeight="1" x14ac:dyDescent="0.3">
      <c r="A62" s="567" t="s">
        <v>115</v>
      </c>
      <c r="B62" s="568"/>
      <c r="C62" s="5" t="s">
        <v>114</v>
      </c>
      <c r="D62" s="15" t="e">
        <f t="shared" ref="D62:H62" si="25">(D61*1000*31)/D9</f>
        <v>#DIV/0!</v>
      </c>
      <c r="E62" s="15" t="e">
        <f t="shared" si="25"/>
        <v>#DIV/0!</v>
      </c>
      <c r="F62" s="15" t="e">
        <f t="shared" si="25"/>
        <v>#DIV/0!</v>
      </c>
      <c r="G62" s="15" t="e">
        <f t="shared" si="25"/>
        <v>#DIV/0!</v>
      </c>
      <c r="H62" s="97" t="e">
        <f t="shared" si="25"/>
        <v>#DIV/0!</v>
      </c>
    </row>
    <row r="63" spans="1:8" ht="15.6" x14ac:dyDescent="0.3">
      <c r="A63" s="571" t="s">
        <v>113</v>
      </c>
      <c r="B63" s="572"/>
      <c r="C63" s="37" t="s">
        <v>3</v>
      </c>
      <c r="D63" s="4"/>
      <c r="E63" s="4"/>
      <c r="F63" s="4"/>
      <c r="G63" s="4">
        <f>Nkhudzi!O63</f>
        <v>0</v>
      </c>
      <c r="H63" s="9">
        <f>SUM(D63:G63)</f>
        <v>0</v>
      </c>
    </row>
    <row r="64" spans="1:8" x14ac:dyDescent="0.3">
      <c r="A64" s="573"/>
      <c r="B64" s="574"/>
      <c r="C64" s="574"/>
      <c r="D64" s="574"/>
      <c r="E64" s="574"/>
      <c r="F64" s="574"/>
      <c r="G64" s="574"/>
      <c r="H64" s="575"/>
    </row>
    <row r="65" spans="1:8" ht="14.4" customHeight="1" x14ac:dyDescent="0.3">
      <c r="A65" s="564" t="s">
        <v>112</v>
      </c>
      <c r="B65" s="565"/>
      <c r="C65" s="565"/>
      <c r="D65" s="565"/>
      <c r="E65" s="565"/>
      <c r="F65" s="565"/>
      <c r="G65" s="565"/>
      <c r="H65" s="566"/>
    </row>
    <row r="66" spans="1:8" ht="15.6" x14ac:dyDescent="0.3">
      <c r="A66" s="582" t="s">
        <v>111</v>
      </c>
      <c r="B66" s="36" t="s">
        <v>85</v>
      </c>
      <c r="C66" s="5" t="s">
        <v>3</v>
      </c>
      <c r="D66" s="33">
        <f>Mangochi!M66</f>
        <v>0</v>
      </c>
      <c r="E66" s="33">
        <f>'Monkey Bay'!M66</f>
        <v>0</v>
      </c>
      <c r="F66" s="33">
        <f>Namwera!M66</f>
        <v>0</v>
      </c>
      <c r="G66" s="25">
        <f>Nkhudzi!M66</f>
        <v>0</v>
      </c>
      <c r="H66" s="34">
        <f t="shared" ref="H66:H70" si="26">SUM(D66:G66)</f>
        <v>0</v>
      </c>
    </row>
    <row r="67" spans="1:8" ht="15.6" x14ac:dyDescent="0.3">
      <c r="A67" s="583"/>
      <c r="B67" s="23" t="s">
        <v>106</v>
      </c>
      <c r="C67" s="5" t="s">
        <v>3</v>
      </c>
      <c r="D67" s="25">
        <f>Mangochi!M67+Mangochi!N67+Mangochi!O67</f>
        <v>0</v>
      </c>
      <c r="E67" s="25">
        <f>'Monkey Bay'!M67+'Monkey Bay'!N67+'Monkey Bay'!O67</f>
        <v>0</v>
      </c>
      <c r="F67" s="25">
        <f>Namwera!M67+Namwera!N67+Namwera!O67</f>
        <v>0</v>
      </c>
      <c r="G67" s="25">
        <f>Nkhudzi!M67+Nkhudzi!N67+Nkhudzi!O67</f>
        <v>0</v>
      </c>
      <c r="H67" s="34">
        <f t="shared" si="26"/>
        <v>0</v>
      </c>
    </row>
    <row r="68" spans="1:8" ht="27" x14ac:dyDescent="0.3">
      <c r="A68" s="583"/>
      <c r="B68" s="23" t="s">
        <v>105</v>
      </c>
      <c r="C68" s="5" t="s">
        <v>3</v>
      </c>
      <c r="D68" s="25">
        <f>Mangochi!M68+Mangochi!N68+Mangochi!O68</f>
        <v>0</v>
      </c>
      <c r="E68" s="25">
        <f>'Monkey Bay'!M68+'Monkey Bay'!N68+'Monkey Bay'!O68</f>
        <v>0</v>
      </c>
      <c r="F68" s="25">
        <f>Namwera!M68+Namwera!N68+Namwera!O68</f>
        <v>0</v>
      </c>
      <c r="G68" s="25">
        <f>Nkhudzi!M68+Nkhudzi!N68+Nkhudzi!O68</f>
        <v>0</v>
      </c>
      <c r="H68" s="34">
        <f t="shared" si="26"/>
        <v>0</v>
      </c>
    </row>
    <row r="69" spans="1:8" s="2" customFormat="1" ht="27" x14ac:dyDescent="0.3">
      <c r="A69" s="583"/>
      <c r="B69" s="23" t="s">
        <v>104</v>
      </c>
      <c r="C69" s="11" t="s">
        <v>3</v>
      </c>
      <c r="D69" s="25">
        <f>Mangochi!M69+Mangochi!N69+Mangochi!O69</f>
        <v>0</v>
      </c>
      <c r="E69" s="25">
        <f>'Monkey Bay'!M69+'Monkey Bay'!N69+'Monkey Bay'!O69</f>
        <v>0</v>
      </c>
      <c r="F69" s="25">
        <f>Namwera!M69+Namwera!N69+Namwera!O69</f>
        <v>0</v>
      </c>
      <c r="G69" s="25">
        <f>Nkhudzi!M69+Nkhudzi!N69+Nkhudzi!O69</f>
        <v>0</v>
      </c>
      <c r="H69" s="71">
        <f t="shared" si="26"/>
        <v>0</v>
      </c>
    </row>
    <row r="70" spans="1:8" s="2" customFormat="1" ht="15.6" x14ac:dyDescent="0.3">
      <c r="A70" s="583"/>
      <c r="B70" s="23" t="s">
        <v>190</v>
      </c>
      <c r="C70" s="11" t="s">
        <v>3</v>
      </c>
      <c r="D70" s="4">
        <f>D68+D69</f>
        <v>0</v>
      </c>
      <c r="E70" s="4">
        <f t="shared" ref="E70:F70" si="27">E68+E69</f>
        <v>0</v>
      </c>
      <c r="F70" s="4">
        <f t="shared" si="27"/>
        <v>0</v>
      </c>
      <c r="G70" s="25">
        <f>Nkhudzi!M70+Nkhudzi!N70+Nkhudzi!O70</f>
        <v>0</v>
      </c>
      <c r="H70" s="99">
        <f t="shared" si="26"/>
        <v>0</v>
      </c>
    </row>
    <row r="71" spans="1:8" ht="15.6" x14ac:dyDescent="0.3">
      <c r="A71" s="584"/>
      <c r="B71" s="36" t="s">
        <v>81</v>
      </c>
      <c r="C71" s="5" t="s">
        <v>3</v>
      </c>
      <c r="D71" s="33">
        <f>D66+D67-D70</f>
        <v>0</v>
      </c>
      <c r="E71" s="33">
        <f t="shared" ref="E71:G71" si="28">E66+E67-E70</f>
        <v>0</v>
      </c>
      <c r="F71" s="33">
        <f t="shared" si="28"/>
        <v>0</v>
      </c>
      <c r="G71" s="25">
        <f t="shared" si="28"/>
        <v>0</v>
      </c>
      <c r="H71" s="54">
        <f>H66+H67-H70</f>
        <v>0</v>
      </c>
    </row>
    <row r="72" spans="1:8" ht="15.6" x14ac:dyDescent="0.3">
      <c r="A72" s="582" t="s">
        <v>110</v>
      </c>
      <c r="B72" s="36" t="s">
        <v>85</v>
      </c>
      <c r="C72" s="5" t="s">
        <v>3</v>
      </c>
      <c r="D72" s="33">
        <f>Mangochi!M72</f>
        <v>0</v>
      </c>
      <c r="E72" s="33">
        <f>'Monkey Bay'!M72</f>
        <v>0</v>
      </c>
      <c r="F72" s="33">
        <f>Namwera!M72</f>
        <v>0</v>
      </c>
      <c r="G72" s="25">
        <f>Nkhudzi!M72+Nkhudzi!N72+Nkhudzi!O72</f>
        <v>0</v>
      </c>
      <c r="H72" s="34">
        <f t="shared" ref="H72:H76" si="29">SUM(D72:G72)</f>
        <v>0</v>
      </c>
    </row>
    <row r="73" spans="1:8" ht="15.6" x14ac:dyDescent="0.3">
      <c r="A73" s="583"/>
      <c r="B73" s="23" t="s">
        <v>106</v>
      </c>
      <c r="C73" s="5" t="s">
        <v>3</v>
      </c>
      <c r="D73" s="25">
        <f>Mangochi!M73+Mangochi!N73+Mangochi!O73</f>
        <v>0</v>
      </c>
      <c r="E73" s="25">
        <f>'Monkey Bay'!M73+'Monkey Bay'!N73+'Monkey Bay'!O73</f>
        <v>0</v>
      </c>
      <c r="F73" s="25">
        <f>Namwera!M73+Namwera!N73+Namwera!O73</f>
        <v>0</v>
      </c>
      <c r="G73" s="25">
        <f>Nkhudzi!M73+Nkhudzi!N73+Nkhudzi!O73</f>
        <v>0</v>
      </c>
      <c r="H73" s="34">
        <f t="shared" si="29"/>
        <v>0</v>
      </c>
    </row>
    <row r="74" spans="1:8" ht="27" x14ac:dyDescent="0.3">
      <c r="A74" s="583"/>
      <c r="B74" s="23" t="s">
        <v>105</v>
      </c>
      <c r="C74" s="5" t="s">
        <v>3</v>
      </c>
      <c r="D74" s="25">
        <f>Mangochi!M74+Mangochi!N74+Mangochi!O74</f>
        <v>0</v>
      </c>
      <c r="E74" s="25">
        <f>'Monkey Bay'!M74+'Monkey Bay'!N74+'Monkey Bay'!O74</f>
        <v>0</v>
      </c>
      <c r="F74" s="25">
        <f>Namwera!M74+Namwera!N74+Namwera!O74</f>
        <v>0</v>
      </c>
      <c r="G74" s="25">
        <f>Nkhudzi!M74+Nkhudzi!N74+Nkhudzi!O74</f>
        <v>0</v>
      </c>
      <c r="H74" s="34">
        <f t="shared" si="29"/>
        <v>0</v>
      </c>
    </row>
    <row r="75" spans="1:8" s="2" customFormat="1" ht="27" x14ac:dyDescent="0.3">
      <c r="A75" s="583"/>
      <c r="B75" s="23" t="s">
        <v>104</v>
      </c>
      <c r="C75" s="11" t="s">
        <v>3</v>
      </c>
      <c r="D75" s="25">
        <f>Mangochi!M75+Mangochi!N75+Mangochi!O75</f>
        <v>0</v>
      </c>
      <c r="E75" s="25">
        <f>'Monkey Bay'!M75+'Monkey Bay'!N75+'Monkey Bay'!O75</f>
        <v>0</v>
      </c>
      <c r="F75" s="25">
        <f>Namwera!M75+Namwera!N75+Namwera!O75</f>
        <v>0</v>
      </c>
      <c r="G75" s="25">
        <f>Nkhudzi!M75+Nkhudzi!N75+Nkhudzi!O75</f>
        <v>0</v>
      </c>
      <c r="H75" s="34">
        <f t="shared" si="29"/>
        <v>0</v>
      </c>
    </row>
    <row r="76" spans="1:8" s="2" customFormat="1" ht="15.6" x14ac:dyDescent="0.3">
      <c r="A76" s="583"/>
      <c r="B76" s="23" t="s">
        <v>190</v>
      </c>
      <c r="C76" s="11" t="s">
        <v>3</v>
      </c>
      <c r="D76" s="4">
        <f>D74+D75</f>
        <v>0</v>
      </c>
      <c r="E76" s="4">
        <f t="shared" ref="E76:F76" si="30">E74+E75</f>
        <v>0</v>
      </c>
      <c r="F76" s="4">
        <f t="shared" si="30"/>
        <v>0</v>
      </c>
      <c r="G76" s="25">
        <f>Nkhudzi!M76+Nkhudzi!N76+Nkhudzi!O76</f>
        <v>0</v>
      </c>
      <c r="H76" s="99">
        <f t="shared" si="29"/>
        <v>0</v>
      </c>
    </row>
    <row r="77" spans="1:8" ht="15.6" x14ac:dyDescent="0.3">
      <c r="A77" s="584"/>
      <c r="B77" s="36" t="s">
        <v>81</v>
      </c>
      <c r="C77" s="5" t="s">
        <v>3</v>
      </c>
      <c r="D77" s="33">
        <f>D72+D73-D76</f>
        <v>0</v>
      </c>
      <c r="E77" s="33">
        <f t="shared" ref="E77:F77" si="31">E72+E73-E76</f>
        <v>0</v>
      </c>
      <c r="F77" s="33">
        <f t="shared" si="31"/>
        <v>0</v>
      </c>
      <c r="G77" s="25">
        <f t="shared" ref="G77" si="32">G73+G74-G76</f>
        <v>0</v>
      </c>
      <c r="H77" s="100">
        <f>H72+H73-H76</f>
        <v>0</v>
      </c>
    </row>
    <row r="78" spans="1:8" ht="15.6" customHeight="1" x14ac:dyDescent="0.3">
      <c r="A78" s="582" t="s">
        <v>109</v>
      </c>
      <c r="B78" s="36" t="s">
        <v>85</v>
      </c>
      <c r="C78" s="5" t="s">
        <v>3</v>
      </c>
      <c r="D78" s="33">
        <f>Mangochi!M78</f>
        <v>0</v>
      </c>
      <c r="E78" s="33">
        <f>'Monkey Bay'!M78</f>
        <v>0</v>
      </c>
      <c r="F78" s="33">
        <f>Namwera!M78</f>
        <v>0</v>
      </c>
      <c r="G78" s="25">
        <f>Nkhudzi!M78+Nkhudzi!N78+Nkhudzi!O78</f>
        <v>0</v>
      </c>
      <c r="H78" s="34">
        <f>SUM(D78:F78)</f>
        <v>0</v>
      </c>
    </row>
    <row r="79" spans="1:8" ht="15.6" x14ac:dyDescent="0.3">
      <c r="A79" s="583"/>
      <c r="B79" s="23" t="s">
        <v>106</v>
      </c>
      <c r="C79" s="5" t="s">
        <v>3</v>
      </c>
      <c r="D79" s="25">
        <f>Mangochi!M79+Mangochi!N79+Mangochi!O79</f>
        <v>0</v>
      </c>
      <c r="E79" s="25">
        <f>'Monkey Bay'!M79+'Monkey Bay'!N79+'Monkey Bay'!O79</f>
        <v>0</v>
      </c>
      <c r="F79" s="25">
        <f>Namwera!M79+Namwera!N79+Namwera!O79</f>
        <v>0</v>
      </c>
      <c r="G79" s="25">
        <f>Nkhudzi!M79+Nkhudzi!N79+Nkhudzi!O79</f>
        <v>0</v>
      </c>
      <c r="H79" s="34">
        <f t="shared" ref="H79:H82" si="33">SUM(D79:G79)</f>
        <v>0</v>
      </c>
    </row>
    <row r="80" spans="1:8" ht="27" x14ac:dyDescent="0.3">
      <c r="A80" s="583"/>
      <c r="B80" s="23" t="s">
        <v>105</v>
      </c>
      <c r="C80" s="5" t="s">
        <v>3</v>
      </c>
      <c r="D80" s="25">
        <f>Mangochi!M80+Mangochi!N80+Mangochi!O80</f>
        <v>0</v>
      </c>
      <c r="E80" s="25">
        <f>'Monkey Bay'!M80+'Monkey Bay'!N80+'Monkey Bay'!O80</f>
        <v>0</v>
      </c>
      <c r="F80" s="25">
        <f>Namwera!M80+Namwera!N80+Namwera!O80</f>
        <v>0</v>
      </c>
      <c r="G80" s="25">
        <f>Nkhudzi!M80+Nkhudzi!N80+Nkhudzi!O80</f>
        <v>0</v>
      </c>
      <c r="H80" s="34">
        <f t="shared" si="33"/>
        <v>0</v>
      </c>
    </row>
    <row r="81" spans="1:8" s="2" customFormat="1" ht="27" x14ac:dyDescent="0.3">
      <c r="A81" s="583"/>
      <c r="B81" s="23" t="s">
        <v>104</v>
      </c>
      <c r="C81" s="11" t="s">
        <v>3</v>
      </c>
      <c r="D81" s="25">
        <f>Mangochi!M81+Mangochi!N81+Mangochi!O81</f>
        <v>0</v>
      </c>
      <c r="E81" s="25">
        <f>'Monkey Bay'!M81+'Monkey Bay'!N81+'Monkey Bay'!O81</f>
        <v>0</v>
      </c>
      <c r="F81" s="25">
        <f>Namwera!M81+Namwera!N81+Namwera!O81</f>
        <v>0</v>
      </c>
      <c r="G81" s="25">
        <f>Nkhudzi!M81+Nkhudzi!N81+Nkhudzi!O81</f>
        <v>0</v>
      </c>
      <c r="H81" s="71">
        <f t="shared" si="33"/>
        <v>0</v>
      </c>
    </row>
    <row r="82" spans="1:8" s="2" customFormat="1" ht="15.6" x14ac:dyDescent="0.3">
      <c r="A82" s="583"/>
      <c r="B82" s="23" t="s">
        <v>190</v>
      </c>
      <c r="C82" s="11" t="s">
        <v>3</v>
      </c>
      <c r="D82" s="4">
        <f>D80+D81</f>
        <v>0</v>
      </c>
      <c r="E82" s="4">
        <f t="shared" ref="E82:F82" si="34">E80+E81</f>
        <v>0</v>
      </c>
      <c r="F82" s="4">
        <f t="shared" si="34"/>
        <v>0</v>
      </c>
      <c r="G82" s="25">
        <f>Nkhudzi!M82+Nkhudzi!N82+Nkhudzi!O82</f>
        <v>0</v>
      </c>
      <c r="H82" s="99">
        <f t="shared" si="33"/>
        <v>0</v>
      </c>
    </row>
    <row r="83" spans="1:8" ht="15.6" x14ac:dyDescent="0.3">
      <c r="A83" s="584"/>
      <c r="B83" s="36" t="s">
        <v>81</v>
      </c>
      <c r="C83" s="5" t="s">
        <v>3</v>
      </c>
      <c r="D83" s="33">
        <f>D78+D79-D82</f>
        <v>0</v>
      </c>
      <c r="E83" s="33">
        <f t="shared" ref="E83:F83" si="35">E78+E79-E82</f>
        <v>0</v>
      </c>
      <c r="F83" s="33">
        <f t="shared" si="35"/>
        <v>0</v>
      </c>
      <c r="G83" s="25">
        <f>Nkhudzi!M83+Nkhudzi!N83+Nkhudzi!O83</f>
        <v>0</v>
      </c>
      <c r="H83" s="100">
        <f>H78+H79-H82</f>
        <v>0</v>
      </c>
    </row>
    <row r="84" spans="1:8" ht="15.6" x14ac:dyDescent="0.3">
      <c r="A84" s="585" t="s">
        <v>108</v>
      </c>
      <c r="B84" s="36" t="s">
        <v>85</v>
      </c>
      <c r="C84" s="5" t="s">
        <v>3</v>
      </c>
      <c r="D84" s="33">
        <f>Mangochi!M84</f>
        <v>0</v>
      </c>
      <c r="E84" s="33">
        <f>'Monkey Bay'!M84</f>
        <v>0</v>
      </c>
      <c r="F84" s="33">
        <f>Namwera!M84</f>
        <v>0</v>
      </c>
      <c r="G84" s="25">
        <f>Nkhudzi!M84+Nkhudzi!N84+Nkhudzi!O84</f>
        <v>0</v>
      </c>
      <c r="H84" s="34">
        <f t="shared" ref="H84:H88" si="36">SUM(D84:G84)</f>
        <v>0</v>
      </c>
    </row>
    <row r="85" spans="1:8" ht="15.6" x14ac:dyDescent="0.3">
      <c r="A85" s="586"/>
      <c r="B85" s="36" t="s">
        <v>106</v>
      </c>
      <c r="C85" s="5" t="s">
        <v>3</v>
      </c>
      <c r="D85" s="25">
        <f>Mangochi!M85+Mangochi!N85+Mangochi!O85</f>
        <v>0</v>
      </c>
      <c r="E85" s="25">
        <f>'Monkey Bay'!M85+'Monkey Bay'!N85+'Monkey Bay'!O85</f>
        <v>0</v>
      </c>
      <c r="F85" s="25">
        <f>Namwera!M85+Namwera!N85+Namwera!O85</f>
        <v>0</v>
      </c>
      <c r="G85" s="25">
        <f>Nkhudzi!M85+Nkhudzi!N85+Nkhudzi!O85</f>
        <v>0</v>
      </c>
      <c r="H85" s="34">
        <f t="shared" si="36"/>
        <v>0</v>
      </c>
    </row>
    <row r="86" spans="1:8" ht="27" x14ac:dyDescent="0.3">
      <c r="A86" s="586"/>
      <c r="B86" s="36" t="s">
        <v>105</v>
      </c>
      <c r="C86" s="5" t="s">
        <v>3</v>
      </c>
      <c r="D86" s="25">
        <f>Mangochi!M86+Mangochi!N86+Mangochi!O86</f>
        <v>0</v>
      </c>
      <c r="E86" s="25">
        <f>'Monkey Bay'!M86+'Monkey Bay'!N86+'Monkey Bay'!O86</f>
        <v>0</v>
      </c>
      <c r="F86" s="25">
        <f>Namwera!M86+Namwera!N86+Namwera!O86</f>
        <v>0</v>
      </c>
      <c r="G86" s="25">
        <f>Nkhudzi!M86+Nkhudzi!N86+Nkhudzi!O86</f>
        <v>0</v>
      </c>
      <c r="H86" s="34">
        <f t="shared" si="36"/>
        <v>0</v>
      </c>
    </row>
    <row r="87" spans="1:8" s="2" customFormat="1" ht="27" x14ac:dyDescent="0.3">
      <c r="A87" s="586"/>
      <c r="B87" s="23" t="s">
        <v>104</v>
      </c>
      <c r="C87" s="11" t="s">
        <v>3</v>
      </c>
      <c r="D87" s="25">
        <f>Mangochi!M87+Mangochi!N87+Mangochi!O87</f>
        <v>0</v>
      </c>
      <c r="E87" s="25">
        <f>'Monkey Bay'!M87+'Monkey Bay'!N87+'Monkey Bay'!O87</f>
        <v>0</v>
      </c>
      <c r="F87" s="25">
        <f>Namwera!M87+Namwera!N87+Namwera!O87</f>
        <v>0</v>
      </c>
      <c r="G87" s="25">
        <f>Nkhudzi!M87+Nkhudzi!N87+Nkhudzi!O87</f>
        <v>0</v>
      </c>
      <c r="H87" s="71">
        <f t="shared" si="36"/>
        <v>0</v>
      </c>
    </row>
    <row r="88" spans="1:8" s="2" customFormat="1" ht="15.6" x14ac:dyDescent="0.3">
      <c r="A88" s="586"/>
      <c r="B88" s="23" t="s">
        <v>190</v>
      </c>
      <c r="C88" s="11" t="s">
        <v>3</v>
      </c>
      <c r="D88" s="4">
        <f>D86+D87</f>
        <v>0</v>
      </c>
      <c r="E88" s="4">
        <f t="shared" ref="E88:F88" si="37">E86+E87</f>
        <v>0</v>
      </c>
      <c r="F88" s="4">
        <f t="shared" si="37"/>
        <v>0</v>
      </c>
      <c r="G88" s="25">
        <f>Nkhudzi!M88+Nkhudzi!N88+Nkhudzi!O88</f>
        <v>0</v>
      </c>
      <c r="H88" s="71">
        <f t="shared" si="36"/>
        <v>0</v>
      </c>
    </row>
    <row r="89" spans="1:8" ht="15.6" x14ac:dyDescent="0.3">
      <c r="A89" s="587"/>
      <c r="B89" s="35" t="s">
        <v>81</v>
      </c>
      <c r="C89" s="5" t="s">
        <v>3</v>
      </c>
      <c r="D89" s="33">
        <f>D84+D85-D88</f>
        <v>0</v>
      </c>
      <c r="E89" s="33">
        <f t="shared" ref="E89:F89" si="38">E84+E85-E88</f>
        <v>0</v>
      </c>
      <c r="F89" s="33">
        <f t="shared" si="38"/>
        <v>0</v>
      </c>
      <c r="G89" s="25">
        <f>Nkhudzi!M89+Nkhudzi!N89+Nkhudzi!O89</f>
        <v>0</v>
      </c>
      <c r="H89" s="100">
        <f>H84+H85-H88</f>
        <v>0</v>
      </c>
    </row>
    <row r="90" spans="1:8" ht="15.6" x14ac:dyDescent="0.3">
      <c r="A90" s="588" t="s">
        <v>107</v>
      </c>
      <c r="B90" s="23" t="s">
        <v>85</v>
      </c>
      <c r="C90" s="11" t="s">
        <v>3</v>
      </c>
      <c r="D90" s="125">
        <f>D66+D72+D78+D84</f>
        <v>0</v>
      </c>
      <c r="E90" s="125">
        <f t="shared" ref="E90:G93" si="39">E66+E72+E78+E84</f>
        <v>0</v>
      </c>
      <c r="F90" s="125">
        <f t="shared" si="39"/>
        <v>0</v>
      </c>
      <c r="G90" s="125">
        <f t="shared" si="39"/>
        <v>0</v>
      </c>
      <c r="H90" s="34">
        <f t="shared" ref="H90:H94" si="40">SUM(D90:G90)</f>
        <v>0</v>
      </c>
    </row>
    <row r="91" spans="1:8" ht="15.6" x14ac:dyDescent="0.3">
      <c r="A91" s="589"/>
      <c r="B91" s="23" t="s">
        <v>106</v>
      </c>
      <c r="C91" s="11" t="s">
        <v>3</v>
      </c>
      <c r="D91" s="125">
        <f t="shared" ref="D91:F93" si="41">D67+D73+D79+D85</f>
        <v>0</v>
      </c>
      <c r="E91" s="125">
        <f t="shared" si="41"/>
        <v>0</v>
      </c>
      <c r="F91" s="125">
        <f t="shared" si="41"/>
        <v>0</v>
      </c>
      <c r="G91" s="125">
        <f t="shared" si="39"/>
        <v>0</v>
      </c>
      <c r="H91" s="34">
        <f t="shared" si="40"/>
        <v>0</v>
      </c>
    </row>
    <row r="92" spans="1:8" ht="27" x14ac:dyDescent="0.3">
      <c r="A92" s="589"/>
      <c r="B92" s="23" t="s">
        <v>105</v>
      </c>
      <c r="C92" s="11" t="s">
        <v>3</v>
      </c>
      <c r="D92" s="125">
        <f t="shared" si="41"/>
        <v>0</v>
      </c>
      <c r="E92" s="125">
        <f t="shared" si="41"/>
        <v>0</v>
      </c>
      <c r="F92" s="125">
        <f t="shared" si="41"/>
        <v>0</v>
      </c>
      <c r="G92" s="125">
        <f t="shared" si="39"/>
        <v>0</v>
      </c>
      <c r="H92" s="34">
        <f t="shared" si="40"/>
        <v>0</v>
      </c>
    </row>
    <row r="93" spans="1:8" s="2" customFormat="1" ht="27" x14ac:dyDescent="0.3">
      <c r="A93" s="589"/>
      <c r="B93" s="23" t="s">
        <v>104</v>
      </c>
      <c r="C93" s="11"/>
      <c r="D93" s="125">
        <f t="shared" si="41"/>
        <v>0</v>
      </c>
      <c r="E93" s="125">
        <f t="shared" si="41"/>
        <v>0</v>
      </c>
      <c r="F93" s="125">
        <f t="shared" si="41"/>
        <v>0</v>
      </c>
      <c r="G93" s="125">
        <f t="shared" si="39"/>
        <v>0</v>
      </c>
      <c r="H93" s="34">
        <f t="shared" si="40"/>
        <v>0</v>
      </c>
    </row>
    <row r="94" spans="1:8" s="2" customFormat="1" ht="15.6" x14ac:dyDescent="0.3">
      <c r="A94" s="589"/>
      <c r="B94" s="23" t="s">
        <v>190</v>
      </c>
      <c r="C94" s="11" t="s">
        <v>3</v>
      </c>
      <c r="D94" s="126">
        <f>D93+D92</f>
        <v>0</v>
      </c>
      <c r="E94" s="126">
        <f t="shared" ref="E94:G94" si="42">E93+E92</f>
        <v>0</v>
      </c>
      <c r="F94" s="126">
        <f t="shared" si="42"/>
        <v>0</v>
      </c>
      <c r="G94" s="126">
        <f t="shared" si="42"/>
        <v>0</v>
      </c>
      <c r="H94" s="101">
        <f t="shared" si="40"/>
        <v>0</v>
      </c>
    </row>
    <row r="95" spans="1:8" ht="16.2" thickBot="1" x14ac:dyDescent="0.35">
      <c r="A95" s="590"/>
      <c r="B95" s="23" t="s">
        <v>81</v>
      </c>
      <c r="C95" s="11" t="s">
        <v>3</v>
      </c>
      <c r="D95" s="127">
        <f>D90+D91-D94</f>
        <v>0</v>
      </c>
      <c r="E95" s="127">
        <f t="shared" ref="E95:G95" si="43">E90+E91-E94</f>
        <v>0</v>
      </c>
      <c r="F95" s="127">
        <f t="shared" si="43"/>
        <v>0</v>
      </c>
      <c r="G95" s="127">
        <f t="shared" si="43"/>
        <v>0</v>
      </c>
      <c r="H95" s="134">
        <f>H90+H91-H94</f>
        <v>0</v>
      </c>
    </row>
    <row r="96" spans="1:8" ht="16.2" customHeight="1" thickBot="1" x14ac:dyDescent="0.35">
      <c r="A96" s="591"/>
      <c r="B96" s="592"/>
      <c r="C96" s="592"/>
      <c r="D96" s="592"/>
      <c r="E96" s="592"/>
      <c r="F96" s="592"/>
      <c r="G96" s="592"/>
      <c r="H96" s="593"/>
    </row>
    <row r="97" spans="1:8" s="2" customFormat="1" ht="15.75" customHeight="1" thickBot="1" x14ac:dyDescent="0.35">
      <c r="A97" s="576" t="s">
        <v>191</v>
      </c>
      <c r="B97" s="577"/>
      <c r="C97" s="577"/>
      <c r="D97" s="577"/>
      <c r="E97" s="577"/>
      <c r="F97" s="577"/>
      <c r="G97" s="577"/>
      <c r="H97" s="578"/>
    </row>
    <row r="98" spans="1:8" ht="15.6" x14ac:dyDescent="0.3">
      <c r="A98" s="85" t="s">
        <v>192</v>
      </c>
      <c r="B98" s="68"/>
      <c r="C98" s="11" t="s">
        <v>3</v>
      </c>
      <c r="D98" s="25">
        <f>Mangochi!M98+Mangochi!N98+Mangochi!O98</f>
        <v>0</v>
      </c>
      <c r="E98" s="25">
        <f>'Monkey Bay'!M98+'Monkey Bay'!N98+'Monkey Bay'!O98</f>
        <v>0</v>
      </c>
      <c r="F98" s="25">
        <f>Namwera!M98+Namwera!N98+Namwera!O98</f>
        <v>0</v>
      </c>
      <c r="G98" s="171">
        <f>Nkhudzi!M98+Nkhudzi!N98+Nkhudzi!O98</f>
        <v>0</v>
      </c>
      <c r="H98" s="102">
        <f t="shared" ref="H98" si="44">SUM(D98:G98)</f>
        <v>0</v>
      </c>
    </row>
    <row r="99" spans="1:8" ht="15.6" x14ac:dyDescent="0.3">
      <c r="A99" s="85"/>
      <c r="B99" s="23"/>
      <c r="C99" s="11"/>
      <c r="D99" s="64"/>
      <c r="E99" s="64"/>
      <c r="F99" s="64"/>
      <c r="G99" s="64"/>
      <c r="H99" s="101"/>
    </row>
    <row r="100" spans="1:8" s="2" customFormat="1" ht="15" thickBot="1" x14ac:dyDescent="0.35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ht="15.6" x14ac:dyDescent="0.3">
      <c r="A101" s="549" t="s">
        <v>102</v>
      </c>
      <c r="B101" s="550"/>
      <c r="C101" s="11" t="s">
        <v>3</v>
      </c>
      <c r="D101" s="25">
        <f>Mangochi!O101</f>
        <v>0</v>
      </c>
      <c r="E101" s="25">
        <f>'Monkey Bay'!O101</f>
        <v>0</v>
      </c>
      <c r="F101" s="25">
        <f>Namwera!O101</f>
        <v>0</v>
      </c>
      <c r="G101" s="174">
        <f>Nkhudzi!O101</f>
        <v>0</v>
      </c>
      <c r="H101" s="31">
        <f t="shared" ref="H101:H104" si="45">SUM(D101:G101)</f>
        <v>0</v>
      </c>
    </row>
    <row r="102" spans="1:8" ht="15.6" x14ac:dyDescent="0.3">
      <c r="A102" s="549" t="s">
        <v>101</v>
      </c>
      <c r="B102" s="550"/>
      <c r="C102" s="11" t="s">
        <v>3</v>
      </c>
      <c r="D102" s="25">
        <f>Mangochi!O102</f>
        <v>0</v>
      </c>
      <c r="E102" s="25">
        <f>'Monkey Bay'!O102</f>
        <v>0</v>
      </c>
      <c r="F102" s="25">
        <f>Namwera!O102</f>
        <v>0</v>
      </c>
      <c r="G102" s="25">
        <f>Nkhudzi!O102</f>
        <v>0</v>
      </c>
      <c r="H102" s="31">
        <f t="shared" si="45"/>
        <v>0</v>
      </c>
    </row>
    <row r="103" spans="1:8" ht="15.6" customHeight="1" x14ac:dyDescent="0.3">
      <c r="A103" s="547" t="s">
        <v>100</v>
      </c>
      <c r="B103" s="548"/>
      <c r="C103" s="11" t="s">
        <v>3</v>
      </c>
      <c r="D103" s="25">
        <f>Mangochi!O103</f>
        <v>0</v>
      </c>
      <c r="E103" s="25">
        <f>'Monkey Bay'!O103</f>
        <v>0</v>
      </c>
      <c r="F103" s="25">
        <f>Namwera!O103</f>
        <v>0</v>
      </c>
      <c r="G103" s="25">
        <f>Nkhudzi!O103</f>
        <v>0</v>
      </c>
      <c r="H103" s="31">
        <f t="shared" si="45"/>
        <v>0</v>
      </c>
    </row>
    <row r="104" spans="1:8" ht="15.6" x14ac:dyDescent="0.3">
      <c r="A104" s="547" t="s">
        <v>99</v>
      </c>
      <c r="B104" s="548"/>
      <c r="C104" s="11" t="s">
        <v>3</v>
      </c>
      <c r="D104" s="25">
        <f>Mangochi!O104</f>
        <v>0</v>
      </c>
      <c r="E104" s="25">
        <f>'Monkey Bay'!O104</f>
        <v>0</v>
      </c>
      <c r="F104" s="25">
        <f>Namwera!O104</f>
        <v>0</v>
      </c>
      <c r="G104" s="25">
        <f>Nkhudzi!O104</f>
        <v>0</v>
      </c>
      <c r="H104" s="31">
        <f t="shared" si="45"/>
        <v>0</v>
      </c>
    </row>
    <row r="105" spans="1:8" ht="15.6" x14ac:dyDescent="0.3">
      <c r="A105" s="594" t="s">
        <v>98</v>
      </c>
      <c r="B105" s="595"/>
      <c r="C105" s="11" t="s">
        <v>3</v>
      </c>
      <c r="D105" s="32">
        <f>SUM(D101:D104)</f>
        <v>0</v>
      </c>
      <c r="E105" s="32">
        <f t="shared" ref="E105:H105" si="46">SUM(E101:E104)</f>
        <v>0</v>
      </c>
      <c r="F105" s="32">
        <f t="shared" si="46"/>
        <v>0</v>
      </c>
      <c r="G105" s="32">
        <f t="shared" si="46"/>
        <v>0</v>
      </c>
      <c r="H105" s="54">
        <f t="shared" si="46"/>
        <v>0</v>
      </c>
    </row>
    <row r="106" spans="1:8" s="2" customFormat="1" ht="15.6" customHeight="1" thickBot="1" x14ac:dyDescent="0.35">
      <c r="A106" s="596" t="s">
        <v>212</v>
      </c>
      <c r="B106" s="597"/>
      <c r="C106" s="597"/>
      <c r="D106" s="597"/>
      <c r="E106" s="597"/>
      <c r="F106" s="597"/>
      <c r="G106" s="597"/>
      <c r="H106" s="598"/>
    </row>
    <row r="107" spans="1:8" ht="15.6" x14ac:dyDescent="0.3">
      <c r="A107" s="549" t="s">
        <v>195</v>
      </c>
      <c r="B107" s="550"/>
      <c r="C107" s="11" t="s">
        <v>3</v>
      </c>
      <c r="D107" s="25">
        <f>Mangochi!O107</f>
        <v>0</v>
      </c>
      <c r="E107" s="25">
        <f>'Monkey Bay'!O107</f>
        <v>0</v>
      </c>
      <c r="F107" s="25">
        <f>Namwera!O107</f>
        <v>0</v>
      </c>
      <c r="G107" s="174">
        <f>Nkhudzi!O107</f>
        <v>0</v>
      </c>
      <c r="H107" s="31">
        <f t="shared" ref="H107:H110" si="47">SUM(D107:G107)</f>
        <v>0</v>
      </c>
    </row>
    <row r="108" spans="1:8" ht="15.6" x14ac:dyDescent="0.3">
      <c r="A108" s="549" t="s">
        <v>196</v>
      </c>
      <c r="B108" s="550"/>
      <c r="C108" s="11" t="s">
        <v>3</v>
      </c>
      <c r="D108" s="25">
        <f>Mangochi!O108</f>
        <v>0</v>
      </c>
      <c r="E108" s="25">
        <f>'Monkey Bay'!O108</f>
        <v>0</v>
      </c>
      <c r="F108" s="25">
        <f>Namwera!O108</f>
        <v>0</v>
      </c>
      <c r="G108" s="25">
        <f>Nkhudzi!O108</f>
        <v>0</v>
      </c>
      <c r="H108" s="31">
        <f t="shared" si="47"/>
        <v>0</v>
      </c>
    </row>
    <row r="109" spans="1:8" ht="15.6" x14ac:dyDescent="0.3">
      <c r="A109" s="549" t="s">
        <v>197</v>
      </c>
      <c r="B109" s="550"/>
      <c r="C109" s="11" t="s">
        <v>3</v>
      </c>
      <c r="D109" s="25">
        <f>Mangochi!O109</f>
        <v>0</v>
      </c>
      <c r="E109" s="25">
        <f>'Monkey Bay'!O109</f>
        <v>0</v>
      </c>
      <c r="F109" s="25">
        <f>Namwera!O109</f>
        <v>0</v>
      </c>
      <c r="G109" s="25">
        <f>Nkhudzi!O109</f>
        <v>0</v>
      </c>
      <c r="H109" s="31">
        <f t="shared" si="47"/>
        <v>0</v>
      </c>
    </row>
    <row r="110" spans="1:8" ht="15.6" x14ac:dyDescent="0.3">
      <c r="A110" s="549" t="s">
        <v>198</v>
      </c>
      <c r="B110" s="550"/>
      <c r="C110" s="11" t="s">
        <v>3</v>
      </c>
      <c r="D110" s="25">
        <f>Mangochi!O110</f>
        <v>0</v>
      </c>
      <c r="E110" s="25">
        <f>'Monkey Bay'!O110</f>
        <v>0</v>
      </c>
      <c r="F110" s="25">
        <f>Namwera!O110</f>
        <v>0</v>
      </c>
      <c r="G110" s="25">
        <f>Nkhudzi!O110</f>
        <v>0</v>
      </c>
      <c r="H110" s="31">
        <f t="shared" si="47"/>
        <v>0</v>
      </c>
    </row>
    <row r="111" spans="1:8" ht="15.6" x14ac:dyDescent="0.3">
      <c r="A111" s="551" t="s">
        <v>97</v>
      </c>
      <c r="B111" s="552"/>
      <c r="C111" s="11" t="s">
        <v>3</v>
      </c>
      <c r="D111" s="32">
        <f>SUM(D107:D110)</f>
        <v>0</v>
      </c>
      <c r="E111" s="32">
        <f t="shared" ref="E111:H111" si="48">SUM(E107:E110)</f>
        <v>0</v>
      </c>
      <c r="F111" s="32">
        <f t="shared" si="48"/>
        <v>0</v>
      </c>
      <c r="G111" s="32">
        <f t="shared" si="48"/>
        <v>0</v>
      </c>
      <c r="H111" s="54">
        <f t="shared" si="48"/>
        <v>0</v>
      </c>
    </row>
    <row r="112" spans="1:8" s="2" customFormat="1" ht="15.6" customHeight="1" thickBot="1" x14ac:dyDescent="0.35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ht="15.6" x14ac:dyDescent="0.3">
      <c r="A113" s="549" t="s">
        <v>199</v>
      </c>
      <c r="B113" s="550"/>
      <c r="C113" s="11" t="s">
        <v>3</v>
      </c>
      <c r="D113" s="25">
        <f>Mangochi!O113</f>
        <v>0</v>
      </c>
      <c r="E113" s="25">
        <f>'Monkey Bay'!O113</f>
        <v>0</v>
      </c>
      <c r="F113" s="25">
        <f>Namwera!O113</f>
        <v>0</v>
      </c>
      <c r="G113" s="174">
        <f>Nkhudzi!O113</f>
        <v>0</v>
      </c>
      <c r="H113" s="31">
        <f t="shared" ref="H113:H116" si="49">SUM(D113:G113)</f>
        <v>0</v>
      </c>
    </row>
    <row r="114" spans="1:8" ht="15.6" x14ac:dyDescent="0.3">
      <c r="A114" s="549" t="s">
        <v>200</v>
      </c>
      <c r="B114" s="550"/>
      <c r="C114" s="11" t="s">
        <v>3</v>
      </c>
      <c r="D114" s="25">
        <f>Mangochi!O114</f>
        <v>0</v>
      </c>
      <c r="E114" s="25">
        <f>'Monkey Bay'!O114</f>
        <v>0</v>
      </c>
      <c r="F114" s="25">
        <f>Namwera!O114</f>
        <v>0</v>
      </c>
      <c r="G114" s="25">
        <f>Nkhudzi!O114</f>
        <v>0</v>
      </c>
      <c r="H114" s="31">
        <f t="shared" si="49"/>
        <v>0</v>
      </c>
    </row>
    <row r="115" spans="1:8" ht="15.6" x14ac:dyDescent="0.3">
      <c r="A115" s="549" t="s">
        <v>201</v>
      </c>
      <c r="B115" s="550"/>
      <c r="C115" s="11" t="s">
        <v>3</v>
      </c>
      <c r="D115" s="25">
        <f>Mangochi!O115</f>
        <v>0</v>
      </c>
      <c r="E115" s="25">
        <f>'Monkey Bay'!O115</f>
        <v>0</v>
      </c>
      <c r="F115" s="25">
        <f>Namwera!O115</f>
        <v>0</v>
      </c>
      <c r="G115" s="25">
        <f>Nkhudzi!O115</f>
        <v>0</v>
      </c>
      <c r="H115" s="31">
        <f t="shared" si="49"/>
        <v>0</v>
      </c>
    </row>
    <row r="116" spans="1:8" ht="15.6" x14ac:dyDescent="0.3">
      <c r="A116" s="549" t="s">
        <v>202</v>
      </c>
      <c r="B116" s="550"/>
      <c r="C116" s="11" t="s">
        <v>3</v>
      </c>
      <c r="D116" s="25">
        <f>Mangochi!O116</f>
        <v>0</v>
      </c>
      <c r="E116" s="25">
        <f>'Monkey Bay'!O116</f>
        <v>0</v>
      </c>
      <c r="F116" s="25">
        <f>Namwera!O116</f>
        <v>0</v>
      </c>
      <c r="G116" s="25">
        <f>Nkhudzi!O116</f>
        <v>0</v>
      </c>
      <c r="H116" s="31">
        <f t="shared" si="49"/>
        <v>0</v>
      </c>
    </row>
    <row r="117" spans="1:8" ht="15.6" x14ac:dyDescent="0.3">
      <c r="A117" s="551" t="s">
        <v>96</v>
      </c>
      <c r="B117" s="552"/>
      <c r="C117" s="11" t="s">
        <v>3</v>
      </c>
      <c r="D117" s="32">
        <f>SUM(D113:D116)</f>
        <v>0</v>
      </c>
      <c r="E117" s="32">
        <f t="shared" ref="E117:H117" si="50">SUM(E113:E116)</f>
        <v>0</v>
      </c>
      <c r="F117" s="32">
        <f t="shared" si="50"/>
        <v>0</v>
      </c>
      <c r="G117" s="32">
        <f t="shared" si="50"/>
        <v>0</v>
      </c>
      <c r="H117" s="54">
        <f t="shared" si="50"/>
        <v>0</v>
      </c>
    </row>
    <row r="118" spans="1:8" s="2" customFormat="1" ht="15.6" x14ac:dyDescent="0.3">
      <c r="A118" s="194" t="s">
        <v>193</v>
      </c>
      <c r="B118" s="195"/>
      <c r="C118" s="11" t="s">
        <v>3</v>
      </c>
      <c r="D118" s="32">
        <f>D117+D111</f>
        <v>0</v>
      </c>
      <c r="E118" s="32">
        <f t="shared" ref="E118:G118" si="51">E117+E111</f>
        <v>0</v>
      </c>
      <c r="F118" s="32">
        <f t="shared" si="51"/>
        <v>0</v>
      </c>
      <c r="G118" s="32">
        <f t="shared" si="51"/>
        <v>0</v>
      </c>
      <c r="H118" s="54">
        <f t="shared" ref="H118" si="52">H117+H112</f>
        <v>0</v>
      </c>
    </row>
    <row r="119" spans="1:8" ht="15.6" x14ac:dyDescent="0.3">
      <c r="A119" s="551" t="s">
        <v>194</v>
      </c>
      <c r="B119" s="552"/>
      <c r="C119" s="11" t="s">
        <v>3</v>
      </c>
      <c r="D119" s="32">
        <f>D118+D105</f>
        <v>0</v>
      </c>
      <c r="E119" s="32">
        <f t="shared" ref="E119:G119" si="53">E118+E105</f>
        <v>0</v>
      </c>
      <c r="F119" s="32">
        <f t="shared" si="53"/>
        <v>0</v>
      </c>
      <c r="G119" s="32">
        <f t="shared" si="53"/>
        <v>0</v>
      </c>
      <c r="H119" s="54">
        <f t="shared" ref="H119" si="54">H118+H106</f>
        <v>0</v>
      </c>
    </row>
    <row r="120" spans="1:8" ht="15" thickBot="1" x14ac:dyDescent="0.35">
      <c r="A120" s="543" t="s">
        <v>203</v>
      </c>
      <c r="B120" s="544"/>
      <c r="C120" s="544"/>
      <c r="D120" s="544"/>
      <c r="E120" s="544"/>
      <c r="F120" s="544"/>
      <c r="G120" s="544"/>
      <c r="H120" s="546"/>
    </row>
    <row r="121" spans="1:8" ht="16.2" thickBot="1" x14ac:dyDescent="0.35">
      <c r="A121" s="549" t="s">
        <v>95</v>
      </c>
      <c r="B121" s="550"/>
      <c r="C121" s="5" t="s">
        <v>3</v>
      </c>
      <c r="D121" s="25">
        <f>Mangochi!O121</f>
        <v>0</v>
      </c>
      <c r="E121" s="25">
        <f>'Monkey Bay'!O121</f>
        <v>0</v>
      </c>
      <c r="F121" s="25">
        <f>Namwera!O121</f>
        <v>0</v>
      </c>
      <c r="G121" s="174">
        <f>Nkhudzi!O121</f>
        <v>0</v>
      </c>
      <c r="H121" s="30">
        <f>SUM(D121:G121)</f>
        <v>0</v>
      </c>
    </row>
    <row r="122" spans="1:8" ht="15.6" x14ac:dyDescent="0.3">
      <c r="A122" s="549" t="s">
        <v>94</v>
      </c>
      <c r="B122" s="550"/>
      <c r="C122" s="5" t="s">
        <v>3</v>
      </c>
      <c r="D122" s="25">
        <f>Mangochi!O122</f>
        <v>0</v>
      </c>
      <c r="E122" s="25">
        <f>'Monkey Bay'!O122</f>
        <v>0</v>
      </c>
      <c r="F122" s="25">
        <f>Namwera!O122</f>
        <v>0</v>
      </c>
      <c r="G122" s="174">
        <f>Nkhudzi!O122</f>
        <v>0</v>
      </c>
      <c r="H122" s="30">
        <f>SUM(D122:G122)</f>
        <v>0</v>
      </c>
    </row>
    <row r="123" spans="1:8" ht="15.6" x14ac:dyDescent="0.3">
      <c r="A123" s="603" t="s">
        <v>93</v>
      </c>
      <c r="B123" s="604"/>
      <c r="C123" s="29" t="s">
        <v>6</v>
      </c>
      <c r="D123" s="28" t="e">
        <f t="shared" ref="D123:H123" si="55">D122/D121</f>
        <v>#DIV/0!</v>
      </c>
      <c r="E123" s="28" t="e">
        <f t="shared" si="55"/>
        <v>#DIV/0!</v>
      </c>
      <c r="F123" s="28" t="e">
        <f t="shared" si="55"/>
        <v>#DIV/0!</v>
      </c>
      <c r="G123" s="28" t="e">
        <f t="shared" si="55"/>
        <v>#DIV/0!</v>
      </c>
      <c r="H123" s="103" t="e">
        <f t="shared" si="55"/>
        <v>#DIV/0!</v>
      </c>
    </row>
    <row r="124" spans="1:8" x14ac:dyDescent="0.3">
      <c r="A124" s="599" t="s">
        <v>92</v>
      </c>
      <c r="B124" s="600"/>
      <c r="C124" s="600"/>
      <c r="D124" s="600"/>
      <c r="E124" s="600"/>
      <c r="F124" s="600"/>
      <c r="G124" s="600"/>
      <c r="H124" s="601"/>
    </row>
    <row r="125" spans="1:8" ht="15.6" x14ac:dyDescent="0.3">
      <c r="A125" s="555" t="s">
        <v>91</v>
      </c>
      <c r="B125" s="23" t="s">
        <v>85</v>
      </c>
      <c r="C125" s="11" t="s">
        <v>3</v>
      </c>
      <c r="D125" s="33">
        <f>Mangochi!M125</f>
        <v>0</v>
      </c>
      <c r="E125" s="33">
        <f>'Monkey Bay'!M125</f>
        <v>0</v>
      </c>
      <c r="F125" s="33">
        <f>Namwera!M125</f>
        <v>0</v>
      </c>
      <c r="G125" s="25">
        <f>Nkhudzi!M125</f>
        <v>0</v>
      </c>
      <c r="H125" s="71">
        <f>D125</f>
        <v>0</v>
      </c>
    </row>
    <row r="126" spans="1:8" ht="15.6" x14ac:dyDescent="0.3">
      <c r="A126" s="602"/>
      <c r="B126" s="23" t="s">
        <v>84</v>
      </c>
      <c r="C126" s="11" t="s">
        <v>3</v>
      </c>
      <c r="D126" s="25">
        <f>Mangochi!M126+Mangochi!N126+Mangochi!O126</f>
        <v>0</v>
      </c>
      <c r="E126" s="25">
        <f>'Monkey Bay'!M126+'Monkey Bay'!N126+'Monkey Bay'!O126</f>
        <v>0</v>
      </c>
      <c r="F126" s="25">
        <f>Namwera!M126+Namwera!N126+Namwera!O126</f>
        <v>0</v>
      </c>
      <c r="G126" s="25">
        <f>Nkhudzi!M126+Nkhudzi!N126+Nkhudzi!O126</f>
        <v>0</v>
      </c>
      <c r="H126" s="71">
        <f>SUM(D126:F126)</f>
        <v>0</v>
      </c>
    </row>
    <row r="127" spans="1:8" ht="15.6" x14ac:dyDescent="0.3">
      <c r="A127" s="602"/>
      <c r="B127" s="79" t="s">
        <v>88</v>
      </c>
      <c r="C127" s="11" t="s">
        <v>3</v>
      </c>
      <c r="D127" s="25">
        <f>Mangochi!M127+Mangochi!N127+Mangochi!O127</f>
        <v>0</v>
      </c>
      <c r="E127" s="25">
        <f>'Monkey Bay'!M127+'Monkey Bay'!N127+'Monkey Bay'!O127</f>
        <v>0</v>
      </c>
      <c r="F127" s="25">
        <f>Namwera!M127+Namwera!N127+Namwera!O127</f>
        <v>0</v>
      </c>
      <c r="G127" s="25">
        <f>Nkhudzi!M127+Nkhudzi!N127+Nkhudzi!O127</f>
        <v>0</v>
      </c>
      <c r="H127" s="71">
        <f>SUM(D127:F127)</f>
        <v>0</v>
      </c>
    </row>
    <row r="128" spans="1:8" ht="15.6" x14ac:dyDescent="0.3">
      <c r="A128" s="602"/>
      <c r="B128" s="23" t="s">
        <v>82</v>
      </c>
      <c r="C128" s="11" t="s">
        <v>3</v>
      </c>
      <c r="D128" s="25">
        <f>Mangochi!M128+Mangochi!N128+Mangochi!O128</f>
        <v>0</v>
      </c>
      <c r="E128" s="25">
        <f>'Monkey Bay'!M128+'Monkey Bay'!N128+'Monkey Bay'!O128</f>
        <v>0</v>
      </c>
      <c r="F128" s="25">
        <f>Namwera!M128+Namwera!N128+Namwera!O128</f>
        <v>0</v>
      </c>
      <c r="G128" s="25">
        <f>Nkhudzi!M128+Nkhudzi!N128+Nkhudzi!O128</f>
        <v>0</v>
      </c>
      <c r="H128" s="71">
        <f>SUM(D128:F128)</f>
        <v>0</v>
      </c>
    </row>
    <row r="129" spans="1:8" ht="15.6" x14ac:dyDescent="0.3">
      <c r="A129" s="556"/>
      <c r="B129" s="23" t="s">
        <v>81</v>
      </c>
      <c r="C129" s="11" t="s">
        <v>3</v>
      </c>
      <c r="D129" s="129">
        <f t="shared" ref="D129:G129" si="56">D125+D126-D127-D128</f>
        <v>0</v>
      </c>
      <c r="E129" s="130">
        <f t="shared" si="56"/>
        <v>0</v>
      </c>
      <c r="F129" s="130">
        <f t="shared" si="56"/>
        <v>0</v>
      </c>
      <c r="G129" s="130">
        <f t="shared" si="56"/>
        <v>0</v>
      </c>
      <c r="H129" s="34">
        <f>H125+H126-H127-H128</f>
        <v>0</v>
      </c>
    </row>
    <row r="130" spans="1:8" ht="15.6" x14ac:dyDescent="0.3">
      <c r="A130" s="555" t="s">
        <v>90</v>
      </c>
      <c r="B130" s="27" t="s">
        <v>85</v>
      </c>
      <c r="C130" s="26" t="s">
        <v>3</v>
      </c>
      <c r="D130" s="33">
        <f>Mangochi!M130</f>
        <v>0</v>
      </c>
      <c r="E130" s="33">
        <f>'Monkey Bay'!M130</f>
        <v>0</v>
      </c>
      <c r="F130" s="33">
        <f>Namwera!M130</f>
        <v>0</v>
      </c>
      <c r="G130" s="25">
        <f>Nkhudzi!M130</f>
        <v>0</v>
      </c>
      <c r="H130" s="71">
        <f>D130</f>
        <v>0</v>
      </c>
    </row>
    <row r="131" spans="1:8" ht="15.6" x14ac:dyDescent="0.3">
      <c r="A131" s="602"/>
      <c r="B131" s="23" t="s">
        <v>84</v>
      </c>
      <c r="C131" s="11" t="s">
        <v>3</v>
      </c>
      <c r="D131" s="25">
        <f>Mangochi!M131+Mangochi!N131+Mangochi!O131</f>
        <v>0</v>
      </c>
      <c r="E131" s="25">
        <f>'Monkey Bay'!M131+'Monkey Bay'!N131+'Monkey Bay'!O131</f>
        <v>0</v>
      </c>
      <c r="F131" s="25">
        <f>Namwera!M131+Namwera!N131+Namwera!O131</f>
        <v>0</v>
      </c>
      <c r="G131" s="25">
        <f>Nkhudzi!M131+Nkhudzi!N131+Nkhudzi!O131</f>
        <v>0</v>
      </c>
      <c r="H131" s="71">
        <f>SUM(D131:F131)</f>
        <v>0</v>
      </c>
    </row>
    <row r="132" spans="1:8" ht="15.6" x14ac:dyDescent="0.3">
      <c r="A132" s="602"/>
      <c r="B132" s="79" t="s">
        <v>88</v>
      </c>
      <c r="C132" s="11" t="s">
        <v>3</v>
      </c>
      <c r="D132" s="25">
        <f>Mangochi!M132+Mangochi!N132+Mangochi!O132</f>
        <v>0</v>
      </c>
      <c r="E132" s="25">
        <f>'Monkey Bay'!M132+'Monkey Bay'!N132+'Monkey Bay'!O132</f>
        <v>0</v>
      </c>
      <c r="F132" s="25">
        <f>Namwera!M132+Namwera!N132+Namwera!O132</f>
        <v>0</v>
      </c>
      <c r="G132" s="25">
        <f>Nkhudzi!M132+Nkhudzi!N132+Nkhudzi!O132</f>
        <v>0</v>
      </c>
      <c r="H132" s="71">
        <f>SUM(D132:F132)</f>
        <v>0</v>
      </c>
    </row>
    <row r="133" spans="1:8" ht="15.6" x14ac:dyDescent="0.3">
      <c r="A133" s="602"/>
      <c r="B133" s="23" t="s">
        <v>82</v>
      </c>
      <c r="C133" s="11" t="s">
        <v>3</v>
      </c>
      <c r="D133" s="25">
        <f>Mangochi!M133+Mangochi!N133+Mangochi!O133</f>
        <v>0</v>
      </c>
      <c r="E133" s="25">
        <f>'Monkey Bay'!M133+'Monkey Bay'!N133+'Monkey Bay'!O133</f>
        <v>0</v>
      </c>
      <c r="F133" s="25">
        <f>Namwera!M133+Namwera!N133+Namwera!O133</f>
        <v>0</v>
      </c>
      <c r="G133" s="25">
        <f>Nkhudzi!M133+Nkhudzi!N133+Nkhudzi!O133</f>
        <v>0</v>
      </c>
      <c r="H133" s="71">
        <f>SUM(D133:F133)</f>
        <v>0</v>
      </c>
    </row>
    <row r="134" spans="1:8" ht="15.6" x14ac:dyDescent="0.3">
      <c r="A134" s="556"/>
      <c r="B134" s="23" t="s">
        <v>81</v>
      </c>
      <c r="C134" s="11" t="s">
        <v>3</v>
      </c>
      <c r="D134" s="129">
        <f t="shared" ref="D134:G134" si="57">D130+D131-D132-D133</f>
        <v>0</v>
      </c>
      <c r="E134" s="130">
        <f t="shared" si="57"/>
        <v>0</v>
      </c>
      <c r="F134" s="130">
        <f t="shared" si="57"/>
        <v>0</v>
      </c>
      <c r="G134" s="130">
        <f t="shared" si="57"/>
        <v>0</v>
      </c>
      <c r="H134" s="34">
        <f>H130+H131-H132-H133</f>
        <v>0</v>
      </c>
    </row>
    <row r="135" spans="1:8" ht="15.6" x14ac:dyDescent="0.3">
      <c r="A135" s="555" t="s">
        <v>89</v>
      </c>
      <c r="B135" s="23" t="s">
        <v>85</v>
      </c>
      <c r="C135" s="11" t="s">
        <v>3</v>
      </c>
      <c r="D135" s="33">
        <f>Mangochi!M135</f>
        <v>0</v>
      </c>
      <c r="E135" s="33">
        <f>'Monkey Bay'!M135</f>
        <v>0</v>
      </c>
      <c r="F135" s="33">
        <f>Namwera!M135</f>
        <v>0</v>
      </c>
      <c r="G135" s="25">
        <f>Nkhudzi!M135</f>
        <v>0</v>
      </c>
      <c r="H135" s="71">
        <f>D135</f>
        <v>0</v>
      </c>
    </row>
    <row r="136" spans="1:8" ht="15.6" x14ac:dyDescent="0.3">
      <c r="A136" s="602"/>
      <c r="B136" s="23" t="s">
        <v>84</v>
      </c>
      <c r="C136" s="11" t="s">
        <v>3</v>
      </c>
      <c r="D136" s="25">
        <f>Mangochi!M136+Mangochi!N136+Mangochi!O136</f>
        <v>0</v>
      </c>
      <c r="E136" s="25">
        <f>'Monkey Bay'!M136+'Monkey Bay'!N136+'Monkey Bay'!O136</f>
        <v>0</v>
      </c>
      <c r="F136" s="25">
        <f>Namwera!M136+Namwera!N136+Namwera!O136</f>
        <v>0</v>
      </c>
      <c r="G136" s="25">
        <f>Nkhudzi!M136+Nkhudzi!N136+Nkhudzi!O136</f>
        <v>0</v>
      </c>
      <c r="H136" s="71">
        <f>SUM(D136:F136)</f>
        <v>0</v>
      </c>
    </row>
    <row r="137" spans="1:8" ht="15.6" x14ac:dyDescent="0.3">
      <c r="A137" s="602"/>
      <c r="B137" s="79" t="s">
        <v>88</v>
      </c>
      <c r="C137" s="11" t="s">
        <v>3</v>
      </c>
      <c r="D137" s="25">
        <f>Mangochi!M137+Mangochi!N137+Mangochi!O137</f>
        <v>0</v>
      </c>
      <c r="E137" s="25">
        <f>'Monkey Bay'!M137+'Monkey Bay'!N137+'Monkey Bay'!O137</f>
        <v>0</v>
      </c>
      <c r="F137" s="25">
        <f>Namwera!M137+Namwera!N137+Namwera!O137</f>
        <v>0</v>
      </c>
      <c r="G137" s="25">
        <f>Nkhudzi!M137+Nkhudzi!N137+Nkhudzi!O137</f>
        <v>0</v>
      </c>
      <c r="H137" s="71">
        <f>SUM(D137:F137)</f>
        <v>0</v>
      </c>
    </row>
    <row r="138" spans="1:8" ht="15.6" x14ac:dyDescent="0.3">
      <c r="A138" s="602"/>
      <c r="B138" s="23" t="s">
        <v>82</v>
      </c>
      <c r="C138" s="11" t="s">
        <v>3</v>
      </c>
      <c r="D138" s="25">
        <f>Mangochi!M138+Mangochi!N138+Mangochi!O138</f>
        <v>0</v>
      </c>
      <c r="E138" s="25">
        <f>'Monkey Bay'!M138+'Monkey Bay'!N138+'Monkey Bay'!O138</f>
        <v>0</v>
      </c>
      <c r="F138" s="25">
        <f>Namwera!M138+Namwera!N138+Namwera!O138</f>
        <v>0</v>
      </c>
      <c r="G138" s="25">
        <f>Nkhudzi!M138+Nkhudzi!N138+Nkhudzi!O138</f>
        <v>0</v>
      </c>
      <c r="H138" s="71">
        <f>SUM(D138:F138)</f>
        <v>0</v>
      </c>
    </row>
    <row r="139" spans="1:8" ht="15.6" x14ac:dyDescent="0.3">
      <c r="A139" s="556"/>
      <c r="B139" s="23" t="s">
        <v>81</v>
      </c>
      <c r="C139" s="11" t="s">
        <v>3</v>
      </c>
      <c r="D139" s="129">
        <f t="shared" ref="D139:G139" si="58">D135+D136-D137-D138</f>
        <v>0</v>
      </c>
      <c r="E139" s="130">
        <f t="shared" si="58"/>
        <v>0</v>
      </c>
      <c r="F139" s="130">
        <f t="shared" si="58"/>
        <v>0</v>
      </c>
      <c r="G139" s="130">
        <f t="shared" si="58"/>
        <v>0</v>
      </c>
      <c r="H139" s="34">
        <f>H135+H136-H137-H138</f>
        <v>0</v>
      </c>
    </row>
    <row r="140" spans="1:8" ht="15.6" x14ac:dyDescent="0.3">
      <c r="A140" s="555" t="s">
        <v>87</v>
      </c>
      <c r="B140" s="23" t="s">
        <v>85</v>
      </c>
      <c r="C140" s="11" t="s">
        <v>3</v>
      </c>
      <c r="D140" s="33">
        <f>Mangochi!M140</f>
        <v>0</v>
      </c>
      <c r="E140" s="33">
        <f>'Monkey Bay'!M140</f>
        <v>0</v>
      </c>
      <c r="F140" s="33">
        <f>Namwera!M140</f>
        <v>0</v>
      </c>
      <c r="G140" s="25">
        <f>Nkhudzi!M140</f>
        <v>0</v>
      </c>
      <c r="H140" s="71">
        <f>D140</f>
        <v>0</v>
      </c>
    </row>
    <row r="141" spans="1:8" ht="15.6" x14ac:dyDescent="0.3">
      <c r="A141" s="602"/>
      <c r="B141" s="23" t="s">
        <v>84</v>
      </c>
      <c r="C141" s="11" t="s">
        <v>3</v>
      </c>
      <c r="D141" s="25">
        <f>Mangochi!M141+Mangochi!N141+Mangochi!O141</f>
        <v>0</v>
      </c>
      <c r="E141" s="25">
        <f>'Monkey Bay'!M141+'Monkey Bay'!N141+'Monkey Bay'!O141</f>
        <v>0</v>
      </c>
      <c r="F141" s="25">
        <f>Namwera!M141+Namwera!N141+Namwera!O141</f>
        <v>0</v>
      </c>
      <c r="G141" s="25">
        <f>Nkhudzi!M141+Nkhudzi!N141+Nkhudzi!O141</f>
        <v>0</v>
      </c>
      <c r="H141" s="71">
        <f>SUM(D141:F141)</f>
        <v>0</v>
      </c>
    </row>
    <row r="142" spans="1:8" ht="15.6" x14ac:dyDescent="0.3">
      <c r="A142" s="602"/>
      <c r="B142" s="23" t="s">
        <v>83</v>
      </c>
      <c r="C142" s="11" t="s">
        <v>3</v>
      </c>
      <c r="D142" s="25">
        <f>Mangochi!M142+Mangochi!N142+Mangochi!O142</f>
        <v>0</v>
      </c>
      <c r="E142" s="25">
        <f>'Monkey Bay'!M142+'Monkey Bay'!N142+'Monkey Bay'!O142</f>
        <v>0</v>
      </c>
      <c r="F142" s="25">
        <f>Namwera!M142+Namwera!N142+Namwera!O142</f>
        <v>0</v>
      </c>
      <c r="G142" s="25">
        <f>Nkhudzi!M142+Nkhudzi!N142+Nkhudzi!O142</f>
        <v>0</v>
      </c>
      <c r="H142" s="71">
        <f>SUM(D142:F142)</f>
        <v>0</v>
      </c>
    </row>
    <row r="143" spans="1:8" ht="15.6" x14ac:dyDescent="0.3">
      <c r="A143" s="602"/>
      <c r="B143" s="23" t="s">
        <v>82</v>
      </c>
      <c r="C143" s="11" t="s">
        <v>3</v>
      </c>
      <c r="D143" s="25">
        <f>Mangochi!M143+Mangochi!N143+Mangochi!O143</f>
        <v>0</v>
      </c>
      <c r="E143" s="25">
        <f>'Monkey Bay'!M143+'Monkey Bay'!N143+'Monkey Bay'!O143</f>
        <v>0</v>
      </c>
      <c r="F143" s="25">
        <f>Namwera!M143+Namwera!N143+Namwera!O143</f>
        <v>0</v>
      </c>
      <c r="G143" s="25">
        <f>Nkhudzi!M143+Nkhudzi!N143+Nkhudzi!O143</f>
        <v>0</v>
      </c>
      <c r="H143" s="71">
        <f>SUM(D143:F143)</f>
        <v>0</v>
      </c>
    </row>
    <row r="144" spans="1:8" ht="15.6" x14ac:dyDescent="0.3">
      <c r="A144" s="556"/>
      <c r="B144" s="23" t="s">
        <v>81</v>
      </c>
      <c r="C144" s="11" t="s">
        <v>3</v>
      </c>
      <c r="D144" s="129">
        <f t="shared" ref="D144:G144" si="59">D140+D141-D142-D143</f>
        <v>0</v>
      </c>
      <c r="E144" s="129">
        <f t="shared" si="59"/>
        <v>0</v>
      </c>
      <c r="F144" s="129">
        <f t="shared" si="59"/>
        <v>0</v>
      </c>
      <c r="G144" s="130">
        <f t="shared" si="59"/>
        <v>0</v>
      </c>
      <c r="H144" s="34">
        <f>H140+H141-H142-H143</f>
        <v>0</v>
      </c>
    </row>
    <row r="145" spans="1:8" s="2" customFormat="1" ht="15.6" x14ac:dyDescent="0.3">
      <c r="A145" s="555" t="s">
        <v>86</v>
      </c>
      <c r="B145" s="23" t="s">
        <v>85</v>
      </c>
      <c r="C145" s="11" t="s">
        <v>3</v>
      </c>
      <c r="D145" s="128">
        <f t="shared" ref="D145:H149" si="60">D125+D130+D135+D140</f>
        <v>0</v>
      </c>
      <c r="E145" s="128">
        <f t="shared" si="60"/>
        <v>0</v>
      </c>
      <c r="F145" s="128">
        <f t="shared" si="60"/>
        <v>0</v>
      </c>
      <c r="G145" s="128">
        <f t="shared" si="60"/>
        <v>0</v>
      </c>
      <c r="H145" s="104">
        <f t="shared" si="60"/>
        <v>0</v>
      </c>
    </row>
    <row r="146" spans="1:8" ht="15.6" x14ac:dyDescent="0.3">
      <c r="A146" s="602"/>
      <c r="B146" s="23" t="s">
        <v>84</v>
      </c>
      <c r="C146" s="11" t="s">
        <v>3</v>
      </c>
      <c r="D146" s="128">
        <f t="shared" si="60"/>
        <v>0</v>
      </c>
      <c r="E146" s="128">
        <f t="shared" si="60"/>
        <v>0</v>
      </c>
      <c r="F146" s="128">
        <f t="shared" si="60"/>
        <v>0</v>
      </c>
      <c r="G146" s="128">
        <f t="shared" si="60"/>
        <v>0</v>
      </c>
      <c r="H146" s="104">
        <f t="shared" si="60"/>
        <v>0</v>
      </c>
    </row>
    <row r="147" spans="1:8" ht="15.6" x14ac:dyDescent="0.3">
      <c r="A147" s="602"/>
      <c r="B147" s="23" t="s">
        <v>83</v>
      </c>
      <c r="C147" s="11" t="s">
        <v>3</v>
      </c>
      <c r="D147" s="128">
        <f t="shared" si="60"/>
        <v>0</v>
      </c>
      <c r="E147" s="128">
        <f t="shared" si="60"/>
        <v>0</v>
      </c>
      <c r="F147" s="128">
        <f t="shared" si="60"/>
        <v>0</v>
      </c>
      <c r="G147" s="128">
        <f t="shared" si="60"/>
        <v>0</v>
      </c>
      <c r="H147" s="104">
        <f t="shared" si="60"/>
        <v>0</v>
      </c>
    </row>
    <row r="148" spans="1:8" ht="15.6" x14ac:dyDescent="0.3">
      <c r="A148" s="602"/>
      <c r="B148" s="23" t="s">
        <v>82</v>
      </c>
      <c r="C148" s="11" t="s">
        <v>3</v>
      </c>
      <c r="D148" s="128">
        <f t="shared" si="60"/>
        <v>0</v>
      </c>
      <c r="E148" s="128">
        <f t="shared" si="60"/>
        <v>0</v>
      </c>
      <c r="F148" s="128">
        <f t="shared" si="60"/>
        <v>0</v>
      </c>
      <c r="G148" s="128">
        <f t="shared" si="60"/>
        <v>0</v>
      </c>
      <c r="H148" s="104">
        <f t="shared" si="60"/>
        <v>0</v>
      </c>
    </row>
    <row r="149" spans="1:8" ht="15.6" x14ac:dyDescent="0.3">
      <c r="A149" s="556"/>
      <c r="B149" s="23" t="s">
        <v>81</v>
      </c>
      <c r="C149" s="11" t="s">
        <v>3</v>
      </c>
      <c r="D149" s="129">
        <f t="shared" ref="D149:G149" si="61">D145+D146-D147-D148</f>
        <v>0</v>
      </c>
      <c r="E149" s="130">
        <f t="shared" si="61"/>
        <v>0</v>
      </c>
      <c r="F149" s="130">
        <f t="shared" si="61"/>
        <v>0</v>
      </c>
      <c r="G149" s="130">
        <f t="shared" si="61"/>
        <v>0</v>
      </c>
      <c r="H149" s="104">
        <f t="shared" si="60"/>
        <v>0</v>
      </c>
    </row>
    <row r="150" spans="1:8" x14ac:dyDescent="0.3">
      <c r="A150" s="543" t="s">
        <v>80</v>
      </c>
      <c r="B150" s="544"/>
      <c r="C150" s="544"/>
      <c r="D150" s="544"/>
      <c r="E150" s="544"/>
      <c r="F150" s="544"/>
      <c r="G150" s="544"/>
      <c r="H150" s="546"/>
    </row>
    <row r="151" spans="1:8" ht="15.6" customHeight="1" x14ac:dyDescent="0.3">
      <c r="A151" s="615" t="s">
        <v>79</v>
      </c>
      <c r="B151" s="616"/>
      <c r="C151" s="616"/>
      <c r="D151" s="616"/>
      <c r="E151" s="616"/>
      <c r="F151" s="616"/>
      <c r="G151" s="616"/>
      <c r="H151" s="617"/>
    </row>
    <row r="152" spans="1:8" ht="15.6" x14ac:dyDescent="0.3">
      <c r="A152" s="605" t="s">
        <v>78</v>
      </c>
      <c r="B152" s="86" t="s">
        <v>63</v>
      </c>
      <c r="C152" s="11"/>
      <c r="D152" s="15"/>
      <c r="E152" s="15"/>
      <c r="F152" s="15"/>
      <c r="G152" s="172"/>
      <c r="H152" s="9"/>
    </row>
    <row r="153" spans="1:8" ht="15.6" x14ac:dyDescent="0.3">
      <c r="A153" s="606"/>
      <c r="B153" s="19" t="s">
        <v>73</v>
      </c>
      <c r="C153" s="11" t="s">
        <v>57</v>
      </c>
      <c r="D153" s="25">
        <f>Mangochi!M153+Mangochi!N153+Mangochi!O153</f>
        <v>0</v>
      </c>
      <c r="E153" s="25">
        <f>'Monkey Bay'!M153+'Monkey Bay'!N153+'Monkey Bay'!O153</f>
        <v>0</v>
      </c>
      <c r="F153" s="25">
        <f>Namwera!M153+Namwera!N153+Namwera!O153</f>
        <v>0</v>
      </c>
      <c r="G153" s="25">
        <f>Nkhudzi!M153+Nkhudzi!N153+Nkhudzi!O153</f>
        <v>0</v>
      </c>
      <c r="H153" s="18">
        <f t="shared" ref="H153:H192" si="62">SUM(D153:G153)</f>
        <v>0</v>
      </c>
    </row>
    <row r="154" spans="1:8" ht="15.6" x14ac:dyDescent="0.3">
      <c r="A154" s="606"/>
      <c r="B154" s="19" t="s">
        <v>72</v>
      </c>
      <c r="C154" s="11" t="s">
        <v>57</v>
      </c>
      <c r="D154" s="25">
        <f>Mangochi!M154+Mangochi!N154+Mangochi!O154</f>
        <v>0</v>
      </c>
      <c r="E154" s="25">
        <f>'Monkey Bay'!M154+'Monkey Bay'!N154+'Monkey Bay'!O154</f>
        <v>0</v>
      </c>
      <c r="F154" s="25">
        <f>Namwera!M154+Namwera!N154+Namwera!O154</f>
        <v>0</v>
      </c>
      <c r="G154" s="25">
        <f>Nkhudzi!M154+Nkhudzi!N154+Nkhudzi!O154</f>
        <v>0</v>
      </c>
      <c r="H154" s="18">
        <f t="shared" si="62"/>
        <v>0</v>
      </c>
    </row>
    <row r="155" spans="1:8" ht="15.6" x14ac:dyDescent="0.3">
      <c r="A155" s="606"/>
      <c r="B155" s="19" t="s">
        <v>53</v>
      </c>
      <c r="C155" s="11" t="s">
        <v>57</v>
      </c>
      <c r="D155" s="25">
        <f>Mangochi!M155+Mangochi!N155+Mangochi!O155</f>
        <v>0</v>
      </c>
      <c r="E155" s="25">
        <f>'Monkey Bay'!M155+'Monkey Bay'!N155+'Monkey Bay'!O155</f>
        <v>0</v>
      </c>
      <c r="F155" s="25">
        <f>Namwera!M155+Namwera!N155+Namwera!O155</f>
        <v>0</v>
      </c>
      <c r="G155" s="25">
        <f>Nkhudzi!M155+Nkhudzi!N155+Nkhudzi!O155</f>
        <v>0</v>
      </c>
      <c r="H155" s="18">
        <f t="shared" si="62"/>
        <v>0</v>
      </c>
    </row>
    <row r="156" spans="1:8" ht="15.6" x14ac:dyDescent="0.3">
      <c r="A156" s="606"/>
      <c r="B156" s="19" t="s">
        <v>71</v>
      </c>
      <c r="C156" s="11" t="s">
        <v>57</v>
      </c>
      <c r="D156" s="25">
        <f>Mangochi!M156+Mangochi!N156+Mangochi!O156</f>
        <v>0</v>
      </c>
      <c r="E156" s="25">
        <f>'Monkey Bay'!M156+'Monkey Bay'!N156+'Monkey Bay'!O156</f>
        <v>0</v>
      </c>
      <c r="F156" s="25">
        <f>Namwera!M156+Namwera!N156+Namwera!O156</f>
        <v>0</v>
      </c>
      <c r="G156" s="25">
        <f>Nkhudzi!M156+Nkhudzi!N156+Nkhudzi!O156</f>
        <v>0</v>
      </c>
      <c r="H156" s="18">
        <f t="shared" si="62"/>
        <v>0</v>
      </c>
    </row>
    <row r="157" spans="1:8" ht="15.6" x14ac:dyDescent="0.3">
      <c r="A157" s="606"/>
      <c r="B157" s="19" t="s">
        <v>52</v>
      </c>
      <c r="C157" s="11" t="s">
        <v>57</v>
      </c>
      <c r="D157" s="25">
        <f>Mangochi!M157+Mangochi!N157+Mangochi!O157</f>
        <v>0</v>
      </c>
      <c r="E157" s="25">
        <f>'Monkey Bay'!M157+'Monkey Bay'!N157+'Monkey Bay'!O157</f>
        <v>0</v>
      </c>
      <c r="F157" s="25">
        <f>Namwera!M157+Namwera!N157+Namwera!O157</f>
        <v>0</v>
      </c>
      <c r="G157" s="25">
        <f>Nkhudzi!M157+Nkhudzi!N157+Nkhudzi!O157</f>
        <v>0</v>
      </c>
      <c r="H157" s="18">
        <f t="shared" si="62"/>
        <v>0</v>
      </c>
    </row>
    <row r="158" spans="1:8" ht="15.6" x14ac:dyDescent="0.3">
      <c r="A158" s="606"/>
      <c r="B158" s="19" t="s">
        <v>51</v>
      </c>
      <c r="C158" s="11" t="s">
        <v>57</v>
      </c>
      <c r="D158" s="25">
        <f>Mangochi!M158+Mangochi!N158+Mangochi!O158</f>
        <v>0</v>
      </c>
      <c r="E158" s="25">
        <f>'Monkey Bay'!M158+'Monkey Bay'!N158+'Monkey Bay'!O158</f>
        <v>0</v>
      </c>
      <c r="F158" s="25">
        <f>Namwera!M158+Namwera!N158+Namwera!O158</f>
        <v>0</v>
      </c>
      <c r="G158" s="25">
        <f>Nkhudzi!M158+Nkhudzi!N158+Nkhudzi!O158</f>
        <v>0</v>
      </c>
      <c r="H158" s="18">
        <f t="shared" si="62"/>
        <v>0</v>
      </c>
    </row>
    <row r="159" spans="1:8" ht="15.6" x14ac:dyDescent="0.3">
      <c r="A159" s="606"/>
      <c r="B159" s="19" t="s">
        <v>62</v>
      </c>
      <c r="C159" s="11" t="s">
        <v>57</v>
      </c>
      <c r="D159" s="25">
        <f>Mangochi!M159+Mangochi!N159+Mangochi!O159</f>
        <v>0</v>
      </c>
      <c r="E159" s="25">
        <f>'Monkey Bay'!M159+'Monkey Bay'!N159+'Monkey Bay'!O159</f>
        <v>0</v>
      </c>
      <c r="F159" s="25">
        <f>Namwera!M159+Namwera!N159+Namwera!O159</f>
        <v>0</v>
      </c>
      <c r="G159" s="25">
        <f>Nkhudzi!M159+Nkhudzi!N159+Nkhudzi!O159</f>
        <v>0</v>
      </c>
      <c r="H159" s="18">
        <f t="shared" si="62"/>
        <v>0</v>
      </c>
    </row>
    <row r="160" spans="1:8" ht="15.6" x14ac:dyDescent="0.3">
      <c r="A160" s="606"/>
      <c r="B160" s="19" t="s">
        <v>50</v>
      </c>
      <c r="C160" s="11" t="s">
        <v>57</v>
      </c>
      <c r="D160" s="25">
        <f>Mangochi!M160+Mangochi!N160+Mangochi!O160</f>
        <v>0</v>
      </c>
      <c r="E160" s="25">
        <f>'Monkey Bay'!M160+'Monkey Bay'!N160+'Monkey Bay'!O160</f>
        <v>0</v>
      </c>
      <c r="F160" s="25">
        <f>Namwera!M160+Namwera!N160+Namwera!O160</f>
        <v>0</v>
      </c>
      <c r="G160" s="25">
        <f>Nkhudzi!M160+Nkhudzi!N160+Nkhudzi!O160</f>
        <v>0</v>
      </c>
      <c r="H160" s="18">
        <f t="shared" si="62"/>
        <v>0</v>
      </c>
    </row>
    <row r="161" spans="1:8" ht="15.6" x14ac:dyDescent="0.3">
      <c r="A161" s="606"/>
      <c r="B161" s="19" t="s">
        <v>49</v>
      </c>
      <c r="C161" s="11" t="s">
        <v>57</v>
      </c>
      <c r="D161" s="25">
        <f>Mangochi!M161+Mangochi!N161+Mangochi!O161</f>
        <v>0</v>
      </c>
      <c r="E161" s="25">
        <f>'Monkey Bay'!M161+'Monkey Bay'!N161+'Monkey Bay'!O161</f>
        <v>0</v>
      </c>
      <c r="F161" s="25">
        <f>Namwera!M161+Namwera!N161+Namwera!O161</f>
        <v>0</v>
      </c>
      <c r="G161" s="25">
        <f>Nkhudzi!M161+Nkhudzi!N161+Nkhudzi!O161</f>
        <v>0</v>
      </c>
      <c r="H161" s="18">
        <f t="shared" si="62"/>
        <v>0</v>
      </c>
    </row>
    <row r="162" spans="1:8" ht="15.6" x14ac:dyDescent="0.3">
      <c r="A162" s="606"/>
      <c r="B162" s="19" t="s">
        <v>77</v>
      </c>
      <c r="C162" s="11" t="s">
        <v>57</v>
      </c>
      <c r="D162" s="25">
        <f>Mangochi!M162+Mangochi!N162+Mangochi!O162</f>
        <v>0</v>
      </c>
      <c r="E162" s="25">
        <f>'Monkey Bay'!M162+'Monkey Bay'!N162+'Monkey Bay'!O162</f>
        <v>0</v>
      </c>
      <c r="F162" s="25">
        <f>Namwera!M162+Namwera!N162+Namwera!O162</f>
        <v>0</v>
      </c>
      <c r="G162" s="25">
        <f>Nkhudzi!M162+Nkhudzi!N162+Nkhudzi!O162</f>
        <v>0</v>
      </c>
      <c r="H162" s="18">
        <f t="shared" si="62"/>
        <v>0</v>
      </c>
    </row>
    <row r="163" spans="1:8" ht="15.6" x14ac:dyDescent="0.3">
      <c r="A163" s="606"/>
      <c r="B163" s="19" t="s">
        <v>69</v>
      </c>
      <c r="C163" s="11" t="s">
        <v>57</v>
      </c>
      <c r="D163" s="25">
        <f>Mangochi!M163+Mangochi!N163+Mangochi!O163</f>
        <v>0</v>
      </c>
      <c r="E163" s="25">
        <f>'Monkey Bay'!M163+'Monkey Bay'!N163+'Monkey Bay'!O163</f>
        <v>0</v>
      </c>
      <c r="F163" s="25">
        <f>Namwera!M163+Namwera!N163+Namwera!O163</f>
        <v>0</v>
      </c>
      <c r="G163" s="25">
        <f>Nkhudzi!M163+Nkhudzi!N163+Nkhudzi!O163</f>
        <v>0</v>
      </c>
      <c r="H163" s="18">
        <f t="shared" si="62"/>
        <v>0</v>
      </c>
    </row>
    <row r="164" spans="1:8" ht="15.6" x14ac:dyDescent="0.3">
      <c r="A164" s="606"/>
      <c r="B164" s="19" t="s">
        <v>68</v>
      </c>
      <c r="C164" s="11" t="s">
        <v>57</v>
      </c>
      <c r="D164" s="25">
        <f>Mangochi!M164+Mangochi!N164+Mangochi!O164</f>
        <v>0</v>
      </c>
      <c r="E164" s="25">
        <f>'Monkey Bay'!M164+'Monkey Bay'!N164+'Monkey Bay'!O164</f>
        <v>0</v>
      </c>
      <c r="F164" s="25">
        <f>Namwera!M164+Namwera!N164+Namwera!O164</f>
        <v>0</v>
      </c>
      <c r="G164" s="25">
        <f>Nkhudzi!M164+Nkhudzi!N164+Nkhudzi!O164</f>
        <v>0</v>
      </c>
      <c r="H164" s="18">
        <f t="shared" si="62"/>
        <v>0</v>
      </c>
    </row>
    <row r="165" spans="1:8" ht="15.6" x14ac:dyDescent="0.3">
      <c r="A165" s="607"/>
      <c r="B165" s="19" t="s">
        <v>76</v>
      </c>
      <c r="C165" s="11" t="s">
        <v>57</v>
      </c>
      <c r="D165" s="25">
        <f>Mangochi!M165+Mangochi!N165+Mangochi!O165</f>
        <v>0</v>
      </c>
      <c r="E165" s="25">
        <f>'Monkey Bay'!M165+'Monkey Bay'!N165+'Monkey Bay'!O165</f>
        <v>0</v>
      </c>
      <c r="F165" s="25">
        <f>Namwera!M165+Namwera!N165+Namwera!O165</f>
        <v>0</v>
      </c>
      <c r="G165" s="25">
        <f>Nkhudzi!M165+Nkhudzi!N165+Nkhudzi!O165</f>
        <v>0</v>
      </c>
      <c r="H165" s="18">
        <f t="shared" si="62"/>
        <v>0</v>
      </c>
    </row>
    <row r="166" spans="1:8" ht="15.6" x14ac:dyDescent="0.3">
      <c r="A166" s="605" t="s">
        <v>75</v>
      </c>
      <c r="B166" s="21" t="s">
        <v>63</v>
      </c>
      <c r="C166" s="11"/>
      <c r="D166" s="4"/>
      <c r="E166" s="4"/>
      <c r="F166" s="4"/>
      <c r="G166" s="4">
        <f>Nkhudzi!M166+Nkhudzi!N166+Nkhudzi!O166</f>
        <v>0</v>
      </c>
      <c r="H166" s="18">
        <f t="shared" si="62"/>
        <v>0</v>
      </c>
    </row>
    <row r="167" spans="1:8" ht="15.6" x14ac:dyDescent="0.3">
      <c r="A167" s="606"/>
      <c r="B167" s="19" t="s">
        <v>74</v>
      </c>
      <c r="C167" s="11" t="s">
        <v>57</v>
      </c>
      <c r="D167" s="25">
        <f>Mangochi!M167+Mangochi!N167+Mangochi!O167</f>
        <v>0</v>
      </c>
      <c r="E167" s="25">
        <f>'Monkey Bay'!M167+'Monkey Bay'!N167+'Monkey Bay'!O167</f>
        <v>0</v>
      </c>
      <c r="F167" s="25">
        <f>Namwera!M167+Namwera!N167+Namwera!O167</f>
        <v>0</v>
      </c>
      <c r="G167" s="25">
        <f>Nkhudzi!M167+Nkhudzi!N167+Nkhudzi!O167</f>
        <v>0</v>
      </c>
      <c r="H167" s="18">
        <f t="shared" si="62"/>
        <v>0</v>
      </c>
    </row>
    <row r="168" spans="1:8" ht="15.6" x14ac:dyDescent="0.3">
      <c r="A168" s="606"/>
      <c r="B168" s="19" t="s">
        <v>73</v>
      </c>
      <c r="C168" s="11" t="s">
        <v>57</v>
      </c>
      <c r="D168" s="25">
        <f>Mangochi!M168+Mangochi!N168+Mangochi!O168</f>
        <v>0</v>
      </c>
      <c r="E168" s="25">
        <f>'Monkey Bay'!M168+'Monkey Bay'!N168+'Monkey Bay'!O168</f>
        <v>0</v>
      </c>
      <c r="F168" s="25">
        <f>Namwera!M168+Namwera!N168+Namwera!O168</f>
        <v>0</v>
      </c>
      <c r="G168" s="25">
        <f>Nkhudzi!M168+Nkhudzi!N168+Nkhudzi!O168</f>
        <v>0</v>
      </c>
      <c r="H168" s="18">
        <f t="shared" si="62"/>
        <v>0</v>
      </c>
    </row>
    <row r="169" spans="1:8" ht="15.6" x14ac:dyDescent="0.3">
      <c r="A169" s="606"/>
      <c r="B169" s="19" t="s">
        <v>72</v>
      </c>
      <c r="C169" s="11" t="s">
        <v>57</v>
      </c>
      <c r="D169" s="25">
        <f>Mangochi!M169+Mangochi!N169+Mangochi!O169</f>
        <v>0</v>
      </c>
      <c r="E169" s="25">
        <f>'Monkey Bay'!M169+'Monkey Bay'!N169+'Monkey Bay'!O169</f>
        <v>0</v>
      </c>
      <c r="F169" s="25">
        <f>Namwera!M169+Namwera!N169+Namwera!O169</f>
        <v>0</v>
      </c>
      <c r="G169" s="25">
        <f>Nkhudzi!M169+Nkhudzi!N169+Nkhudzi!O169</f>
        <v>0</v>
      </c>
      <c r="H169" s="18">
        <f t="shared" si="62"/>
        <v>0</v>
      </c>
    </row>
    <row r="170" spans="1:8" ht="15.6" x14ac:dyDescent="0.3">
      <c r="A170" s="606"/>
      <c r="B170" s="19" t="s">
        <v>71</v>
      </c>
      <c r="C170" s="11" t="s">
        <v>57</v>
      </c>
      <c r="D170" s="25">
        <f>Mangochi!M170+Mangochi!N170+Mangochi!O170</f>
        <v>0</v>
      </c>
      <c r="E170" s="25">
        <f>'Monkey Bay'!M170+'Monkey Bay'!N170+'Monkey Bay'!O170</f>
        <v>0</v>
      </c>
      <c r="F170" s="25">
        <f>Namwera!M170+Namwera!N170+Namwera!O170</f>
        <v>0</v>
      </c>
      <c r="G170" s="25">
        <f>Nkhudzi!M170+Nkhudzi!N170+Nkhudzi!O170</f>
        <v>0</v>
      </c>
      <c r="H170" s="18">
        <f t="shared" si="62"/>
        <v>0</v>
      </c>
    </row>
    <row r="171" spans="1:8" ht="15.6" x14ac:dyDescent="0.3">
      <c r="A171" s="606"/>
      <c r="B171" s="19" t="s">
        <v>52</v>
      </c>
      <c r="C171" s="11" t="s">
        <v>57</v>
      </c>
      <c r="D171" s="25">
        <f>Mangochi!M171+Mangochi!N171+Mangochi!O171</f>
        <v>0</v>
      </c>
      <c r="E171" s="25">
        <f>'Monkey Bay'!M171+'Monkey Bay'!N171+'Monkey Bay'!O171</f>
        <v>0</v>
      </c>
      <c r="F171" s="25">
        <f>Namwera!M171+Namwera!N171+Namwera!O171</f>
        <v>0</v>
      </c>
      <c r="G171" s="25">
        <f>Nkhudzi!M171+Nkhudzi!N171+Nkhudzi!O171</f>
        <v>0</v>
      </c>
      <c r="H171" s="18">
        <f t="shared" si="62"/>
        <v>0</v>
      </c>
    </row>
    <row r="172" spans="1:8" ht="15.6" x14ac:dyDescent="0.3">
      <c r="A172" s="606"/>
      <c r="B172" s="19" t="s">
        <v>62</v>
      </c>
      <c r="C172" s="11" t="s">
        <v>57</v>
      </c>
      <c r="D172" s="25">
        <f>Mangochi!M172+Mangochi!N172+Mangochi!O172</f>
        <v>0</v>
      </c>
      <c r="E172" s="25">
        <f>'Monkey Bay'!M172+'Monkey Bay'!N172+'Monkey Bay'!O172</f>
        <v>0</v>
      </c>
      <c r="F172" s="25">
        <f>Namwera!M172+Namwera!N172+Namwera!O172</f>
        <v>0</v>
      </c>
      <c r="G172" s="25">
        <f>Nkhudzi!M172+Nkhudzi!N172+Nkhudzi!O172</f>
        <v>0</v>
      </c>
      <c r="H172" s="18">
        <f t="shared" si="62"/>
        <v>0</v>
      </c>
    </row>
    <row r="173" spans="1:8" ht="15.6" x14ac:dyDescent="0.3">
      <c r="A173" s="606"/>
      <c r="B173" s="19" t="s">
        <v>61</v>
      </c>
      <c r="C173" s="11" t="s">
        <v>57</v>
      </c>
      <c r="D173" s="25">
        <f>Mangochi!M173+Mangochi!N173+Mangochi!O173</f>
        <v>0</v>
      </c>
      <c r="E173" s="25">
        <f>'Monkey Bay'!M173+'Monkey Bay'!N173+'Monkey Bay'!O173</f>
        <v>0</v>
      </c>
      <c r="F173" s="25">
        <f>Namwera!M173+Namwera!N173+Namwera!O173</f>
        <v>0</v>
      </c>
      <c r="G173" s="25">
        <f>Nkhudzi!M173+Nkhudzi!N173+Nkhudzi!O173</f>
        <v>0</v>
      </c>
      <c r="H173" s="18">
        <f t="shared" si="62"/>
        <v>0</v>
      </c>
    </row>
    <row r="174" spans="1:8" ht="15.6" x14ac:dyDescent="0.3">
      <c r="A174" s="606"/>
      <c r="B174" s="19" t="s">
        <v>60</v>
      </c>
      <c r="C174" s="11" t="s">
        <v>57</v>
      </c>
      <c r="D174" s="25">
        <f>Mangochi!M174+Mangochi!N174+Mangochi!O174</f>
        <v>0</v>
      </c>
      <c r="E174" s="25">
        <f>'Monkey Bay'!M174+'Monkey Bay'!N174+'Monkey Bay'!O174</f>
        <v>0</v>
      </c>
      <c r="F174" s="25">
        <f>Namwera!M174+Namwera!N174+Namwera!O174</f>
        <v>0</v>
      </c>
      <c r="G174" s="25">
        <f>Nkhudzi!M174+Nkhudzi!N174+Nkhudzi!O174</f>
        <v>0</v>
      </c>
      <c r="H174" s="18">
        <f t="shared" si="62"/>
        <v>0</v>
      </c>
    </row>
    <row r="175" spans="1:8" ht="15.6" x14ac:dyDescent="0.3">
      <c r="A175" s="607"/>
      <c r="B175" s="19" t="s">
        <v>69</v>
      </c>
      <c r="C175" s="11" t="s">
        <v>57</v>
      </c>
      <c r="D175" s="25">
        <f>Mangochi!M175+Mangochi!N175+Mangochi!O175</f>
        <v>0</v>
      </c>
      <c r="E175" s="25">
        <f>'Monkey Bay'!M175+'Monkey Bay'!N175+'Monkey Bay'!O175</f>
        <v>0</v>
      </c>
      <c r="F175" s="25">
        <f>Namwera!M175+Namwera!N175+Namwera!O175</f>
        <v>0</v>
      </c>
      <c r="G175" s="25">
        <f>Nkhudzi!M175+Nkhudzi!N175+Nkhudzi!O175</f>
        <v>0</v>
      </c>
      <c r="H175" s="18">
        <f t="shared" si="62"/>
        <v>0</v>
      </c>
    </row>
    <row r="176" spans="1:8" ht="15.6" x14ac:dyDescent="0.3">
      <c r="A176" s="605" t="s">
        <v>70</v>
      </c>
      <c r="B176" s="21" t="s">
        <v>63</v>
      </c>
      <c r="C176" s="11"/>
      <c r="D176" s="4"/>
      <c r="E176" s="4"/>
      <c r="F176" s="4"/>
      <c r="G176" s="4">
        <f>Nkhudzi!M176+Nkhudzi!N176+Nkhudzi!O176</f>
        <v>0</v>
      </c>
      <c r="H176" s="18">
        <f t="shared" si="62"/>
        <v>0</v>
      </c>
    </row>
    <row r="177" spans="1:8" ht="15.6" x14ac:dyDescent="0.3">
      <c r="A177" s="606"/>
      <c r="B177" s="19" t="s">
        <v>60</v>
      </c>
      <c r="C177" s="11" t="s">
        <v>57</v>
      </c>
      <c r="D177" s="25">
        <f>Mangochi!M177+Mangochi!N177+Mangochi!O177</f>
        <v>0</v>
      </c>
      <c r="E177" s="25">
        <f>'Monkey Bay'!M177+'Monkey Bay'!N177+'Monkey Bay'!O177</f>
        <v>0</v>
      </c>
      <c r="F177" s="25">
        <f>Namwera!M177+Namwera!N177+Namwera!O177</f>
        <v>0</v>
      </c>
      <c r="G177" s="25">
        <f>Nkhudzi!M177+Nkhudzi!N177+Nkhudzi!O177</f>
        <v>0</v>
      </c>
      <c r="H177" s="18">
        <f t="shared" si="62"/>
        <v>0</v>
      </c>
    </row>
    <row r="178" spans="1:8" ht="15.6" x14ac:dyDescent="0.3">
      <c r="A178" s="606"/>
      <c r="B178" s="19" t="s">
        <v>69</v>
      </c>
      <c r="C178" s="11" t="s">
        <v>57</v>
      </c>
      <c r="D178" s="25">
        <f>Mangochi!M178+Mangochi!N178+Mangochi!O178</f>
        <v>0</v>
      </c>
      <c r="E178" s="25">
        <f>'Monkey Bay'!M178+'Monkey Bay'!N178+'Monkey Bay'!O178</f>
        <v>0</v>
      </c>
      <c r="F178" s="25">
        <f>Namwera!M178+Namwera!N178+Namwera!O178</f>
        <v>0</v>
      </c>
      <c r="G178" s="25">
        <f>Nkhudzi!M178+Nkhudzi!N178+Nkhudzi!O178</f>
        <v>0</v>
      </c>
      <c r="H178" s="18">
        <f t="shared" si="62"/>
        <v>0</v>
      </c>
    </row>
    <row r="179" spans="1:8" ht="15.6" x14ac:dyDescent="0.3">
      <c r="A179" s="606"/>
      <c r="B179" s="19" t="s">
        <v>68</v>
      </c>
      <c r="C179" s="11" t="s">
        <v>57</v>
      </c>
      <c r="D179" s="25">
        <f>Mangochi!M179+Mangochi!N179+Mangochi!O179</f>
        <v>0</v>
      </c>
      <c r="E179" s="25">
        <f>'Monkey Bay'!M179+'Monkey Bay'!N179+'Monkey Bay'!O179</f>
        <v>0</v>
      </c>
      <c r="F179" s="25">
        <f>Namwera!M179+Namwera!N179+Namwera!O179</f>
        <v>0</v>
      </c>
      <c r="G179" s="25">
        <f>Nkhudzi!M179+Nkhudzi!N179+Nkhudzi!O179</f>
        <v>0</v>
      </c>
      <c r="H179" s="18">
        <f t="shared" si="62"/>
        <v>0</v>
      </c>
    </row>
    <row r="180" spans="1:8" ht="15.6" x14ac:dyDescent="0.3">
      <c r="A180" s="606"/>
      <c r="B180" s="19" t="s">
        <v>67</v>
      </c>
      <c r="C180" s="11" t="s">
        <v>57</v>
      </c>
      <c r="D180" s="25">
        <f>Mangochi!M180+Mangochi!N180+Mangochi!O180</f>
        <v>0</v>
      </c>
      <c r="E180" s="25">
        <f>'Monkey Bay'!M180+'Monkey Bay'!N180+'Monkey Bay'!O180</f>
        <v>0</v>
      </c>
      <c r="F180" s="25">
        <f>Namwera!M180+Namwera!N180+Namwera!O180</f>
        <v>0</v>
      </c>
      <c r="G180" s="25">
        <f>Nkhudzi!M180+Nkhudzi!N180+Nkhudzi!O180</f>
        <v>0</v>
      </c>
      <c r="H180" s="18">
        <f t="shared" si="62"/>
        <v>0</v>
      </c>
    </row>
    <row r="181" spans="1:8" ht="15.6" x14ac:dyDescent="0.3">
      <c r="A181" s="606"/>
      <c r="B181" s="19" t="s">
        <v>66</v>
      </c>
      <c r="C181" s="11" t="s">
        <v>57</v>
      </c>
      <c r="D181" s="25">
        <f>Mangochi!M181+Mangochi!N181+Mangochi!O181</f>
        <v>0</v>
      </c>
      <c r="E181" s="25">
        <f>'Monkey Bay'!M181+'Monkey Bay'!N181+'Monkey Bay'!O181</f>
        <v>0</v>
      </c>
      <c r="F181" s="25">
        <f>Namwera!M181+Namwera!N181+Namwera!O181</f>
        <v>0</v>
      </c>
      <c r="G181" s="25">
        <f>Nkhudzi!M181+Nkhudzi!N181+Nkhudzi!O181</f>
        <v>0</v>
      </c>
      <c r="H181" s="18">
        <f t="shared" si="62"/>
        <v>0</v>
      </c>
    </row>
    <row r="182" spans="1:8" ht="15.6" x14ac:dyDescent="0.3">
      <c r="A182" s="607"/>
      <c r="B182" s="19" t="s">
        <v>65</v>
      </c>
      <c r="C182" s="11" t="s">
        <v>57</v>
      </c>
      <c r="D182" s="25">
        <f>Mangochi!M182+Mangochi!N182+Mangochi!O182</f>
        <v>0</v>
      </c>
      <c r="E182" s="25">
        <f>'Monkey Bay'!M182+'Monkey Bay'!N182+'Monkey Bay'!O182</f>
        <v>0</v>
      </c>
      <c r="F182" s="25">
        <f>Namwera!M182+Namwera!N182+Namwera!O182</f>
        <v>0</v>
      </c>
      <c r="G182" s="25">
        <f>Nkhudzi!M182+Nkhudzi!N182+Nkhudzi!O182</f>
        <v>0</v>
      </c>
      <c r="H182" s="18">
        <f t="shared" si="62"/>
        <v>0</v>
      </c>
    </row>
    <row r="183" spans="1:8" ht="15.6" x14ac:dyDescent="0.3">
      <c r="A183" s="605" t="s">
        <v>211</v>
      </c>
      <c r="B183" s="21" t="s">
        <v>63</v>
      </c>
      <c r="C183" s="11"/>
      <c r="D183" s="4"/>
      <c r="E183" s="4"/>
      <c r="F183" s="4"/>
      <c r="G183" s="4">
        <f>Nkhudzi!M183+Nkhudzi!N183+Nkhudzi!O183</f>
        <v>0</v>
      </c>
      <c r="H183" s="18">
        <f t="shared" si="62"/>
        <v>0</v>
      </c>
    </row>
    <row r="184" spans="1:8" ht="15.6" x14ac:dyDescent="0.3">
      <c r="A184" s="606"/>
      <c r="B184" s="19" t="s">
        <v>73</v>
      </c>
      <c r="C184" s="11"/>
      <c r="D184" s="25">
        <f>Mangochi!J184+Mangochi!K184+Mangochi!L184</f>
        <v>0</v>
      </c>
      <c r="E184" s="25">
        <f>Mangochi!K184+Mangochi!L184+Mangochi!M184</f>
        <v>0</v>
      </c>
      <c r="F184" s="25">
        <f>Mangochi!L184+Mangochi!M184+Mangochi!N184</f>
        <v>0</v>
      </c>
      <c r="G184" s="25">
        <f>Nkhudzi!M184+Nkhudzi!N184+Nkhudzi!O184</f>
        <v>0</v>
      </c>
      <c r="H184" s="18">
        <f t="shared" si="62"/>
        <v>0</v>
      </c>
    </row>
    <row r="185" spans="1:8" ht="15.6" x14ac:dyDescent="0.3">
      <c r="A185" s="606"/>
      <c r="B185" s="19" t="s">
        <v>72</v>
      </c>
      <c r="C185" s="11"/>
      <c r="D185" s="25">
        <f>Mangochi!J185+Mangochi!K185+Mangochi!L185</f>
        <v>0</v>
      </c>
      <c r="E185" s="25">
        <f>Mangochi!K185+Mangochi!L185+Mangochi!M185</f>
        <v>0</v>
      </c>
      <c r="F185" s="25">
        <f>Mangochi!L185+Mangochi!M185+Mangochi!N185</f>
        <v>0</v>
      </c>
      <c r="G185" s="25">
        <f>Nkhudzi!M185+Nkhudzi!N185+Nkhudzi!O185</f>
        <v>0</v>
      </c>
      <c r="H185" s="18">
        <f t="shared" si="62"/>
        <v>0</v>
      </c>
    </row>
    <row r="186" spans="1:8" ht="15.6" x14ac:dyDescent="0.3">
      <c r="A186" s="606"/>
      <c r="B186" s="19" t="s">
        <v>53</v>
      </c>
      <c r="C186" s="11"/>
      <c r="D186" s="25">
        <f>Mangochi!J186+Mangochi!K186+Mangochi!L186</f>
        <v>0</v>
      </c>
      <c r="E186" s="25">
        <f>Mangochi!K186+Mangochi!L186+Mangochi!M186</f>
        <v>0</v>
      </c>
      <c r="F186" s="25">
        <f>Mangochi!L186+Mangochi!M186+Mangochi!N186</f>
        <v>0</v>
      </c>
      <c r="G186" s="25">
        <f>Nkhudzi!M186+Nkhudzi!N186+Nkhudzi!O186</f>
        <v>0</v>
      </c>
      <c r="H186" s="18">
        <f t="shared" si="62"/>
        <v>0</v>
      </c>
    </row>
    <row r="187" spans="1:8" ht="15.6" x14ac:dyDescent="0.3">
      <c r="A187" s="607"/>
      <c r="B187" s="19" t="s">
        <v>52</v>
      </c>
      <c r="C187" s="11"/>
      <c r="D187" s="25">
        <f>Mangochi!J187+Mangochi!K187+Mangochi!L187</f>
        <v>0</v>
      </c>
      <c r="E187" s="25">
        <f>Mangochi!K187+Mangochi!L187+Mangochi!M187</f>
        <v>0</v>
      </c>
      <c r="F187" s="25">
        <f>Mangochi!L187+Mangochi!M187+Mangochi!N187</f>
        <v>0</v>
      </c>
      <c r="G187" s="25">
        <f>Nkhudzi!M187+Nkhudzi!N187+Nkhudzi!O187</f>
        <v>0</v>
      </c>
      <c r="H187" s="18">
        <f t="shared" si="62"/>
        <v>0</v>
      </c>
    </row>
    <row r="188" spans="1:8" ht="15.6" x14ac:dyDescent="0.3">
      <c r="A188" s="605" t="s">
        <v>64</v>
      </c>
      <c r="B188" s="21" t="s">
        <v>63</v>
      </c>
      <c r="C188" s="11"/>
      <c r="D188" s="4"/>
      <c r="E188" s="4"/>
      <c r="F188" s="4"/>
      <c r="G188" s="4">
        <f>Nkhudzi!M188+Nkhudzi!N188+Nkhudzi!O188</f>
        <v>0</v>
      </c>
      <c r="H188" s="18">
        <f t="shared" si="62"/>
        <v>0</v>
      </c>
    </row>
    <row r="189" spans="1:8" ht="15.6" x14ac:dyDescent="0.3">
      <c r="A189" s="606"/>
      <c r="B189" s="20" t="s">
        <v>52</v>
      </c>
      <c r="C189" s="11" t="s">
        <v>57</v>
      </c>
      <c r="D189" s="4">
        <f>Mangochi!J189+Mangochi!K189+Mangochi!L189</f>
        <v>0</v>
      </c>
      <c r="E189" s="4">
        <f>Mangochi!K189+Mangochi!L189+Mangochi!M189</f>
        <v>0</v>
      </c>
      <c r="F189" s="4">
        <f>Mangochi!L189+Mangochi!M189+Mangochi!N189</f>
        <v>0</v>
      </c>
      <c r="G189" s="25">
        <f>Nkhudzi!M189+Nkhudzi!N189+Nkhudzi!O189</f>
        <v>0</v>
      </c>
      <c r="H189" s="18">
        <f t="shared" si="62"/>
        <v>0</v>
      </c>
    </row>
    <row r="190" spans="1:8" ht="15.6" x14ac:dyDescent="0.3">
      <c r="A190" s="606"/>
      <c r="B190" s="19" t="s">
        <v>62</v>
      </c>
      <c r="C190" s="11" t="s">
        <v>57</v>
      </c>
      <c r="D190" s="4">
        <f>Mangochi!J190+Mangochi!K190+Mangochi!L190</f>
        <v>0</v>
      </c>
      <c r="E190" s="4">
        <f>Mangochi!K190+Mangochi!L190+Mangochi!M190</f>
        <v>0</v>
      </c>
      <c r="F190" s="4">
        <f>Mangochi!L190+Mangochi!M190+Mangochi!N190</f>
        <v>0</v>
      </c>
      <c r="G190" s="25">
        <f>Nkhudzi!M190+Nkhudzi!N190+Nkhudzi!O190</f>
        <v>0</v>
      </c>
      <c r="H190" s="18">
        <f t="shared" si="62"/>
        <v>0</v>
      </c>
    </row>
    <row r="191" spans="1:8" ht="15.6" x14ac:dyDescent="0.3">
      <c r="A191" s="606"/>
      <c r="B191" s="19" t="s">
        <v>61</v>
      </c>
      <c r="C191" s="11" t="s">
        <v>57</v>
      </c>
      <c r="D191" s="4">
        <f>Mangochi!J191+Mangochi!K191+Mangochi!L191</f>
        <v>0</v>
      </c>
      <c r="E191" s="4">
        <f>Mangochi!K191+Mangochi!L191+Mangochi!M191</f>
        <v>0</v>
      </c>
      <c r="F191" s="4">
        <f>Mangochi!L191+Mangochi!M191+Mangochi!N191</f>
        <v>0</v>
      </c>
      <c r="G191" s="25">
        <f>Nkhudzi!M191+Nkhudzi!N191+Nkhudzi!O191</f>
        <v>0</v>
      </c>
      <c r="H191" s="18">
        <f t="shared" si="62"/>
        <v>0</v>
      </c>
    </row>
    <row r="192" spans="1:8" ht="15.6" x14ac:dyDescent="0.3">
      <c r="A192" s="607"/>
      <c r="B192" s="19" t="s">
        <v>60</v>
      </c>
      <c r="C192" s="11" t="s">
        <v>57</v>
      </c>
      <c r="D192" s="4">
        <f>Mangochi!J192+Mangochi!K192+Mangochi!L192</f>
        <v>0</v>
      </c>
      <c r="E192" s="4">
        <f>Mangochi!K192+Mangochi!L192+Mangochi!M192</f>
        <v>0</v>
      </c>
      <c r="F192" s="4">
        <f>Mangochi!L192+Mangochi!M192+Mangochi!N192</f>
        <v>0</v>
      </c>
      <c r="G192" s="25">
        <f>Nkhudzi!M192+Nkhudzi!N192+Nkhudzi!O192</f>
        <v>0</v>
      </c>
      <c r="H192" s="18">
        <f t="shared" si="62"/>
        <v>0</v>
      </c>
    </row>
    <row r="193" spans="1:8" ht="15.6" x14ac:dyDescent="0.3">
      <c r="A193" s="608" t="s">
        <v>59</v>
      </c>
      <c r="B193" s="609"/>
      <c r="C193" s="11"/>
      <c r="D193" s="10">
        <f>SUM(D153:D192)</f>
        <v>0</v>
      </c>
      <c r="E193" s="10">
        <f t="shared" ref="E193:H193" si="63">SUM(E153:E192)</f>
        <v>0</v>
      </c>
      <c r="F193" s="10">
        <f t="shared" si="63"/>
        <v>0</v>
      </c>
      <c r="G193" s="10">
        <f t="shared" si="63"/>
        <v>0</v>
      </c>
      <c r="H193" s="97">
        <f t="shared" si="63"/>
        <v>0</v>
      </c>
    </row>
    <row r="194" spans="1:8" ht="15.6" x14ac:dyDescent="0.3">
      <c r="A194" s="610" t="s">
        <v>58</v>
      </c>
      <c r="B194" s="611"/>
      <c r="C194" s="11" t="s">
        <v>57</v>
      </c>
      <c r="D194" s="25">
        <f>Mangochi!M194+Mangochi!N194+Mangochi!O194</f>
        <v>0</v>
      </c>
      <c r="E194" s="25">
        <f>'Monkey Bay'!M194+'Monkey Bay'!N194+'Monkey Bay'!O194</f>
        <v>0</v>
      </c>
      <c r="F194" s="25">
        <f>Namwera!M194+Namwera!N194+Namwera!O194</f>
        <v>0</v>
      </c>
      <c r="G194" s="25">
        <f>Nkhudzi!M194+Nkhudzi!N194+Nkhudzi!O194</f>
        <v>0</v>
      </c>
      <c r="H194" s="9">
        <f t="shared" ref="H194:H195" si="64">SUM(D194:G194)</f>
        <v>0</v>
      </c>
    </row>
    <row r="195" spans="1:8" ht="15.6" x14ac:dyDescent="0.3">
      <c r="A195" s="612"/>
      <c r="B195" s="613"/>
      <c r="C195" s="16" t="s">
        <v>55</v>
      </c>
      <c r="D195" s="25">
        <f>Mangochi!M195+Mangochi!N195+Mangochi!O195</f>
        <v>0</v>
      </c>
      <c r="E195" s="25">
        <f>'Monkey Bay'!M195+'Monkey Bay'!N195+'Monkey Bay'!O195</f>
        <v>0</v>
      </c>
      <c r="F195" s="25">
        <f>Namwera!M195+Namwera!N195+Namwera!O195</f>
        <v>0</v>
      </c>
      <c r="G195" s="25">
        <f>Nkhudzi!M195+Nkhudzi!N195+Nkhudzi!O195</f>
        <v>0</v>
      </c>
      <c r="H195" s="9">
        <f t="shared" si="64"/>
        <v>0</v>
      </c>
    </row>
    <row r="196" spans="1:8" ht="15.6" x14ac:dyDescent="0.3">
      <c r="A196" s="193" t="s">
        <v>204</v>
      </c>
      <c r="B196" s="197"/>
      <c r="C196" s="16" t="s">
        <v>55</v>
      </c>
      <c r="D196" s="25">
        <f>Mangochi!M196+Mangochi!N196+Mangochi!O196</f>
        <v>0</v>
      </c>
      <c r="E196" s="25">
        <f>'Monkey Bay'!M196+'Monkey Bay'!N196+'Monkey Bay'!O196</f>
        <v>0</v>
      </c>
      <c r="F196" s="25">
        <f>Namwera!M196+Namwera!N196+Namwera!O196</f>
        <v>0</v>
      </c>
      <c r="G196" s="25">
        <f>Nkhudzi!M196+Nkhudzi!N196+Nkhudzi!O196</f>
        <v>0</v>
      </c>
      <c r="H196" s="9"/>
    </row>
    <row r="197" spans="1:8" ht="15.6" x14ac:dyDescent="0.3">
      <c r="A197" s="549" t="s">
        <v>56</v>
      </c>
      <c r="B197" s="550"/>
      <c r="C197" s="16" t="s">
        <v>55</v>
      </c>
      <c r="D197" s="25">
        <f>Mangochi!M197+Mangochi!N197+Mangochi!O197</f>
        <v>0</v>
      </c>
      <c r="E197" s="25">
        <f>'Monkey Bay'!M197+'Monkey Bay'!N197+'Monkey Bay'!O197</f>
        <v>0</v>
      </c>
      <c r="F197" s="25">
        <f>Namwera!M197+Namwera!N197+Namwera!O197</f>
        <v>0</v>
      </c>
      <c r="G197" s="25">
        <f>Nkhudzi!M197+Nkhudzi!N197+Nkhudzi!O197</f>
        <v>0</v>
      </c>
      <c r="H197" s="9">
        <f t="shared" ref="H197" si="65">SUM(D197:G197)</f>
        <v>0</v>
      </c>
    </row>
    <row r="198" spans="1:8" x14ac:dyDescent="0.3">
      <c r="A198" s="543" t="s">
        <v>205</v>
      </c>
      <c r="B198" s="544"/>
      <c r="C198" s="544"/>
      <c r="D198" s="544"/>
      <c r="E198" s="544"/>
      <c r="F198" s="544"/>
      <c r="G198" s="544"/>
      <c r="H198" s="546"/>
    </row>
    <row r="199" spans="1:8" ht="15.6" x14ac:dyDescent="0.3">
      <c r="A199" s="610" t="s">
        <v>54</v>
      </c>
      <c r="B199" s="190" t="s">
        <v>53</v>
      </c>
      <c r="C199" s="11" t="s">
        <v>47</v>
      </c>
      <c r="D199" s="25">
        <f>Mangochi!M199+Mangochi!N199+Mangochi!O199</f>
        <v>0</v>
      </c>
      <c r="E199" s="25">
        <f>'Monkey Bay'!M199+'Monkey Bay'!N199+'Monkey Bay'!O199</f>
        <v>0</v>
      </c>
      <c r="F199" s="25">
        <f>Namwera!M199+Namwera!N199+Namwera!O199</f>
        <v>0</v>
      </c>
      <c r="G199" s="25">
        <f>Nkhudzi!M199+Nkhudzi!N199+Nkhudzi!O199</f>
        <v>0</v>
      </c>
      <c r="H199" s="9">
        <f t="shared" ref="H199:H203" si="66">SUM(D199:G199)</f>
        <v>0</v>
      </c>
    </row>
    <row r="200" spans="1:8" ht="15.6" x14ac:dyDescent="0.3">
      <c r="A200" s="614"/>
      <c r="B200" s="190" t="s">
        <v>52</v>
      </c>
      <c r="C200" s="11" t="s">
        <v>47</v>
      </c>
      <c r="D200" s="25">
        <f>Mangochi!M200+Mangochi!N200+Mangochi!O200</f>
        <v>0</v>
      </c>
      <c r="E200" s="25">
        <f>'Monkey Bay'!M200+'Monkey Bay'!N200+'Monkey Bay'!O200</f>
        <v>0</v>
      </c>
      <c r="F200" s="25">
        <f>Namwera!M200+Namwera!N200+Namwera!O200</f>
        <v>0</v>
      </c>
      <c r="G200" s="25">
        <f>Nkhudzi!M200+Nkhudzi!N200+Nkhudzi!O200</f>
        <v>0</v>
      </c>
      <c r="H200" s="9">
        <f t="shared" si="66"/>
        <v>0</v>
      </c>
    </row>
    <row r="201" spans="1:8" ht="15.6" x14ac:dyDescent="0.3">
      <c r="A201" s="614"/>
      <c r="B201" s="190" t="s">
        <v>51</v>
      </c>
      <c r="C201" s="11" t="s">
        <v>47</v>
      </c>
      <c r="D201" s="25">
        <f>Mangochi!M201+Mangochi!N201+Mangochi!O201</f>
        <v>0</v>
      </c>
      <c r="E201" s="25">
        <f>'Monkey Bay'!M201+'Monkey Bay'!N201+'Monkey Bay'!O201</f>
        <v>0</v>
      </c>
      <c r="F201" s="25">
        <f>Namwera!M201+Namwera!N201+Namwera!O201</f>
        <v>0</v>
      </c>
      <c r="G201" s="25">
        <f>Nkhudzi!M201+Nkhudzi!N201+Nkhudzi!O201</f>
        <v>0</v>
      </c>
      <c r="H201" s="9">
        <f t="shared" si="66"/>
        <v>0</v>
      </c>
    </row>
    <row r="202" spans="1:8" ht="15.6" x14ac:dyDescent="0.3">
      <c r="A202" s="614"/>
      <c r="B202" s="190" t="s">
        <v>50</v>
      </c>
      <c r="C202" s="11" t="s">
        <v>47</v>
      </c>
      <c r="D202" s="25">
        <f>Mangochi!M202+Mangochi!N202+Mangochi!O202</f>
        <v>0</v>
      </c>
      <c r="E202" s="25">
        <f>'Monkey Bay'!M202+'Monkey Bay'!N202+'Monkey Bay'!O202</f>
        <v>0</v>
      </c>
      <c r="F202" s="25">
        <f>Namwera!M202+Namwera!N202+Namwera!O202</f>
        <v>0</v>
      </c>
      <c r="G202" s="25">
        <f>Nkhudzi!M202+Nkhudzi!N202+Nkhudzi!O202</f>
        <v>0</v>
      </c>
      <c r="H202" s="9">
        <f t="shared" si="66"/>
        <v>0</v>
      </c>
    </row>
    <row r="203" spans="1:8" ht="15.6" x14ac:dyDescent="0.3">
      <c r="A203" s="612"/>
      <c r="B203" s="190" t="s">
        <v>49</v>
      </c>
      <c r="C203" s="11" t="s">
        <v>47</v>
      </c>
      <c r="D203" s="25">
        <f>Mangochi!M203+Mangochi!N203+Mangochi!O203</f>
        <v>0</v>
      </c>
      <c r="E203" s="25">
        <f>'Monkey Bay'!M203+'Monkey Bay'!N203+'Monkey Bay'!O203</f>
        <v>0</v>
      </c>
      <c r="F203" s="25">
        <f>Namwera!M203+Namwera!N203+Namwera!O203</f>
        <v>0</v>
      </c>
      <c r="G203" s="25">
        <f>Nkhudzi!M203+Nkhudzi!N203+Nkhudzi!O203</f>
        <v>0</v>
      </c>
      <c r="H203" s="9">
        <f t="shared" si="66"/>
        <v>0</v>
      </c>
    </row>
    <row r="204" spans="1:8" ht="15.6" x14ac:dyDescent="0.3">
      <c r="A204" s="80" t="s">
        <v>48</v>
      </c>
      <c r="B204" s="190"/>
      <c r="C204" s="11" t="s">
        <v>47</v>
      </c>
      <c r="D204" s="15">
        <f t="shared" ref="D204:F204" si="67">SUM(D199:D203)</f>
        <v>0</v>
      </c>
      <c r="E204" s="15">
        <f t="shared" si="67"/>
        <v>0</v>
      </c>
      <c r="F204" s="15">
        <f t="shared" si="67"/>
        <v>0</v>
      </c>
      <c r="G204" s="15">
        <f t="shared" ref="G204" si="68">SUM(G199:G203)</f>
        <v>0</v>
      </c>
      <c r="H204" s="105">
        <f t="shared" ref="H204" si="69">SUM(D204:F204)</f>
        <v>0</v>
      </c>
    </row>
    <row r="205" spans="1:8" s="2" customFormat="1" x14ac:dyDescent="0.3">
      <c r="A205" s="543" t="s">
        <v>46</v>
      </c>
      <c r="B205" s="544"/>
      <c r="C205" s="544"/>
      <c r="D205" s="544"/>
      <c r="E205" s="544"/>
      <c r="F205" s="544"/>
      <c r="G205" s="544"/>
      <c r="H205" s="546"/>
    </row>
    <row r="206" spans="1:8" ht="15.6" x14ac:dyDescent="0.3">
      <c r="A206" s="549" t="s">
        <v>43</v>
      </c>
      <c r="B206" s="550"/>
      <c r="C206" s="11" t="s">
        <v>31</v>
      </c>
      <c r="D206" s="15">
        <f>Mangochi!M206+Mangochi!N206+Mangochi!O206</f>
        <v>0</v>
      </c>
      <c r="E206" s="15">
        <f>'Monkey Bay'!M206+'Monkey Bay'!N206+'Monkey Bay'!O206</f>
        <v>0</v>
      </c>
      <c r="F206" s="15">
        <f>Namwera!M206+Namwera!N206+Namwera!O206</f>
        <v>0</v>
      </c>
      <c r="G206" s="15">
        <f>Nkhudzi!M206+Nkhudzi!N206+Nkhudzi!O206</f>
        <v>0</v>
      </c>
      <c r="H206" s="9">
        <f t="shared" ref="H206:H209" si="70">SUM(D206:G206)</f>
        <v>0</v>
      </c>
    </row>
    <row r="207" spans="1:8" ht="15.6" x14ac:dyDescent="0.3">
      <c r="A207" s="549" t="s">
        <v>42</v>
      </c>
      <c r="B207" s="550"/>
      <c r="C207" s="11" t="s">
        <v>31</v>
      </c>
      <c r="D207" s="15">
        <f>Mangochi!M207+Mangochi!N207+Mangochi!O207</f>
        <v>0</v>
      </c>
      <c r="E207" s="15">
        <f>'Monkey Bay'!M207+'Monkey Bay'!N207+'Monkey Bay'!O207</f>
        <v>0</v>
      </c>
      <c r="F207" s="15">
        <f>Namwera!M207+Namwera!N207+Namwera!O207</f>
        <v>0</v>
      </c>
      <c r="G207" s="15">
        <f>Nkhudzi!M207+Nkhudzi!N207+Nkhudzi!O207</f>
        <v>0</v>
      </c>
      <c r="H207" s="9">
        <f t="shared" si="70"/>
        <v>0</v>
      </c>
    </row>
    <row r="208" spans="1:8" ht="15.6" x14ac:dyDescent="0.3">
      <c r="A208" s="547" t="s">
        <v>41</v>
      </c>
      <c r="B208" s="548"/>
      <c r="C208" s="11" t="s">
        <v>31</v>
      </c>
      <c r="D208" s="15">
        <f>Mangochi!M208+Mangochi!N208+Mangochi!O208</f>
        <v>0</v>
      </c>
      <c r="E208" s="15">
        <f>'Monkey Bay'!M208+'Monkey Bay'!N208+'Monkey Bay'!O208</f>
        <v>0</v>
      </c>
      <c r="F208" s="15">
        <f>Namwera!M208+Namwera!N208+Namwera!O208</f>
        <v>0</v>
      </c>
      <c r="G208" s="15">
        <f>Nkhudzi!M208+Nkhudzi!N208+Nkhudzi!O208</f>
        <v>0</v>
      </c>
      <c r="H208" s="9">
        <f t="shared" si="70"/>
        <v>0</v>
      </c>
    </row>
    <row r="209" spans="1:8" ht="15.6" x14ac:dyDescent="0.3">
      <c r="A209" s="549" t="s">
        <v>40</v>
      </c>
      <c r="B209" s="550"/>
      <c r="C209" s="11" t="s">
        <v>31</v>
      </c>
      <c r="D209" s="15">
        <f>Mangochi!M209+Mangochi!N209+Mangochi!O209</f>
        <v>0</v>
      </c>
      <c r="E209" s="15">
        <f>'Monkey Bay'!M209+'Monkey Bay'!N209+'Monkey Bay'!O209</f>
        <v>0</v>
      </c>
      <c r="F209" s="15">
        <f>Namwera!M209+Namwera!N209+Namwera!O209</f>
        <v>0</v>
      </c>
      <c r="G209" s="15">
        <f>Nkhudzi!M209+Nkhudzi!N209+Nkhudzi!O209</f>
        <v>0</v>
      </c>
      <c r="H209" s="9">
        <f t="shared" si="70"/>
        <v>0</v>
      </c>
    </row>
    <row r="210" spans="1:8" ht="15.6" x14ac:dyDescent="0.3">
      <c r="A210" s="618" t="s">
        <v>45</v>
      </c>
      <c r="B210" s="619"/>
      <c r="C210" s="11" t="s">
        <v>31</v>
      </c>
      <c r="D210" s="10">
        <f t="shared" ref="D210:G210" si="71">SUM(D206:D209)</f>
        <v>0</v>
      </c>
      <c r="E210" s="10">
        <f t="shared" si="71"/>
        <v>0</v>
      </c>
      <c r="F210" s="10">
        <f t="shared" si="71"/>
        <v>0</v>
      </c>
      <c r="G210" s="10">
        <f t="shared" si="71"/>
        <v>0</v>
      </c>
      <c r="H210" s="9">
        <f>SUM(D210:F210)</f>
        <v>0</v>
      </c>
    </row>
    <row r="211" spans="1:8" s="2" customFormat="1" x14ac:dyDescent="0.3">
      <c r="A211" s="543" t="s">
        <v>44</v>
      </c>
      <c r="B211" s="544"/>
      <c r="C211" s="544"/>
      <c r="D211" s="544"/>
      <c r="E211" s="544"/>
      <c r="F211" s="544"/>
      <c r="G211" s="544"/>
      <c r="H211" s="546"/>
    </row>
    <row r="212" spans="1:8" ht="15.6" x14ac:dyDescent="0.3">
      <c r="A212" s="549" t="s">
        <v>43</v>
      </c>
      <c r="B212" s="550"/>
      <c r="C212" s="11" t="s">
        <v>31</v>
      </c>
      <c r="D212" s="15">
        <f>Mangochi!M212+Mangochi!N212+Mangochi!O212</f>
        <v>0</v>
      </c>
      <c r="E212" s="15">
        <f>'Monkey Bay'!M212+'Monkey Bay'!N212+'Monkey Bay'!O212</f>
        <v>0</v>
      </c>
      <c r="F212" s="15">
        <f>Namwera!M212+Namwera!N212+Namwera!O212</f>
        <v>0</v>
      </c>
      <c r="G212" s="15">
        <f>Nkhudzi!M212+Nkhudzi!N212+Nkhudzi!O212</f>
        <v>0</v>
      </c>
      <c r="H212" s="9">
        <f t="shared" ref="H212:H215" si="72">SUM(D212:G212)</f>
        <v>0</v>
      </c>
    </row>
    <row r="213" spans="1:8" ht="15.6" x14ac:dyDescent="0.3">
      <c r="A213" s="549" t="s">
        <v>42</v>
      </c>
      <c r="B213" s="550"/>
      <c r="C213" s="11" t="s">
        <v>31</v>
      </c>
      <c r="D213" s="15">
        <f>Mangochi!M213+Mangochi!N213+Mangochi!O213</f>
        <v>0</v>
      </c>
      <c r="E213" s="15">
        <f>'Monkey Bay'!M213+'Monkey Bay'!N213+'Monkey Bay'!O213</f>
        <v>0</v>
      </c>
      <c r="F213" s="15">
        <f>Namwera!M213+Namwera!N213+Namwera!O213</f>
        <v>0</v>
      </c>
      <c r="G213" s="15">
        <f>Nkhudzi!M213+Nkhudzi!N213+Nkhudzi!O213</f>
        <v>0</v>
      </c>
      <c r="H213" s="9">
        <f t="shared" si="72"/>
        <v>0</v>
      </c>
    </row>
    <row r="214" spans="1:8" ht="15.6" x14ac:dyDescent="0.3">
      <c r="A214" s="547" t="s">
        <v>41</v>
      </c>
      <c r="B214" s="548"/>
      <c r="C214" s="11" t="s">
        <v>31</v>
      </c>
      <c r="D214" s="15">
        <f>Mangochi!M214+Mangochi!N214+Mangochi!O214</f>
        <v>0</v>
      </c>
      <c r="E214" s="15">
        <f>'Monkey Bay'!M214+'Monkey Bay'!N214+'Monkey Bay'!O214</f>
        <v>0</v>
      </c>
      <c r="F214" s="15">
        <f>Namwera!M214+Namwera!N214+Namwera!O214</f>
        <v>0</v>
      </c>
      <c r="G214" s="15">
        <f>Nkhudzi!M214+Nkhudzi!N214+Nkhudzi!O214</f>
        <v>0</v>
      </c>
      <c r="H214" s="9">
        <f t="shared" si="72"/>
        <v>0</v>
      </c>
    </row>
    <row r="215" spans="1:8" ht="15.6" x14ac:dyDescent="0.3">
      <c r="A215" s="549" t="s">
        <v>40</v>
      </c>
      <c r="B215" s="550"/>
      <c r="C215" s="11" t="s">
        <v>31</v>
      </c>
      <c r="D215" s="15">
        <f>Mangochi!M215+Mangochi!N215+Mangochi!O215</f>
        <v>0</v>
      </c>
      <c r="E215" s="15">
        <f>'Monkey Bay'!M215+'Monkey Bay'!N215+'Monkey Bay'!O215</f>
        <v>0</v>
      </c>
      <c r="F215" s="15">
        <f>Namwera!M215+Namwera!N215+Namwera!O215</f>
        <v>0</v>
      </c>
      <c r="G215" s="15">
        <f>Nkhudzi!M215+Nkhudzi!N215+Nkhudzi!O215</f>
        <v>0</v>
      </c>
      <c r="H215" s="9">
        <f t="shared" si="72"/>
        <v>0</v>
      </c>
    </row>
    <row r="216" spans="1:8" ht="15.6" x14ac:dyDescent="0.3">
      <c r="A216" s="618" t="s">
        <v>39</v>
      </c>
      <c r="B216" s="619"/>
      <c r="C216" s="11" t="s">
        <v>31</v>
      </c>
      <c r="D216" s="10">
        <f t="shared" ref="D216:G216" si="73">SUM(D212:D215)</f>
        <v>0</v>
      </c>
      <c r="E216" s="10">
        <f t="shared" si="73"/>
        <v>0</v>
      </c>
      <c r="F216" s="10">
        <f t="shared" si="73"/>
        <v>0</v>
      </c>
      <c r="G216" s="10">
        <f t="shared" si="73"/>
        <v>0</v>
      </c>
      <c r="H216" s="9">
        <f>SUM(D216:F216)</f>
        <v>0</v>
      </c>
    </row>
    <row r="217" spans="1:8" s="2" customFormat="1" ht="15.6" x14ac:dyDescent="0.3">
      <c r="A217" s="191" t="s">
        <v>38</v>
      </c>
      <c r="B217" s="192"/>
      <c r="C217" s="11" t="s">
        <v>31</v>
      </c>
      <c r="D217" s="10">
        <f>D210+D216</f>
        <v>0</v>
      </c>
      <c r="E217" s="10">
        <f t="shared" ref="E217:H217" si="74">E210+E216</f>
        <v>0</v>
      </c>
      <c r="F217" s="10">
        <f t="shared" si="74"/>
        <v>0</v>
      </c>
      <c r="G217" s="10">
        <f t="shared" si="74"/>
        <v>0</v>
      </c>
      <c r="H217" s="39">
        <f t="shared" si="74"/>
        <v>0</v>
      </c>
    </row>
    <row r="218" spans="1:8" s="2" customFormat="1" x14ac:dyDescent="0.3">
      <c r="A218" s="543" t="s">
        <v>37</v>
      </c>
      <c r="B218" s="544"/>
      <c r="C218" s="544"/>
      <c r="D218" s="544"/>
      <c r="E218" s="544"/>
      <c r="F218" s="544"/>
      <c r="G218" s="544"/>
      <c r="H218" s="546"/>
    </row>
    <row r="219" spans="1:8" ht="15.6" x14ac:dyDescent="0.3">
      <c r="A219" s="549" t="s">
        <v>35</v>
      </c>
      <c r="B219" s="550"/>
      <c r="C219" s="11" t="s">
        <v>31</v>
      </c>
      <c r="D219" s="15">
        <f>Mangochi!M219+Mangochi!N219+Mangochi!O219</f>
        <v>0</v>
      </c>
      <c r="E219" s="15">
        <f>'Monkey Bay'!M219+'Monkey Bay'!N219+'Monkey Bay'!O219</f>
        <v>0</v>
      </c>
      <c r="F219" s="15">
        <f>Namwera!M219+Namwera!N219+Namwera!O219</f>
        <v>0</v>
      </c>
      <c r="G219" s="15">
        <f>Nkhudzi!M219+Nkhudzi!N219+Nkhudzi!O219</f>
        <v>0</v>
      </c>
      <c r="H219" s="9">
        <f t="shared" ref="H219:H222" si="75">SUM(D219:G219)</f>
        <v>0</v>
      </c>
    </row>
    <row r="220" spans="1:8" ht="15.6" x14ac:dyDescent="0.3">
      <c r="A220" s="549" t="s">
        <v>34</v>
      </c>
      <c r="B220" s="550"/>
      <c r="C220" s="11" t="s">
        <v>31</v>
      </c>
      <c r="D220" s="15">
        <f>Mangochi!M220+Mangochi!N220+Mangochi!O220</f>
        <v>0</v>
      </c>
      <c r="E220" s="15">
        <f>'Monkey Bay'!M220+'Monkey Bay'!N220+'Monkey Bay'!O220</f>
        <v>0</v>
      </c>
      <c r="F220" s="15">
        <f>Namwera!M220+Namwera!N220+Namwera!O220</f>
        <v>0</v>
      </c>
      <c r="G220" s="15">
        <f>Nkhudzi!M220+Nkhudzi!N220+Nkhudzi!O220</f>
        <v>0</v>
      </c>
      <c r="H220" s="9">
        <f t="shared" si="75"/>
        <v>0</v>
      </c>
    </row>
    <row r="221" spans="1:8" ht="15.6" x14ac:dyDescent="0.3">
      <c r="A221" s="549" t="s">
        <v>33</v>
      </c>
      <c r="B221" s="550"/>
      <c r="C221" s="11" t="s">
        <v>31</v>
      </c>
      <c r="D221" s="15">
        <f>Mangochi!M221+Mangochi!N221+Mangochi!O221</f>
        <v>0</v>
      </c>
      <c r="E221" s="15">
        <f>'Monkey Bay'!M221+'Monkey Bay'!N221+'Monkey Bay'!O221</f>
        <v>0</v>
      </c>
      <c r="F221" s="15">
        <f>Namwera!M221+Namwera!N221+Namwera!O221</f>
        <v>0</v>
      </c>
      <c r="G221" s="15">
        <f>Nkhudzi!M221+Nkhudzi!N221+Nkhudzi!O221</f>
        <v>0</v>
      </c>
      <c r="H221" s="9">
        <f t="shared" si="75"/>
        <v>0</v>
      </c>
    </row>
    <row r="222" spans="1:8" ht="15.6" x14ac:dyDescent="0.3">
      <c r="A222" s="549" t="s">
        <v>32</v>
      </c>
      <c r="B222" s="550"/>
      <c r="C222" s="11" t="s">
        <v>31</v>
      </c>
      <c r="D222" s="15">
        <f>Mangochi!M222+Mangochi!N222+Mangochi!O222</f>
        <v>0</v>
      </c>
      <c r="E222" s="15">
        <f>'Monkey Bay'!M222+'Monkey Bay'!N222+'Monkey Bay'!O222</f>
        <v>0</v>
      </c>
      <c r="F222" s="15">
        <f>Namwera!M222+Namwera!N222+Namwera!O222</f>
        <v>0</v>
      </c>
      <c r="G222" s="15">
        <f>Nkhudzi!M222+Nkhudzi!N222+Nkhudzi!O222</f>
        <v>0</v>
      </c>
      <c r="H222" s="9">
        <f t="shared" si="75"/>
        <v>0</v>
      </c>
    </row>
    <row r="223" spans="1:8" ht="15.6" x14ac:dyDescent="0.3">
      <c r="A223" s="618" t="s">
        <v>36</v>
      </c>
      <c r="B223" s="619"/>
      <c r="C223" s="11" t="s">
        <v>31</v>
      </c>
      <c r="D223" s="12">
        <f t="shared" ref="D223:G223" si="76">SUM(D219:D222)</f>
        <v>0</v>
      </c>
      <c r="E223" s="10">
        <f t="shared" si="76"/>
        <v>0</v>
      </c>
      <c r="F223" s="10">
        <f t="shared" si="76"/>
        <v>0</v>
      </c>
      <c r="G223" s="10">
        <f t="shared" si="76"/>
        <v>0</v>
      </c>
      <c r="H223" s="9">
        <f>SUM(D223:F223)</f>
        <v>0</v>
      </c>
    </row>
    <row r="224" spans="1:8" x14ac:dyDescent="0.3">
      <c r="A224" s="543" t="s">
        <v>213</v>
      </c>
      <c r="B224" s="544"/>
      <c r="C224" s="544"/>
      <c r="D224" s="544"/>
      <c r="E224" s="544"/>
      <c r="F224" s="544"/>
      <c r="G224" s="544"/>
      <c r="H224" s="546"/>
    </row>
    <row r="225" spans="1:8" ht="15.6" x14ac:dyDescent="0.3">
      <c r="A225" s="549" t="s">
        <v>35</v>
      </c>
      <c r="B225" s="550"/>
      <c r="C225" s="11" t="s">
        <v>31</v>
      </c>
      <c r="D225" s="15">
        <f>Mangochi!M225+Mangochi!N225+Mangochi!O225</f>
        <v>0</v>
      </c>
      <c r="E225" s="15">
        <f>'Monkey Bay'!M225+'Monkey Bay'!N225+'Monkey Bay'!O225</f>
        <v>0</v>
      </c>
      <c r="F225" s="15">
        <f>Namwera!M225+Namwera!N225+Namwera!O225</f>
        <v>0</v>
      </c>
      <c r="G225" s="15">
        <f>Nkhudzi!M225+Nkhudzi!N225+Nkhudzi!O225</f>
        <v>0</v>
      </c>
      <c r="H225" s="9">
        <f t="shared" ref="H225:H230" si="77">SUM(D225:G225)</f>
        <v>0</v>
      </c>
    </row>
    <row r="226" spans="1:8" ht="15.6" x14ac:dyDescent="0.3">
      <c r="A226" s="549" t="s">
        <v>34</v>
      </c>
      <c r="B226" s="550"/>
      <c r="C226" s="11" t="s">
        <v>31</v>
      </c>
      <c r="D226" s="15">
        <f>Mangochi!M226+Mangochi!N226+Mangochi!O226</f>
        <v>0</v>
      </c>
      <c r="E226" s="15">
        <f>'Monkey Bay'!M226+'Monkey Bay'!N226+'Monkey Bay'!O226</f>
        <v>0</v>
      </c>
      <c r="F226" s="15">
        <f>Namwera!M226+Namwera!N226+Namwera!O226</f>
        <v>0</v>
      </c>
      <c r="G226" s="15">
        <f>Nkhudzi!M226+Nkhudzi!N226+Nkhudzi!O226</f>
        <v>0</v>
      </c>
      <c r="H226" s="9">
        <f t="shared" si="77"/>
        <v>0</v>
      </c>
    </row>
    <row r="227" spans="1:8" ht="15.6" x14ac:dyDescent="0.3">
      <c r="A227" s="549" t="s">
        <v>33</v>
      </c>
      <c r="B227" s="550"/>
      <c r="C227" s="11" t="s">
        <v>31</v>
      </c>
      <c r="D227" s="15">
        <f>Mangochi!M227+Mangochi!N227+Mangochi!O227</f>
        <v>0</v>
      </c>
      <c r="E227" s="15">
        <f>'Monkey Bay'!M227+'Monkey Bay'!N227+'Monkey Bay'!O227</f>
        <v>0</v>
      </c>
      <c r="F227" s="15">
        <f>Namwera!M227+Namwera!N227+Namwera!O227</f>
        <v>0</v>
      </c>
      <c r="G227" s="15">
        <f>Nkhudzi!M227+Nkhudzi!N227+Nkhudzi!O227</f>
        <v>0</v>
      </c>
      <c r="H227" s="9">
        <f t="shared" si="77"/>
        <v>0</v>
      </c>
    </row>
    <row r="228" spans="1:8" ht="15.6" x14ac:dyDescent="0.3">
      <c r="A228" s="549" t="s">
        <v>32</v>
      </c>
      <c r="B228" s="550"/>
      <c r="C228" s="11" t="s">
        <v>31</v>
      </c>
      <c r="D228" s="15">
        <f>Mangochi!M228+Mangochi!N228+Mangochi!O228</f>
        <v>0</v>
      </c>
      <c r="E228" s="15">
        <f>'Monkey Bay'!M228+'Monkey Bay'!N228+'Monkey Bay'!O228</f>
        <v>0</v>
      </c>
      <c r="F228" s="15">
        <f>Namwera!M228+Namwera!N228+Namwera!O228</f>
        <v>0</v>
      </c>
      <c r="G228" s="15">
        <f>Nkhudzi!M228+Nkhudzi!N228+Nkhudzi!O228</f>
        <v>0</v>
      </c>
      <c r="H228" s="9">
        <f t="shared" si="77"/>
        <v>0</v>
      </c>
    </row>
    <row r="229" spans="1:8" ht="15.6" x14ac:dyDescent="0.3">
      <c r="A229" s="618" t="s">
        <v>214</v>
      </c>
      <c r="B229" s="619"/>
      <c r="C229" s="11" t="s">
        <v>31</v>
      </c>
      <c r="D229" s="12">
        <f t="shared" ref="D229:F229" si="78">SUM(D225:D228)</f>
        <v>0</v>
      </c>
      <c r="E229" s="10">
        <f t="shared" si="78"/>
        <v>0</v>
      </c>
      <c r="F229" s="10">
        <f t="shared" si="78"/>
        <v>0</v>
      </c>
      <c r="G229" s="10">
        <f t="shared" ref="G229" si="79">SUM(G225:G228)</f>
        <v>0</v>
      </c>
      <c r="H229" s="9">
        <f t="shared" si="77"/>
        <v>0</v>
      </c>
    </row>
    <row r="230" spans="1:8" ht="15.6" x14ac:dyDescent="0.3">
      <c r="A230" s="191" t="s">
        <v>215</v>
      </c>
      <c r="B230" s="114"/>
      <c r="C230" s="11" t="s">
        <v>31</v>
      </c>
      <c r="D230" s="12">
        <f>D223+D229</f>
        <v>0</v>
      </c>
      <c r="E230" s="12">
        <f t="shared" ref="E230:G230" si="80">E223+E229</f>
        <v>0</v>
      </c>
      <c r="F230" s="12">
        <f t="shared" si="80"/>
        <v>0</v>
      </c>
      <c r="G230" s="12">
        <f t="shared" si="80"/>
        <v>0</v>
      </c>
      <c r="H230" s="9">
        <f t="shared" si="77"/>
        <v>0</v>
      </c>
    </row>
    <row r="231" spans="1:8" x14ac:dyDescent="0.3">
      <c r="A231" s="543" t="s">
        <v>30</v>
      </c>
      <c r="B231" s="544"/>
      <c r="C231" s="544"/>
      <c r="D231" s="544"/>
      <c r="E231" s="544"/>
      <c r="F231" s="544"/>
      <c r="G231" s="544"/>
      <c r="H231" s="546"/>
    </row>
    <row r="232" spans="1:8" ht="15.6" x14ac:dyDescent="0.3">
      <c r="A232" s="549" t="s">
        <v>29</v>
      </c>
      <c r="B232" s="550"/>
      <c r="C232" s="11" t="s">
        <v>18</v>
      </c>
      <c r="D232" s="15">
        <f>Mangochi!M232+Mangochi!N232+Mangochi!O232</f>
        <v>0</v>
      </c>
      <c r="E232" s="15">
        <f>'Monkey Bay'!M232+'Monkey Bay'!N232+'Monkey Bay'!O232</f>
        <v>0</v>
      </c>
      <c r="F232" s="15">
        <f>Namwera!M232+Namwera!N232+Namwera!O232</f>
        <v>0</v>
      </c>
      <c r="G232" s="15">
        <f>Nkhudzi!M232+Nkhudzi!N232+Nkhudzi!O232</f>
        <v>0</v>
      </c>
      <c r="H232" s="9">
        <f t="shared" ref="H232:H235" si="81">SUM(D232:G232)</f>
        <v>0</v>
      </c>
    </row>
    <row r="233" spans="1:8" ht="15.6" x14ac:dyDescent="0.3">
      <c r="A233" s="549" t="s">
        <v>28</v>
      </c>
      <c r="B233" s="550"/>
      <c r="C233" s="11" t="s">
        <v>18</v>
      </c>
      <c r="D233" s="15">
        <f>Mangochi!M233+Mangochi!N233+Mangochi!O233</f>
        <v>0</v>
      </c>
      <c r="E233" s="15">
        <f>'Monkey Bay'!M233+'Monkey Bay'!N233+'Monkey Bay'!O233</f>
        <v>0</v>
      </c>
      <c r="F233" s="15">
        <f>Namwera!M233+Namwera!N233+Namwera!O233</f>
        <v>0</v>
      </c>
      <c r="G233" s="15">
        <f>Nkhudzi!M233+Nkhudzi!N233+Nkhudzi!O233</f>
        <v>0</v>
      </c>
      <c r="H233" s="9">
        <f t="shared" si="81"/>
        <v>0</v>
      </c>
    </row>
    <row r="234" spans="1:8" ht="15.6" x14ac:dyDescent="0.3">
      <c r="A234" s="549" t="s">
        <v>27</v>
      </c>
      <c r="B234" s="550"/>
      <c r="C234" s="11" t="s">
        <v>18</v>
      </c>
      <c r="D234" s="15">
        <f>Mangochi!M234+Mangochi!N234+Mangochi!O234</f>
        <v>0</v>
      </c>
      <c r="E234" s="15">
        <f>'Monkey Bay'!M234+'Monkey Bay'!N234+'Monkey Bay'!O234</f>
        <v>0</v>
      </c>
      <c r="F234" s="15">
        <f>Namwera!M234+Namwera!N234+Namwera!O234</f>
        <v>0</v>
      </c>
      <c r="G234" s="15">
        <f>Nkhudzi!M234+Nkhudzi!N234+Nkhudzi!O234</f>
        <v>0</v>
      </c>
      <c r="H234" s="9">
        <f t="shared" si="81"/>
        <v>0</v>
      </c>
    </row>
    <row r="235" spans="1:8" ht="15.6" x14ac:dyDescent="0.3">
      <c r="A235" s="549" t="s">
        <v>26</v>
      </c>
      <c r="B235" s="550"/>
      <c r="C235" s="11" t="s">
        <v>18</v>
      </c>
      <c r="D235" s="15">
        <f>Mangochi!M235+Mangochi!N235+Mangochi!O235</f>
        <v>0</v>
      </c>
      <c r="E235" s="15">
        <f>'Monkey Bay'!M235+'Monkey Bay'!N235+'Monkey Bay'!O235</f>
        <v>0</v>
      </c>
      <c r="F235" s="15">
        <f>Namwera!M235+Namwera!N235+Namwera!O235</f>
        <v>0</v>
      </c>
      <c r="G235" s="15">
        <f>Nkhudzi!M235+Nkhudzi!N235+Nkhudzi!O235</f>
        <v>0</v>
      </c>
      <c r="H235" s="9">
        <f t="shared" si="81"/>
        <v>0</v>
      </c>
    </row>
    <row r="236" spans="1:8" ht="15.6" x14ac:dyDescent="0.3">
      <c r="A236" s="618" t="s">
        <v>25</v>
      </c>
      <c r="B236" s="619"/>
      <c r="C236" s="11" t="s">
        <v>18</v>
      </c>
      <c r="D236" s="12">
        <f>SUM(D232:D235)</f>
        <v>0</v>
      </c>
      <c r="E236" s="12">
        <f t="shared" ref="E236:F236" si="82">SUM(E232:E235)</f>
        <v>0</v>
      </c>
      <c r="F236" s="12">
        <f t="shared" si="82"/>
        <v>0</v>
      </c>
      <c r="G236" s="12"/>
      <c r="H236" s="39">
        <f t="shared" ref="H236" si="83">SUM(H232:H235)</f>
        <v>0</v>
      </c>
    </row>
    <row r="237" spans="1:8" x14ac:dyDescent="0.3">
      <c r="A237" s="543" t="s">
        <v>24</v>
      </c>
      <c r="B237" s="544"/>
      <c r="C237" s="544"/>
      <c r="D237" s="544"/>
      <c r="E237" s="544"/>
      <c r="F237" s="544"/>
      <c r="G237" s="544"/>
      <c r="H237" s="546"/>
    </row>
    <row r="238" spans="1:8" ht="15.6" x14ac:dyDescent="0.3">
      <c r="A238" s="549" t="s">
        <v>23</v>
      </c>
      <c r="B238" s="550"/>
      <c r="C238" s="11" t="s">
        <v>18</v>
      </c>
      <c r="D238" s="15">
        <f>Mangochi!M238+Mangochi!N238+Mangochi!O238</f>
        <v>0</v>
      </c>
      <c r="E238" s="15">
        <f>'Monkey Bay'!M238+'Monkey Bay'!N238+'Monkey Bay'!O238</f>
        <v>0</v>
      </c>
      <c r="F238" s="15">
        <f>Namwera!M238+Namwera!N238+Namwera!O238</f>
        <v>0</v>
      </c>
      <c r="G238" s="15">
        <f>Nkhudzi!M238+Nkhudzi!N238+Nkhudzi!O238</f>
        <v>0</v>
      </c>
      <c r="H238" s="9">
        <f t="shared" ref="H238:H242" si="84">SUM(D238:G238)</f>
        <v>0</v>
      </c>
    </row>
    <row r="239" spans="1:8" ht="15.6" x14ac:dyDescent="0.3">
      <c r="A239" s="549" t="s">
        <v>22</v>
      </c>
      <c r="B239" s="550"/>
      <c r="C239" s="11" t="s">
        <v>18</v>
      </c>
      <c r="D239" s="15">
        <f>Mangochi!M239+Mangochi!N239+Mangochi!O239</f>
        <v>0</v>
      </c>
      <c r="E239" s="15">
        <f>'Monkey Bay'!M239+'Monkey Bay'!N239+'Monkey Bay'!O239</f>
        <v>0</v>
      </c>
      <c r="F239" s="15">
        <f>Namwera!M239+Namwera!N239+Namwera!O239</f>
        <v>0</v>
      </c>
      <c r="G239" s="15">
        <f>Nkhudzi!M239+Nkhudzi!N239+Nkhudzi!O239</f>
        <v>0</v>
      </c>
      <c r="H239" s="9">
        <f t="shared" si="84"/>
        <v>0</v>
      </c>
    </row>
    <row r="240" spans="1:8" ht="15.6" x14ac:dyDescent="0.3">
      <c r="A240" s="549" t="s">
        <v>21</v>
      </c>
      <c r="B240" s="550"/>
      <c r="C240" s="11" t="s">
        <v>18</v>
      </c>
      <c r="D240" s="15">
        <f>Mangochi!M240+Mangochi!N240+Mangochi!O240</f>
        <v>0</v>
      </c>
      <c r="E240" s="15">
        <f>'Monkey Bay'!M240+'Monkey Bay'!N240+'Monkey Bay'!O240</f>
        <v>0</v>
      </c>
      <c r="F240" s="15">
        <f>Namwera!M240+Namwera!N240+Namwera!O240</f>
        <v>0</v>
      </c>
      <c r="G240" s="15">
        <f>Nkhudzi!M240+Nkhudzi!N240+Nkhudzi!O240</f>
        <v>0</v>
      </c>
      <c r="H240" s="9">
        <f t="shared" si="84"/>
        <v>0</v>
      </c>
    </row>
    <row r="241" spans="1:8" ht="15.6" x14ac:dyDescent="0.3">
      <c r="A241" s="549" t="s">
        <v>20</v>
      </c>
      <c r="B241" s="550"/>
      <c r="C241" s="11" t="s">
        <v>18</v>
      </c>
      <c r="D241" s="15">
        <f>Mangochi!M241+Mangochi!N241+Mangochi!O241</f>
        <v>0</v>
      </c>
      <c r="E241" s="15">
        <f>'Monkey Bay'!M241+'Monkey Bay'!N241+'Monkey Bay'!O241</f>
        <v>0</v>
      </c>
      <c r="F241" s="15">
        <f>Namwera!M241+Namwera!N241+Namwera!O241</f>
        <v>0</v>
      </c>
      <c r="G241" s="15">
        <f>Nkhudzi!M241+Nkhudzi!N241+Nkhudzi!O241</f>
        <v>0</v>
      </c>
      <c r="H241" s="9">
        <f t="shared" si="84"/>
        <v>0</v>
      </c>
    </row>
    <row r="242" spans="1:8" ht="15.6" x14ac:dyDescent="0.3">
      <c r="A242" s="618" t="s">
        <v>19</v>
      </c>
      <c r="B242" s="619"/>
      <c r="C242" s="11" t="s">
        <v>18</v>
      </c>
      <c r="D242" s="12">
        <f t="shared" ref="D242:G242" si="85">SUM(D238:D241)</f>
        <v>0</v>
      </c>
      <c r="E242" s="12">
        <f t="shared" si="85"/>
        <v>0</v>
      </c>
      <c r="F242" s="12">
        <f t="shared" si="85"/>
        <v>0</v>
      </c>
      <c r="G242" s="12">
        <f t="shared" si="85"/>
        <v>0</v>
      </c>
      <c r="H242" s="39">
        <f t="shared" si="84"/>
        <v>0</v>
      </c>
    </row>
    <row r="243" spans="1:8" ht="15.6" x14ac:dyDescent="0.3">
      <c r="A243" s="618" t="s">
        <v>216</v>
      </c>
      <c r="B243" s="619"/>
      <c r="C243" s="11" t="s">
        <v>18</v>
      </c>
      <c r="D243" s="10">
        <f>D230+D236+D242</f>
        <v>0</v>
      </c>
      <c r="E243" s="10">
        <f t="shared" ref="E243:G243" si="86">E230+E236+E242</f>
        <v>0</v>
      </c>
      <c r="F243" s="10">
        <f t="shared" si="86"/>
        <v>0</v>
      </c>
      <c r="G243" s="10">
        <f t="shared" si="86"/>
        <v>0</v>
      </c>
      <c r="H243" s="39">
        <f t="shared" ref="H243" si="87">H216+H223+H236+H242</f>
        <v>0</v>
      </c>
    </row>
    <row r="244" spans="1:8" x14ac:dyDescent="0.3">
      <c r="A244" s="543" t="s">
        <v>206</v>
      </c>
      <c r="B244" s="544"/>
      <c r="C244" s="544"/>
      <c r="D244" s="544"/>
      <c r="E244" s="544"/>
      <c r="F244" s="544"/>
      <c r="G244" s="544"/>
      <c r="H244" s="546"/>
    </row>
    <row r="245" spans="1:8" ht="15.6" x14ac:dyDescent="0.3">
      <c r="A245" s="622" t="s">
        <v>207</v>
      </c>
      <c r="B245" s="623"/>
      <c r="C245" s="11" t="s">
        <v>18</v>
      </c>
      <c r="D245" s="15">
        <f>Mangochi!O245</f>
        <v>0</v>
      </c>
      <c r="E245" s="15">
        <f>'Monkey Bay'!O245</f>
        <v>0</v>
      </c>
      <c r="F245" s="15">
        <f>Namwera!O245</f>
        <v>0</v>
      </c>
      <c r="G245" s="15">
        <f>Nkhudzi!M245+Nkhudzi!N245+Nkhudzi!O245</f>
        <v>0</v>
      </c>
      <c r="H245" s="39">
        <f t="shared" ref="H245:H246" si="88">SUM(D245:G245)</f>
        <v>0</v>
      </c>
    </row>
    <row r="246" spans="1:8" ht="15.6" x14ac:dyDescent="0.3">
      <c r="A246" s="622" t="s">
        <v>208</v>
      </c>
      <c r="B246" s="623"/>
      <c r="C246" s="11" t="s">
        <v>18</v>
      </c>
      <c r="D246" s="15">
        <f>Mangochi!O246</f>
        <v>0</v>
      </c>
      <c r="E246" s="15">
        <f>'Monkey Bay'!O246</f>
        <v>0</v>
      </c>
      <c r="F246" s="15">
        <f>Namwera!O246</f>
        <v>0</v>
      </c>
      <c r="G246" s="15">
        <f>Nkhudzi!M246+Nkhudzi!N246+Nkhudzi!O246</f>
        <v>0</v>
      </c>
      <c r="H246" s="39">
        <f t="shared" si="88"/>
        <v>0</v>
      </c>
    </row>
    <row r="247" spans="1:8" ht="15.6" x14ac:dyDescent="0.3">
      <c r="A247" s="624" t="s">
        <v>209</v>
      </c>
      <c r="B247" s="625"/>
      <c r="C247" s="11" t="s">
        <v>18</v>
      </c>
      <c r="D247" s="132">
        <f>D245+D246</f>
        <v>0</v>
      </c>
      <c r="E247" s="132">
        <f t="shared" ref="E247:H247" si="89">E245+E246</f>
        <v>0</v>
      </c>
      <c r="F247" s="132">
        <f t="shared" si="89"/>
        <v>0</v>
      </c>
      <c r="G247" s="173">
        <f t="shared" si="89"/>
        <v>0</v>
      </c>
      <c r="H247" s="150">
        <f t="shared" si="89"/>
        <v>0</v>
      </c>
    </row>
    <row r="248" spans="1:8" x14ac:dyDescent="0.3">
      <c r="A248" s="543" t="s">
        <v>17</v>
      </c>
      <c r="B248" s="544"/>
      <c r="C248" s="544"/>
      <c r="D248" s="544"/>
      <c r="E248" s="544"/>
      <c r="F248" s="544"/>
      <c r="G248" s="544"/>
      <c r="H248" s="546"/>
    </row>
    <row r="249" spans="1:8" ht="15.6" x14ac:dyDescent="0.3">
      <c r="A249" s="567" t="s">
        <v>16</v>
      </c>
      <c r="B249" s="568"/>
      <c r="C249" s="5" t="s">
        <v>6</v>
      </c>
      <c r="D249" s="8" t="e">
        <f>D58/D243%</f>
        <v>#DIV/0!</v>
      </c>
      <c r="E249" s="8" t="e">
        <f t="shared" ref="E249:H249" si="90">E58/E243%</f>
        <v>#DIV/0!</v>
      </c>
      <c r="F249" s="8" t="e">
        <f t="shared" si="90"/>
        <v>#DIV/0!</v>
      </c>
      <c r="G249" s="8" t="e">
        <f t="shared" si="90"/>
        <v>#DIV/0!</v>
      </c>
      <c r="H249" s="106" t="e">
        <f t="shared" si="90"/>
        <v>#DIV/0!</v>
      </c>
    </row>
    <row r="250" spans="1:8" ht="15.6" x14ac:dyDescent="0.3">
      <c r="A250" s="567" t="s">
        <v>210</v>
      </c>
      <c r="B250" s="568"/>
      <c r="C250" s="5" t="s">
        <v>6</v>
      </c>
      <c r="D250" s="28" t="e">
        <f>D210/(D223+D245)%</f>
        <v>#DIV/0!</v>
      </c>
      <c r="E250" s="28" t="e">
        <f t="shared" ref="E250:H250" si="91">E210/(E223+E245)%</f>
        <v>#DIV/0!</v>
      </c>
      <c r="F250" s="28" t="e">
        <f t="shared" si="91"/>
        <v>#DIV/0!</v>
      </c>
      <c r="G250" s="28" t="e">
        <f t="shared" si="91"/>
        <v>#DIV/0!</v>
      </c>
      <c r="H250" s="103" t="e">
        <f t="shared" si="91"/>
        <v>#DIV/0!</v>
      </c>
    </row>
    <row r="251" spans="1:8" ht="16.2" thickBot="1" x14ac:dyDescent="0.35">
      <c r="A251" s="620" t="s">
        <v>15</v>
      </c>
      <c r="B251" s="621"/>
      <c r="C251" s="5" t="s">
        <v>6</v>
      </c>
      <c r="D251" s="7" t="e">
        <f>D210/D223%</f>
        <v>#DIV/0!</v>
      </c>
      <c r="E251" s="7" t="e">
        <f t="shared" ref="E251:H251" si="92">E210/E223%</f>
        <v>#DIV/0!</v>
      </c>
      <c r="F251" s="7" t="e">
        <f t="shared" si="92"/>
        <v>#DIV/0!</v>
      </c>
      <c r="G251" s="7" t="e">
        <f t="shared" si="92"/>
        <v>#DIV/0!</v>
      </c>
      <c r="H251" s="107" t="e">
        <f t="shared" si="92"/>
        <v>#DIV/0!</v>
      </c>
    </row>
    <row r="252" spans="1:8" x14ac:dyDescent="0.3">
      <c r="A252" s="599" t="s">
        <v>14</v>
      </c>
      <c r="B252" s="600"/>
      <c r="C252" s="600"/>
      <c r="D252" s="600"/>
      <c r="E252" s="600"/>
      <c r="F252" s="600"/>
      <c r="G252" s="600"/>
      <c r="H252" s="601"/>
    </row>
    <row r="253" spans="1:8" s="2" customFormat="1" ht="15" customHeight="1" x14ac:dyDescent="0.3">
      <c r="A253" s="567" t="s">
        <v>13</v>
      </c>
      <c r="B253" s="568"/>
      <c r="C253" s="5" t="s">
        <v>3</v>
      </c>
      <c r="D253" s="25">
        <f>Mangochi!M253+Mangochi!N253+Mangochi!O253</f>
        <v>0</v>
      </c>
      <c r="E253" s="25">
        <f>'Monkey Bay'!M253+'Monkey Bay'!N253+'Monkey Bay'!O253</f>
        <v>0</v>
      </c>
      <c r="F253" s="25">
        <f>Namwera!M253+Namwera!N253+Namwera!O253</f>
        <v>0</v>
      </c>
      <c r="G253" s="25">
        <f>Nkhudzi!M253+Nkhudzi!N253+Nkhudzi!O253</f>
        <v>0</v>
      </c>
      <c r="H253" s="108">
        <f t="shared" ref="H253:H257" si="93">SUM(D253:G253)</f>
        <v>0</v>
      </c>
    </row>
    <row r="254" spans="1:8" s="2" customFormat="1" ht="15.6" x14ac:dyDescent="0.3">
      <c r="A254" s="567" t="s">
        <v>12</v>
      </c>
      <c r="B254" s="568"/>
      <c r="C254" s="5" t="s">
        <v>3</v>
      </c>
      <c r="D254" s="25">
        <f>Mangochi!M254+Mangochi!N254+Mangochi!O254</f>
        <v>0</v>
      </c>
      <c r="E254" s="25">
        <f>'Monkey Bay'!M254+'Monkey Bay'!N254+'Monkey Bay'!O254</f>
        <v>0</v>
      </c>
      <c r="F254" s="25">
        <f>Namwera!M254+Namwera!N254+Namwera!O254</f>
        <v>0</v>
      </c>
      <c r="G254" s="25">
        <f>Nkhudzi!M254+Nkhudzi!N254+Nkhudzi!O254</f>
        <v>0</v>
      </c>
      <c r="H254" s="108">
        <f t="shared" si="93"/>
        <v>0</v>
      </c>
    </row>
    <row r="255" spans="1:8" ht="15.75" customHeight="1" x14ac:dyDescent="0.3">
      <c r="A255" s="567" t="s">
        <v>11</v>
      </c>
      <c r="B255" s="568"/>
      <c r="C255" s="5" t="s">
        <v>3</v>
      </c>
      <c r="D255" s="25">
        <f>Mangochi!M255+Mangochi!N255+Mangochi!O255</f>
        <v>0</v>
      </c>
      <c r="E255" s="25">
        <f>'Monkey Bay'!M255+'Monkey Bay'!N255+'Monkey Bay'!O255</f>
        <v>0</v>
      </c>
      <c r="F255" s="25">
        <f>Namwera!M255+Namwera!N255+Namwera!O255</f>
        <v>0</v>
      </c>
      <c r="G255" s="25">
        <f>Nkhudzi!M255+Nkhudzi!N255+Nkhudzi!O255</f>
        <v>0</v>
      </c>
      <c r="H255" s="108">
        <f t="shared" si="93"/>
        <v>0</v>
      </c>
    </row>
    <row r="256" spans="1:8" ht="15.6" x14ac:dyDescent="0.3">
      <c r="A256" s="567" t="s">
        <v>10</v>
      </c>
      <c r="B256" s="568"/>
      <c r="C256" s="5" t="s">
        <v>3</v>
      </c>
      <c r="D256" s="25">
        <f>Mangochi!M256+Mangochi!N256+Mangochi!O256</f>
        <v>0</v>
      </c>
      <c r="E256" s="25">
        <f>'Monkey Bay'!M256+'Monkey Bay'!N256+'Monkey Bay'!O256</f>
        <v>0</v>
      </c>
      <c r="F256" s="25">
        <f>Namwera!M256+Namwera!N256+Namwera!O256</f>
        <v>0</v>
      </c>
      <c r="G256" s="25">
        <f>Nkhudzi!M256+Nkhudzi!N256+Nkhudzi!O256</f>
        <v>0</v>
      </c>
      <c r="H256" s="108">
        <f t="shared" si="93"/>
        <v>0</v>
      </c>
    </row>
    <row r="257" spans="1:8" ht="15.6" customHeight="1" x14ac:dyDescent="0.3">
      <c r="A257" s="567" t="s">
        <v>9</v>
      </c>
      <c r="B257" s="568"/>
      <c r="C257" s="5" t="s">
        <v>3</v>
      </c>
      <c r="D257" s="25">
        <f>Mangochi!M257+Mangochi!N257+Mangochi!O257</f>
        <v>0</v>
      </c>
      <c r="E257" s="25">
        <f>'Monkey Bay'!M257+'Monkey Bay'!N257+'Monkey Bay'!O257</f>
        <v>0</v>
      </c>
      <c r="F257" s="25">
        <f>Namwera!M257+Namwera!N257+Namwera!O257</f>
        <v>0</v>
      </c>
      <c r="G257" s="25">
        <f>Nkhudzi!M257+Nkhudzi!N257+Nkhudzi!O257</f>
        <v>0</v>
      </c>
      <c r="H257" s="108">
        <f t="shared" si="93"/>
        <v>0</v>
      </c>
    </row>
    <row r="258" spans="1:8" ht="15.6" x14ac:dyDescent="0.3">
      <c r="A258" s="618" t="s">
        <v>8</v>
      </c>
      <c r="B258" s="619"/>
      <c r="C258" s="5" t="s">
        <v>3</v>
      </c>
      <c r="D258" s="1" t="e">
        <f t="shared" ref="D258:F258" si="94">D257/D256</f>
        <v>#DIV/0!</v>
      </c>
      <c r="E258" s="1" t="e">
        <f t="shared" si="94"/>
        <v>#DIV/0!</v>
      </c>
      <c r="F258" s="1" t="e">
        <f t="shared" si="94"/>
        <v>#DIV/0!</v>
      </c>
      <c r="G258" s="1" t="e">
        <f>Nkhudzi!M258+Nkhudzi!N258+Nkhudzi!O258</f>
        <v>#DIV/0!</v>
      </c>
      <c r="H258" s="108" t="e">
        <f t="shared" ref="H258" si="95">H257/H256</f>
        <v>#DIV/0!</v>
      </c>
    </row>
    <row r="259" spans="1:8" ht="15.6" x14ac:dyDescent="0.3">
      <c r="A259" s="618" t="s">
        <v>7</v>
      </c>
      <c r="B259" s="619"/>
      <c r="C259" s="5" t="s">
        <v>6</v>
      </c>
      <c r="D259" s="1" t="e">
        <f t="shared" ref="D259:F259" si="96">D92/D255*100</f>
        <v>#DIV/0!</v>
      </c>
      <c r="E259" s="1" t="e">
        <f t="shared" si="96"/>
        <v>#DIV/0!</v>
      </c>
      <c r="F259" s="1" t="e">
        <f t="shared" si="96"/>
        <v>#DIV/0!</v>
      </c>
      <c r="G259" s="1" t="e">
        <f>Nkhudzi!M259+Nkhudzi!N259+Nkhudzi!O259</f>
        <v>#DIV/0!</v>
      </c>
      <c r="H259" s="109" t="e">
        <f t="shared" ref="H259" si="97">H92/H255*100</f>
        <v>#DIV/0!</v>
      </c>
    </row>
    <row r="260" spans="1:8" x14ac:dyDescent="0.3">
      <c r="A260" s="543" t="s">
        <v>5</v>
      </c>
      <c r="B260" s="544"/>
      <c r="C260" s="544"/>
      <c r="D260" s="544"/>
      <c r="E260" s="544"/>
      <c r="F260" s="544"/>
      <c r="G260" s="544"/>
      <c r="H260" s="546"/>
    </row>
    <row r="261" spans="1:8" s="2" customFormat="1" ht="15" customHeight="1" x14ac:dyDescent="0.3">
      <c r="A261" s="567" t="s">
        <v>4</v>
      </c>
      <c r="B261" s="568"/>
      <c r="C261" s="5" t="s">
        <v>3</v>
      </c>
      <c r="D261" s="25">
        <f>Mangochi!M261+Mangochi!N261+Mangochi!O261</f>
        <v>0</v>
      </c>
      <c r="E261" s="25">
        <f>'Monkey Bay'!M261+'Monkey Bay'!N261+'Monkey Bay'!O261</f>
        <v>0</v>
      </c>
      <c r="F261" s="25">
        <f>Namwera!M261+Namwera!N261+Namwera!O261</f>
        <v>0</v>
      </c>
      <c r="G261" s="25">
        <f>Nkhudzi!M261+Nkhudzi!N261+Nkhudzi!O261</f>
        <v>0</v>
      </c>
      <c r="H261" s="108"/>
    </row>
    <row r="262" spans="1:8" s="2" customFormat="1" ht="15.75" customHeight="1" x14ac:dyDescent="0.3">
      <c r="A262" s="567" t="s">
        <v>2</v>
      </c>
      <c r="B262" s="568"/>
      <c r="C262" s="5" t="s">
        <v>0</v>
      </c>
      <c r="D262" s="25">
        <f>Mangochi!M262+Mangochi!N262+Mangochi!O262</f>
        <v>0</v>
      </c>
      <c r="E262" s="25">
        <f>'Monkey Bay'!M262+'Monkey Bay'!N262+'Monkey Bay'!O262</f>
        <v>0</v>
      </c>
      <c r="F262" s="25">
        <f>Namwera!M262+Namwera!N262+Namwera!O262</f>
        <v>0</v>
      </c>
      <c r="G262" s="25">
        <f>Nkhudzi!M262+Nkhudzi!N262+Nkhudzi!O262</f>
        <v>0</v>
      </c>
      <c r="H262" s="108"/>
    </row>
    <row r="263" spans="1:8" ht="16.2" thickBot="1" x14ac:dyDescent="0.35">
      <c r="A263" s="626" t="s">
        <v>1</v>
      </c>
      <c r="B263" s="627"/>
      <c r="C263" s="110" t="s">
        <v>0</v>
      </c>
      <c r="D263" s="111" t="e">
        <f t="shared" ref="D263:H263" si="98">D261/D262</f>
        <v>#DIV/0!</v>
      </c>
      <c r="E263" s="111" t="e">
        <f t="shared" si="98"/>
        <v>#DIV/0!</v>
      </c>
      <c r="F263" s="111" t="e">
        <f t="shared" si="98"/>
        <v>#DIV/0!</v>
      </c>
      <c r="G263" s="111" t="e">
        <f t="shared" si="98"/>
        <v>#DIV/0!</v>
      </c>
      <c r="H263" s="170" t="e">
        <f t="shared" si="98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P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9" sqref="G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5" width="20.109375" style="505" bestFit="1" customWidth="1"/>
    <col min="6" max="7" width="19.109375" style="505" customWidth="1"/>
    <col min="8" max="8" width="21.109375" style="505" bestFit="1" customWidth="1"/>
  </cols>
  <sheetData>
    <row r="1" spans="1:16" ht="18" thickBot="1" x14ac:dyDescent="0.35">
      <c r="A1" s="112" t="s">
        <v>177</v>
      </c>
      <c r="B1" s="113"/>
      <c r="C1" s="113"/>
      <c r="D1" s="508"/>
      <c r="E1" s="508"/>
      <c r="F1" s="508"/>
      <c r="G1" s="508"/>
      <c r="H1" s="489"/>
    </row>
    <row r="2" spans="1:16" ht="18" thickBot="1" x14ac:dyDescent="0.35">
      <c r="A2" s="87"/>
      <c r="B2" s="116"/>
      <c r="C2" s="116"/>
      <c r="D2" s="509"/>
      <c r="E2" s="509"/>
      <c r="F2" s="509"/>
      <c r="G2" s="509"/>
      <c r="H2" s="490"/>
    </row>
    <row r="3" spans="1:16" ht="18" thickBot="1" x14ac:dyDescent="0.35">
      <c r="A3" s="294" t="s">
        <v>224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6"/>
    </row>
    <row r="4" spans="1:16" ht="18" thickBot="1" x14ac:dyDescent="0.35">
      <c r="A4" s="88" t="s">
        <v>222</v>
      </c>
      <c r="B4" s="118"/>
      <c r="C4" s="118"/>
      <c r="D4" s="510"/>
      <c r="E4" s="510"/>
      <c r="F4" s="510"/>
      <c r="G4" s="510"/>
      <c r="H4" s="491"/>
    </row>
    <row r="5" spans="1:16" ht="14.4" customHeight="1" x14ac:dyDescent="0.3">
      <c r="A5" s="89" t="s">
        <v>222</v>
      </c>
      <c r="B5" s="90"/>
      <c r="C5" s="90"/>
      <c r="D5" s="511"/>
      <c r="E5" s="511"/>
      <c r="F5" s="511"/>
      <c r="G5" s="511"/>
      <c r="H5" s="492"/>
    </row>
    <row r="6" spans="1:16" ht="15" customHeight="1" thickBot="1" x14ac:dyDescent="0.35">
      <c r="A6" s="91"/>
      <c r="B6" s="92"/>
      <c r="C6" s="92"/>
      <c r="D6" s="512"/>
      <c r="E6" s="512"/>
      <c r="F6" s="512"/>
      <c r="G6" s="512"/>
      <c r="H6" s="493"/>
    </row>
    <row r="7" spans="1:16" ht="18" thickBot="1" x14ac:dyDescent="0.35">
      <c r="A7" s="536" t="s">
        <v>176</v>
      </c>
      <c r="B7" s="537"/>
      <c r="C7" s="60" t="s">
        <v>175</v>
      </c>
      <c r="D7" s="514" t="s">
        <v>219</v>
      </c>
      <c r="E7" s="514" t="s">
        <v>220</v>
      </c>
      <c r="F7" s="514" t="s">
        <v>221</v>
      </c>
      <c r="G7" s="514" t="s">
        <v>223</v>
      </c>
      <c r="H7" s="515" t="s">
        <v>162</v>
      </c>
    </row>
    <row r="8" spans="1:16" ht="15" thickBot="1" x14ac:dyDescent="0.35">
      <c r="A8" s="538" t="s">
        <v>161</v>
      </c>
      <c r="B8" s="539"/>
      <c r="C8" s="539"/>
      <c r="D8" s="539"/>
      <c r="E8" s="539"/>
      <c r="F8" s="539"/>
      <c r="G8" s="539"/>
      <c r="H8" s="540"/>
    </row>
    <row r="9" spans="1:16" x14ac:dyDescent="0.3">
      <c r="A9" s="541" t="s">
        <v>178</v>
      </c>
      <c r="B9" s="542"/>
      <c r="C9" s="57" t="s">
        <v>154</v>
      </c>
      <c r="D9" s="56">
        <f>Mangochi!P9</f>
        <v>305608</v>
      </c>
      <c r="E9" s="56">
        <f>'Monkey Bay'!P9</f>
        <v>116050</v>
      </c>
      <c r="F9" s="56">
        <f>Namwera!P9</f>
        <v>8386</v>
      </c>
      <c r="G9" s="56">
        <f>Nkhudzi!P9</f>
        <v>73551</v>
      </c>
      <c r="H9" s="142">
        <f>SUM(D9:G9)</f>
        <v>503595</v>
      </c>
    </row>
    <row r="10" spans="1:16" ht="14.4" x14ac:dyDescent="0.3">
      <c r="A10" s="543" t="s">
        <v>179</v>
      </c>
      <c r="B10" s="544"/>
      <c r="C10" s="544"/>
      <c r="D10" s="545"/>
      <c r="E10" s="545"/>
      <c r="F10" s="545"/>
      <c r="G10" s="545"/>
      <c r="H10" s="546"/>
    </row>
    <row r="11" spans="1:16" x14ac:dyDescent="0.3">
      <c r="A11" s="547" t="s">
        <v>159</v>
      </c>
      <c r="B11" s="548"/>
      <c r="C11" s="11" t="s">
        <v>154</v>
      </c>
      <c r="D11" s="25">
        <f>Mangochi!P11</f>
        <v>113884</v>
      </c>
      <c r="E11" s="25">
        <f>'Monkey Bay'!P11</f>
        <v>35792</v>
      </c>
      <c r="F11" s="25">
        <f>Namwera!P11</f>
        <v>21</v>
      </c>
      <c r="G11" s="25">
        <f>Nkhudzi!P11</f>
        <v>227</v>
      </c>
      <c r="H11" s="54">
        <f t="shared" ref="H11:H14" si="0">SUM(D11:G11)</f>
        <v>149924</v>
      </c>
    </row>
    <row r="12" spans="1:16" x14ac:dyDescent="0.3">
      <c r="A12" s="547" t="s">
        <v>158</v>
      </c>
      <c r="B12" s="548"/>
      <c r="C12" s="11" t="s">
        <v>154</v>
      </c>
      <c r="D12" s="25">
        <f>Mangochi!P12</f>
        <v>0</v>
      </c>
      <c r="E12" s="25">
        <f>'Monkey Bay'!P12</f>
        <v>0</v>
      </c>
      <c r="F12" s="25">
        <f>Namwera!P12</f>
        <v>0</v>
      </c>
      <c r="G12" s="25">
        <f>Nkhudzi!P12</f>
        <v>0</v>
      </c>
      <c r="H12" s="54">
        <f t="shared" si="0"/>
        <v>0</v>
      </c>
    </row>
    <row r="13" spans="1:16" x14ac:dyDescent="0.3">
      <c r="A13" s="547" t="s">
        <v>157</v>
      </c>
      <c r="B13" s="548"/>
      <c r="C13" s="11" t="s">
        <v>154</v>
      </c>
      <c r="D13" s="25">
        <f>Mangochi!P13</f>
        <v>304</v>
      </c>
      <c r="E13" s="25">
        <f>'Monkey Bay'!P13</f>
        <v>8915</v>
      </c>
      <c r="F13" s="25">
        <f>Namwera!P13</f>
        <v>7</v>
      </c>
      <c r="G13" s="25">
        <f>Nkhudzi!P13</f>
        <v>403</v>
      </c>
      <c r="H13" s="54">
        <f t="shared" si="0"/>
        <v>9629</v>
      </c>
    </row>
    <row r="14" spans="1:16" x14ac:dyDescent="0.3">
      <c r="A14" s="549" t="s">
        <v>156</v>
      </c>
      <c r="B14" s="550"/>
      <c r="C14" s="11" t="s">
        <v>154</v>
      </c>
      <c r="D14" s="25">
        <f>Mangochi!P14</f>
        <v>143</v>
      </c>
      <c r="E14" s="25">
        <f>'Monkey Bay'!P14</f>
        <v>0</v>
      </c>
      <c r="F14" s="25">
        <f>Namwera!P14</f>
        <v>0</v>
      </c>
      <c r="G14" s="25">
        <f>Nkhudzi!P14</f>
        <v>2</v>
      </c>
      <c r="H14" s="54">
        <f t="shared" si="0"/>
        <v>145</v>
      </c>
    </row>
    <row r="15" spans="1:16" s="62" customFormat="1" x14ac:dyDescent="0.3">
      <c r="A15" s="551" t="s">
        <v>160</v>
      </c>
      <c r="B15" s="552"/>
      <c r="C15" s="61" t="s">
        <v>154</v>
      </c>
      <c r="D15" s="33">
        <f t="shared" ref="D15:H15" si="1">SUM(D11:D14)</f>
        <v>114331</v>
      </c>
      <c r="E15" s="33">
        <f t="shared" si="1"/>
        <v>44707</v>
      </c>
      <c r="F15" s="33">
        <f t="shared" si="1"/>
        <v>28</v>
      </c>
      <c r="G15" s="33">
        <f t="shared" ref="G15" si="2">SUM(G11:G14)</f>
        <v>632</v>
      </c>
      <c r="H15" s="54">
        <f t="shared" si="1"/>
        <v>159698</v>
      </c>
    </row>
    <row r="16" spans="1:16" s="2" customFormat="1" ht="14.4" x14ac:dyDescent="0.3">
      <c r="A16" s="543" t="s">
        <v>180</v>
      </c>
      <c r="B16" s="544"/>
      <c r="C16" s="544"/>
      <c r="D16" s="544"/>
      <c r="E16" s="544"/>
      <c r="F16" s="544"/>
      <c r="G16" s="544"/>
      <c r="H16" s="546"/>
    </row>
    <row r="17" spans="1:8" s="2" customFormat="1" x14ac:dyDescent="0.3">
      <c r="A17" s="547" t="s">
        <v>182</v>
      </c>
      <c r="B17" s="548"/>
      <c r="C17" s="11" t="s">
        <v>154</v>
      </c>
      <c r="D17" s="25">
        <f>Mangochi!P17</f>
        <v>54757.599999999999</v>
      </c>
      <c r="E17" s="25">
        <f>'Monkey Bay'!P17</f>
        <v>18175.100000000013</v>
      </c>
      <c r="F17" s="25">
        <f>Namwera!P17</f>
        <v>6849.7999999999993</v>
      </c>
      <c r="G17" s="25">
        <f>Nkhudzi!P17</f>
        <v>48893.799999999916</v>
      </c>
      <c r="H17" s="54">
        <f t="shared" ref="H17:H20" si="3">SUM(D17:G17)</f>
        <v>128676.29999999993</v>
      </c>
    </row>
    <row r="18" spans="1:8" s="2" customFormat="1" x14ac:dyDescent="0.3">
      <c r="A18" s="547" t="s">
        <v>183</v>
      </c>
      <c r="B18" s="548"/>
      <c r="C18" s="11" t="s">
        <v>154</v>
      </c>
      <c r="D18" s="25">
        <f>Mangochi!P18</f>
        <v>9208.5</v>
      </c>
      <c r="E18" s="25">
        <f>'Monkey Bay'!P18</f>
        <v>2244.6000000000004</v>
      </c>
      <c r="F18" s="25">
        <f>Namwera!P18</f>
        <v>0</v>
      </c>
      <c r="G18" s="25">
        <f>Nkhudzi!P18</f>
        <v>1359.6000000000001</v>
      </c>
      <c r="H18" s="54">
        <f t="shared" si="3"/>
        <v>12812.7</v>
      </c>
    </row>
    <row r="19" spans="1:8" s="2" customFormat="1" x14ac:dyDescent="0.3">
      <c r="A19" s="547" t="s">
        <v>184</v>
      </c>
      <c r="B19" s="548"/>
      <c r="C19" s="11" t="s">
        <v>154</v>
      </c>
      <c r="D19" s="25">
        <f>Mangochi!P19</f>
        <v>10854.9</v>
      </c>
      <c r="E19" s="25">
        <f>'Monkey Bay'!P19</f>
        <v>4598.5</v>
      </c>
      <c r="F19" s="25">
        <f>Namwera!P19</f>
        <v>753.90000000000009</v>
      </c>
      <c r="G19" s="25">
        <f>Nkhudzi!P19</f>
        <v>967.59999999999991</v>
      </c>
      <c r="H19" s="54">
        <f t="shared" si="3"/>
        <v>17174.899999999998</v>
      </c>
    </row>
    <row r="20" spans="1:8" s="2" customFormat="1" x14ac:dyDescent="0.3">
      <c r="A20" s="549" t="s">
        <v>185</v>
      </c>
      <c r="B20" s="550"/>
      <c r="C20" s="11" t="s">
        <v>154</v>
      </c>
      <c r="D20" s="25">
        <f>Mangochi!P20</f>
        <v>4331.5999999999958</v>
      </c>
      <c r="E20" s="25">
        <f>'Monkey Bay'!P20</f>
        <v>1167.8000000000002</v>
      </c>
      <c r="F20" s="25">
        <f>Namwera!P20</f>
        <v>27.799999999999997</v>
      </c>
      <c r="G20" s="25">
        <f>Nkhudzi!P20</f>
        <v>2284.9999999999995</v>
      </c>
      <c r="H20" s="54">
        <f t="shared" si="3"/>
        <v>7812.1999999999953</v>
      </c>
    </row>
    <row r="21" spans="1:8" s="70" customFormat="1" x14ac:dyDescent="0.3">
      <c r="A21" s="551" t="s">
        <v>186</v>
      </c>
      <c r="B21" s="552"/>
      <c r="C21" s="61" t="s">
        <v>154</v>
      </c>
      <c r="D21" s="33">
        <f>SUM(D17:D20)</f>
        <v>79152.599999999991</v>
      </c>
      <c r="E21" s="33">
        <f t="shared" ref="E21:H21" si="4">SUM(E17:E20)</f>
        <v>26186.000000000011</v>
      </c>
      <c r="F21" s="33">
        <f t="shared" si="4"/>
        <v>7631.4999999999991</v>
      </c>
      <c r="G21" s="33">
        <f t="shared" ref="G21" si="5">SUM(G17:G20)</f>
        <v>53505.999999999913</v>
      </c>
      <c r="H21" s="54">
        <f t="shared" si="4"/>
        <v>166476.09999999992</v>
      </c>
    </row>
    <row r="22" spans="1:8" s="2" customFormat="1" x14ac:dyDescent="0.3">
      <c r="A22" s="186" t="s">
        <v>187</v>
      </c>
      <c r="B22" s="179"/>
      <c r="C22" s="11" t="s">
        <v>154</v>
      </c>
      <c r="D22" s="33">
        <f>D21+D15</f>
        <v>193483.59999999998</v>
      </c>
      <c r="E22" s="33">
        <f t="shared" ref="E22:H22" si="6">E21+E15</f>
        <v>70893.000000000015</v>
      </c>
      <c r="F22" s="33">
        <f t="shared" si="6"/>
        <v>7659.4999999999991</v>
      </c>
      <c r="G22" s="33">
        <f t="shared" ref="G22" si="7">G21+G15</f>
        <v>54137.999999999913</v>
      </c>
      <c r="H22" s="54">
        <f t="shared" si="6"/>
        <v>326174.09999999992</v>
      </c>
    </row>
    <row r="23" spans="1:8" ht="14.4" x14ac:dyDescent="0.3">
      <c r="A23" s="543" t="s">
        <v>217</v>
      </c>
      <c r="B23" s="544"/>
      <c r="C23" s="544"/>
      <c r="D23" s="544"/>
      <c r="E23" s="544"/>
      <c r="F23" s="544"/>
      <c r="G23" s="544"/>
      <c r="H23" s="546"/>
    </row>
    <row r="24" spans="1:8" x14ac:dyDescent="0.3">
      <c r="A24" s="553" t="s">
        <v>181</v>
      </c>
      <c r="B24" s="36" t="s">
        <v>155</v>
      </c>
      <c r="C24" s="5" t="s">
        <v>154</v>
      </c>
      <c r="D24" s="53">
        <f>D9-D22</f>
        <v>112124.40000000002</v>
      </c>
      <c r="E24" s="53">
        <f t="shared" ref="E24:H24" si="8">E9-E22</f>
        <v>45156.999999999985</v>
      </c>
      <c r="F24" s="53">
        <f t="shared" si="8"/>
        <v>726.50000000000091</v>
      </c>
      <c r="G24" s="53">
        <f t="shared" ref="G24" si="9">G9-G22</f>
        <v>19413.000000000087</v>
      </c>
      <c r="H24" s="94">
        <f t="shared" si="8"/>
        <v>177420.90000000008</v>
      </c>
    </row>
    <row r="25" spans="1:8" x14ac:dyDescent="0.3">
      <c r="A25" s="554"/>
      <c r="B25" s="52" t="s">
        <v>153</v>
      </c>
      <c r="C25" s="51" t="s">
        <v>6</v>
      </c>
      <c r="D25" s="50">
        <f t="shared" ref="D25:H25" si="10">D24/D9</f>
        <v>0.36688961021962785</v>
      </c>
      <c r="E25" s="50">
        <f t="shared" si="10"/>
        <v>0.38911676001723383</v>
      </c>
      <c r="F25" s="50">
        <f t="shared" si="10"/>
        <v>8.6632482709277481E-2</v>
      </c>
      <c r="G25" s="50">
        <f t="shared" ref="G25" si="11">G24/G9</f>
        <v>0.26393930741934285</v>
      </c>
      <c r="H25" s="143">
        <f t="shared" si="10"/>
        <v>0.35230870044380919</v>
      </c>
    </row>
    <row r="26" spans="1:8" ht="14.4" x14ac:dyDescent="0.3">
      <c r="A26" s="543" t="s">
        <v>152</v>
      </c>
      <c r="B26" s="544"/>
      <c r="C26" s="544"/>
      <c r="D26" s="544"/>
      <c r="E26" s="544"/>
      <c r="F26" s="544"/>
      <c r="G26" s="544"/>
      <c r="H26" s="546"/>
    </row>
    <row r="27" spans="1:8" ht="14.4" x14ac:dyDescent="0.3">
      <c r="A27" s="559" t="s">
        <v>151</v>
      </c>
      <c r="B27" s="560"/>
      <c r="C27" s="560"/>
      <c r="D27" s="560"/>
      <c r="E27" s="560"/>
      <c r="F27" s="560"/>
      <c r="G27" s="560"/>
      <c r="H27" s="561"/>
    </row>
    <row r="28" spans="1:8" x14ac:dyDescent="0.3">
      <c r="A28" s="96" t="s">
        <v>150</v>
      </c>
      <c r="B28" s="49" t="s">
        <v>149</v>
      </c>
      <c r="C28" s="48"/>
      <c r="D28" s="46"/>
      <c r="E28" s="46"/>
      <c r="F28" s="46"/>
      <c r="G28" s="46"/>
      <c r="H28" s="45"/>
    </row>
    <row r="29" spans="1:8" x14ac:dyDescent="0.3">
      <c r="A29" s="562" t="s">
        <v>148</v>
      </c>
      <c r="B29" s="557">
        <v>3525.29</v>
      </c>
      <c r="C29" s="5" t="s">
        <v>142</v>
      </c>
      <c r="D29" s="25">
        <f>Mangochi!P29</f>
        <v>1035.3900000000001</v>
      </c>
      <c r="E29" s="25">
        <f>'Monkey Bay'!P29</f>
        <v>230</v>
      </c>
      <c r="F29" s="25">
        <f>Namwera!P29</f>
        <v>8.5</v>
      </c>
      <c r="G29" s="25">
        <f>Nkhudzi!P29</f>
        <v>139.11000000000001</v>
      </c>
      <c r="H29" s="44">
        <f>SUM(D29:G29)</f>
        <v>1413</v>
      </c>
    </row>
    <row r="30" spans="1:8" x14ac:dyDescent="0.3">
      <c r="A30" s="563"/>
      <c r="B30" s="558"/>
      <c r="C30" s="41" t="s">
        <v>141</v>
      </c>
      <c r="D30" s="15">
        <f t="shared" ref="D30:H30" si="12">D29/(D9/1000)</f>
        <v>3.3879675924714014</v>
      </c>
      <c r="E30" s="15">
        <f t="shared" si="12"/>
        <v>1.981904351572598</v>
      </c>
      <c r="F30" s="15">
        <f t="shared" si="12"/>
        <v>1.013594085380396</v>
      </c>
      <c r="G30" s="15">
        <f t="shared" ref="G30" si="13">G29/(G9/1000)</f>
        <v>1.8913407023697844</v>
      </c>
      <c r="H30" s="97">
        <f t="shared" si="12"/>
        <v>2.8058261102671787</v>
      </c>
    </row>
    <row r="31" spans="1:8" x14ac:dyDescent="0.3">
      <c r="A31" s="555" t="s">
        <v>147</v>
      </c>
      <c r="B31" s="557">
        <v>1060.0102199999999</v>
      </c>
      <c r="C31" s="5" t="s">
        <v>142</v>
      </c>
      <c r="D31" s="25">
        <f>Mangochi!P31</f>
        <v>0</v>
      </c>
      <c r="E31" s="25">
        <f>'Monkey Bay'!P31</f>
        <v>0</v>
      </c>
      <c r="F31" s="25">
        <f>Namwera!P31</f>
        <v>0</v>
      </c>
      <c r="G31" s="25">
        <f>Nkhudzi!Q31</f>
        <v>0</v>
      </c>
      <c r="H31" s="44">
        <f>SUM(D31:G31)</f>
        <v>0</v>
      </c>
    </row>
    <row r="32" spans="1:8" x14ac:dyDescent="0.3">
      <c r="A32" s="556"/>
      <c r="B32" s="558"/>
      <c r="C32" s="41" t="s">
        <v>141</v>
      </c>
      <c r="D32" s="15">
        <f t="shared" ref="D32:H32" si="14">D31/(D9/1000)</f>
        <v>0</v>
      </c>
      <c r="E32" s="15">
        <f t="shared" si="14"/>
        <v>0</v>
      </c>
      <c r="F32" s="15">
        <f t="shared" si="14"/>
        <v>0</v>
      </c>
      <c r="G32" s="15">
        <f>Nkhudzi!Q32</f>
        <v>0</v>
      </c>
      <c r="H32" s="97">
        <f t="shared" si="14"/>
        <v>0</v>
      </c>
    </row>
    <row r="33" spans="1:8" x14ac:dyDescent="0.3">
      <c r="A33" s="555" t="s">
        <v>146</v>
      </c>
      <c r="B33" s="557">
        <v>1228.2886000000001</v>
      </c>
      <c r="C33" s="5" t="s">
        <v>142</v>
      </c>
      <c r="D33" s="25">
        <f>Mangochi!P33</f>
        <v>0</v>
      </c>
      <c r="E33" s="25">
        <f>'Monkey Bay'!P33</f>
        <v>0</v>
      </c>
      <c r="F33" s="25">
        <f>Namwera!P33</f>
        <v>0</v>
      </c>
      <c r="G33" s="25">
        <f>Nkhudzi!Q33</f>
        <v>0</v>
      </c>
      <c r="H33" s="44">
        <f>SUM(D33:F33)</f>
        <v>0</v>
      </c>
    </row>
    <row r="34" spans="1:8" x14ac:dyDescent="0.3">
      <c r="A34" s="556"/>
      <c r="B34" s="558"/>
      <c r="C34" s="41" t="s">
        <v>141</v>
      </c>
      <c r="D34" s="15">
        <f t="shared" ref="D34:H34" si="15">D33/(D9/1000)</f>
        <v>0</v>
      </c>
      <c r="E34" s="15">
        <f t="shared" si="15"/>
        <v>0</v>
      </c>
      <c r="F34" s="15">
        <f t="shared" si="15"/>
        <v>0</v>
      </c>
      <c r="G34" s="15">
        <f>Nkhudzi!Q34</f>
        <v>0</v>
      </c>
      <c r="H34" s="97">
        <f t="shared" si="15"/>
        <v>0</v>
      </c>
    </row>
    <row r="35" spans="1:8" x14ac:dyDescent="0.3">
      <c r="A35" s="555" t="s">
        <v>145</v>
      </c>
      <c r="B35" s="557">
        <v>3726.7258000000002</v>
      </c>
      <c r="C35" s="5" t="s">
        <v>128</v>
      </c>
      <c r="D35" s="25">
        <f>Mangochi!P35</f>
        <v>0</v>
      </c>
      <c r="E35" s="25">
        <f>'Monkey Bay'!P35</f>
        <v>0</v>
      </c>
      <c r="F35" s="25">
        <f>Namwera!P35</f>
        <v>0</v>
      </c>
      <c r="G35" s="25">
        <f>Nkhudzi!Q35</f>
        <v>0</v>
      </c>
      <c r="H35" s="97"/>
    </row>
    <row r="36" spans="1:8" x14ac:dyDescent="0.3">
      <c r="A36" s="556"/>
      <c r="B36" s="558"/>
      <c r="C36" s="5" t="s">
        <v>144</v>
      </c>
      <c r="D36" s="13"/>
      <c r="E36" s="13"/>
      <c r="F36" s="13"/>
      <c r="G36" s="13">
        <f>Nkhudzi!Q36</f>
        <v>0</v>
      </c>
      <c r="H36" s="97"/>
    </row>
    <row r="37" spans="1:8" x14ac:dyDescent="0.3">
      <c r="A37" s="555" t="s">
        <v>188</v>
      </c>
      <c r="B37" s="557">
        <v>3951.5935999999997</v>
      </c>
      <c r="C37" s="5" t="s">
        <v>128</v>
      </c>
      <c r="D37" s="25">
        <f>Mangochi!P37</f>
        <v>0</v>
      </c>
      <c r="E37" s="25">
        <f>'Monkey Bay'!P37</f>
        <v>0</v>
      </c>
      <c r="F37" s="25">
        <f>Namwera!P37</f>
        <v>0</v>
      </c>
      <c r="G37" s="25">
        <f>Nkhudzi!Q37</f>
        <v>0</v>
      </c>
      <c r="H37" s="44">
        <f>SUM(D37:F37)</f>
        <v>0</v>
      </c>
    </row>
    <row r="38" spans="1:8" x14ac:dyDescent="0.3">
      <c r="A38" s="556"/>
      <c r="B38" s="558"/>
      <c r="C38" s="5" t="s">
        <v>144</v>
      </c>
      <c r="D38" s="15">
        <f t="shared" ref="D38:H38" si="16">D37/(D9/1000)</f>
        <v>0</v>
      </c>
      <c r="E38" s="15">
        <f t="shared" si="16"/>
        <v>0</v>
      </c>
      <c r="F38" s="15">
        <f t="shared" si="16"/>
        <v>0</v>
      </c>
      <c r="G38" s="15">
        <f>Nkhudzi!Q38</f>
        <v>0</v>
      </c>
      <c r="H38" s="97">
        <f t="shared" si="16"/>
        <v>0</v>
      </c>
    </row>
    <row r="39" spans="1:8" x14ac:dyDescent="0.3">
      <c r="A39" s="555" t="s">
        <v>143</v>
      </c>
      <c r="B39" s="557">
        <v>1950</v>
      </c>
      <c r="C39" s="5" t="s">
        <v>142</v>
      </c>
      <c r="D39" s="25">
        <f>Mangochi!P39</f>
        <v>0</v>
      </c>
      <c r="E39" s="25">
        <f>'Monkey Bay'!P39</f>
        <v>0</v>
      </c>
      <c r="F39" s="25">
        <f>Namwera!P39</f>
        <v>0</v>
      </c>
      <c r="G39" s="25">
        <f>Nkhudzi!Q39</f>
        <v>0</v>
      </c>
      <c r="H39" s="44">
        <f>SUM(D39:F39)</f>
        <v>0</v>
      </c>
    </row>
    <row r="40" spans="1:8" x14ac:dyDescent="0.3">
      <c r="A40" s="556"/>
      <c r="B40" s="558"/>
      <c r="C40" s="41" t="s">
        <v>141</v>
      </c>
      <c r="D40" s="15">
        <f t="shared" ref="D40:H40" si="17">D39/(D9/1000)</f>
        <v>0</v>
      </c>
      <c r="E40" s="15">
        <f t="shared" si="17"/>
        <v>0</v>
      </c>
      <c r="F40" s="15">
        <f t="shared" si="17"/>
        <v>0</v>
      </c>
      <c r="G40" s="15">
        <f>Nkhudzi!Q40</f>
        <v>0</v>
      </c>
      <c r="H40" s="97">
        <f t="shared" si="17"/>
        <v>0</v>
      </c>
    </row>
    <row r="41" spans="1:8" x14ac:dyDescent="0.3">
      <c r="A41" s="549" t="s">
        <v>140</v>
      </c>
      <c r="B41" s="550"/>
      <c r="C41" s="11" t="s">
        <v>31</v>
      </c>
      <c r="D41" s="40">
        <f>(D29*$B29)+(D31*$B31)+(D33*$B33)+(D35*$B35)+(D37*$B37)+(D39*$B39)</f>
        <v>3650050.0131000001</v>
      </c>
      <c r="E41" s="40">
        <f t="shared" ref="E41:F41" si="18">(E29*$B29)+(E31*$B31)+(E33*$B33)+(E35*$B35)+(E37*$B37)+(E39*$B39)</f>
        <v>810816.7</v>
      </c>
      <c r="F41" s="40">
        <f t="shared" si="18"/>
        <v>29964.965</v>
      </c>
      <c r="G41" s="40">
        <f t="shared" ref="G41" si="19">(G29*$B29)+(G31*$B31)+(G33*$B33)+(G35*$B35)+(G37*$B37)+(G39*$B39)</f>
        <v>490403.09190000006</v>
      </c>
      <c r="H41" s="38">
        <f>SUM(D41:G41)</f>
        <v>4981234.7700000005</v>
      </c>
    </row>
    <row r="42" spans="1:8" x14ac:dyDescent="0.3">
      <c r="A42" s="569" t="s">
        <v>139</v>
      </c>
      <c r="B42" s="570"/>
      <c r="C42" s="41" t="s">
        <v>117</v>
      </c>
      <c r="D42" s="15">
        <f t="shared" ref="D42:H42" si="20">D41/D9</f>
        <v>11.943568274063507</v>
      </c>
      <c r="E42" s="15">
        <f t="shared" si="20"/>
        <v>6.9867875915553634</v>
      </c>
      <c r="F42" s="15">
        <f t="shared" si="20"/>
        <v>3.5732130932506561</v>
      </c>
      <c r="G42" s="15">
        <f t="shared" ref="G42" si="21">G41/G9</f>
        <v>6.6675244646571779</v>
      </c>
      <c r="H42" s="43">
        <f t="shared" si="20"/>
        <v>9.8913507282637845</v>
      </c>
    </row>
    <row r="43" spans="1:8" ht="14.4" x14ac:dyDescent="0.3">
      <c r="A43" s="564" t="s">
        <v>138</v>
      </c>
      <c r="B43" s="565"/>
      <c r="C43" s="565"/>
      <c r="D43" s="565"/>
      <c r="E43" s="565"/>
      <c r="F43" s="565"/>
      <c r="G43" s="565"/>
      <c r="H43" s="566"/>
    </row>
    <row r="44" spans="1:8" x14ac:dyDescent="0.3">
      <c r="A44" s="549" t="s">
        <v>137</v>
      </c>
      <c r="B44" s="550"/>
      <c r="C44" s="11" t="s">
        <v>136</v>
      </c>
      <c r="D44" s="25">
        <f>Mangochi!P44</f>
        <v>56848.160000000003</v>
      </c>
      <c r="E44" s="25">
        <f>'Monkey Bay'!P44</f>
        <v>50914</v>
      </c>
      <c r="F44" s="25">
        <f>Namwera!P44</f>
        <v>8410</v>
      </c>
      <c r="G44" s="25">
        <f>Nkhudzi!P44</f>
        <v>189524</v>
      </c>
      <c r="H44" s="38">
        <f>SUM(D44:G44)</f>
        <v>305696.16000000003</v>
      </c>
    </row>
    <row r="45" spans="1:8" x14ac:dyDescent="0.3">
      <c r="A45" s="569" t="s">
        <v>135</v>
      </c>
      <c r="B45" s="570"/>
      <c r="C45" s="41" t="s">
        <v>134</v>
      </c>
      <c r="D45" s="15">
        <f t="shared" ref="D45:H45" si="22">D44/D9</f>
        <v>0.18601659642417739</v>
      </c>
      <c r="E45" s="15">
        <f t="shared" si="22"/>
        <v>0.43872468763464023</v>
      </c>
      <c r="F45" s="15">
        <f t="shared" si="22"/>
        <v>1.0028619127116623</v>
      </c>
      <c r="G45" s="15">
        <f t="shared" ref="G45" si="23">G44/G9</f>
        <v>2.5767698603689957</v>
      </c>
      <c r="H45" s="97">
        <f t="shared" si="22"/>
        <v>0.60702779018854447</v>
      </c>
    </row>
    <row r="46" spans="1:8" x14ac:dyDescent="0.3">
      <c r="A46" s="567" t="s">
        <v>133</v>
      </c>
      <c r="B46" s="568"/>
      <c r="C46" s="5" t="s">
        <v>31</v>
      </c>
      <c r="D46" s="25">
        <f>Mangochi!P46</f>
        <v>9735801.2684000023</v>
      </c>
      <c r="E46" s="25">
        <f>'Monkey Bay'!P46</f>
        <v>8743743.2349999994</v>
      </c>
      <c r="F46" s="25">
        <f>Namwera!P46</f>
        <v>1638030.7750000001</v>
      </c>
      <c r="G46" s="25">
        <f>Nkhudzi!P46</f>
        <v>31916216.509999998</v>
      </c>
      <c r="H46" s="38">
        <f>SUM(D46:G46)</f>
        <v>52033791.788399994</v>
      </c>
    </row>
    <row r="47" spans="1:8" s="2" customFormat="1" x14ac:dyDescent="0.3">
      <c r="A47" s="549" t="s">
        <v>132</v>
      </c>
      <c r="B47" s="550"/>
      <c r="C47" s="11" t="s">
        <v>117</v>
      </c>
      <c r="D47" s="15">
        <f t="shared" ref="D47:H47" si="24">D46/D9</f>
        <v>31.857154486793547</v>
      </c>
      <c r="E47" s="15">
        <f t="shared" si="24"/>
        <v>75.344620723825926</v>
      </c>
      <c r="F47" s="15">
        <f t="shared" si="24"/>
        <v>195.32921237777251</v>
      </c>
      <c r="G47" s="15">
        <f t="shared" ref="G47" si="25">G46/G9</f>
        <v>433.9331417655776</v>
      </c>
      <c r="H47" s="97">
        <f t="shared" si="24"/>
        <v>103.32467913382777</v>
      </c>
    </row>
    <row r="48" spans="1:8" ht="14.4" x14ac:dyDescent="0.3">
      <c r="A48" s="564" t="s">
        <v>131</v>
      </c>
      <c r="B48" s="565"/>
      <c r="C48" s="565"/>
      <c r="D48" s="565"/>
      <c r="E48" s="565"/>
      <c r="F48" s="565"/>
      <c r="G48" s="565"/>
      <c r="H48" s="566"/>
    </row>
    <row r="49" spans="1:8" x14ac:dyDescent="0.3">
      <c r="A49" s="549" t="s">
        <v>130</v>
      </c>
      <c r="B49" s="550"/>
      <c r="C49" s="5" t="s">
        <v>129</v>
      </c>
      <c r="D49" s="25">
        <f>Mangochi!P49</f>
        <v>4429</v>
      </c>
      <c r="E49" s="25">
        <f>'Monkey Bay'!P49</f>
        <v>0</v>
      </c>
      <c r="F49" s="25">
        <f>Namwera!P49</f>
        <v>0</v>
      </c>
      <c r="G49" s="25">
        <f>Nkhudzi!P49</f>
        <v>0</v>
      </c>
      <c r="H49" s="38">
        <f t="shared" ref="H49:H52" si="26">SUM(D49:G49)</f>
        <v>4429</v>
      </c>
    </row>
    <row r="50" spans="1:8" x14ac:dyDescent="0.3">
      <c r="A50" s="549" t="s">
        <v>189</v>
      </c>
      <c r="B50" s="550"/>
      <c r="C50" s="5" t="s">
        <v>128</v>
      </c>
      <c r="D50" s="25">
        <f>Mangochi!P50</f>
        <v>544.79999999999995</v>
      </c>
      <c r="E50" s="25">
        <f>'Monkey Bay'!P50</f>
        <v>0</v>
      </c>
      <c r="F50" s="25">
        <f>Namwera!P50</f>
        <v>0</v>
      </c>
      <c r="G50" s="25">
        <f>Nkhudzi!P50</f>
        <v>0</v>
      </c>
      <c r="H50" s="38">
        <f t="shared" si="26"/>
        <v>544.79999999999995</v>
      </c>
    </row>
    <row r="51" spans="1:8" x14ac:dyDescent="0.3">
      <c r="A51" s="567" t="s">
        <v>127</v>
      </c>
      <c r="B51" s="568"/>
      <c r="C51" s="5" t="s">
        <v>31</v>
      </c>
      <c r="D51" s="25">
        <f>Mangochi!P51</f>
        <v>3630827.6</v>
      </c>
      <c r="E51" s="25">
        <f>'Monkey Bay'!P51</f>
        <v>0</v>
      </c>
      <c r="F51" s="25">
        <f>Namwera!P51</f>
        <v>0</v>
      </c>
      <c r="G51" s="25">
        <f>Nkhudzi!P51</f>
        <v>0</v>
      </c>
      <c r="H51" s="39">
        <f t="shared" si="26"/>
        <v>3630827.6</v>
      </c>
    </row>
    <row r="52" spans="1:8" x14ac:dyDescent="0.3">
      <c r="A52" s="549" t="s">
        <v>126</v>
      </c>
      <c r="B52" s="550"/>
      <c r="C52" s="5" t="s">
        <v>31</v>
      </c>
      <c r="D52" s="25">
        <f>Mangochi!P52</f>
        <v>0</v>
      </c>
      <c r="E52" s="25">
        <f>'Monkey Bay'!P52</f>
        <v>0</v>
      </c>
      <c r="F52" s="25">
        <f>Namwera!P52</f>
        <v>0</v>
      </c>
      <c r="G52" s="25">
        <f>Nkhudzi!P52</f>
        <v>0</v>
      </c>
      <c r="H52" s="39">
        <f t="shared" si="26"/>
        <v>0</v>
      </c>
    </row>
    <row r="53" spans="1:8" ht="14.4" x14ac:dyDescent="0.3">
      <c r="A53" s="564" t="s">
        <v>125</v>
      </c>
      <c r="B53" s="565"/>
      <c r="C53" s="565"/>
      <c r="D53" s="565"/>
      <c r="E53" s="565"/>
      <c r="F53" s="565"/>
      <c r="G53" s="565"/>
      <c r="H53" s="566"/>
    </row>
    <row r="54" spans="1:8" x14ac:dyDescent="0.3">
      <c r="A54" s="549" t="s">
        <v>124</v>
      </c>
      <c r="B54" s="550"/>
      <c r="C54" s="11" t="s">
        <v>18</v>
      </c>
      <c r="D54" s="25">
        <f>Mangochi!P54</f>
        <v>65632218.710000008</v>
      </c>
      <c r="E54" s="25">
        <f>'Monkey Bay'!P54</f>
        <v>8219217.9299999997</v>
      </c>
      <c r="F54" s="25">
        <f>Namwera!P54</f>
        <v>8496202.5799999982</v>
      </c>
      <c r="G54" s="25">
        <f>Nkhudzi!P54</f>
        <v>18178963.100000001</v>
      </c>
      <c r="H54" s="38">
        <f t="shared" ref="H54:H56" si="27">SUM(D54:G54)</f>
        <v>100526602.32000002</v>
      </c>
    </row>
    <row r="55" spans="1:8" x14ac:dyDescent="0.3">
      <c r="A55" s="178" t="s">
        <v>123</v>
      </c>
      <c r="B55" s="179"/>
      <c r="C55" s="11" t="s">
        <v>18</v>
      </c>
      <c r="D55" s="25">
        <f>Mangochi!P55</f>
        <v>9331735.4124999996</v>
      </c>
      <c r="E55" s="25">
        <f>'Monkey Bay'!P55</f>
        <v>3219061.7774999999</v>
      </c>
      <c r="F55" s="25">
        <f>Namwera!P55</f>
        <v>1853959.0899999999</v>
      </c>
      <c r="G55" s="25">
        <f>Nkhudzi!P55</f>
        <v>11666524.439999999</v>
      </c>
      <c r="H55" s="38">
        <f t="shared" si="27"/>
        <v>26071280.719999999</v>
      </c>
    </row>
    <row r="56" spans="1:8" x14ac:dyDescent="0.3">
      <c r="A56" s="549" t="s">
        <v>122</v>
      </c>
      <c r="B56" s="550"/>
      <c r="C56" s="5" t="s">
        <v>18</v>
      </c>
      <c r="D56" s="25">
        <f>Mangochi!P56</f>
        <v>7312980</v>
      </c>
      <c r="E56" s="25">
        <f>'Monkey Bay'!P56</f>
        <v>2008340</v>
      </c>
      <c r="F56" s="25">
        <f>Namwera!P56</f>
        <v>484410</v>
      </c>
      <c r="G56" s="25">
        <f>Nkhudzi!P56</f>
        <v>2511940</v>
      </c>
      <c r="H56" s="38">
        <f t="shared" si="27"/>
        <v>12317670</v>
      </c>
    </row>
    <row r="57" spans="1:8" ht="14.4" x14ac:dyDescent="0.3">
      <c r="A57" s="564" t="s">
        <v>121</v>
      </c>
      <c r="B57" s="565"/>
      <c r="C57" s="565"/>
      <c r="D57" s="565"/>
      <c r="E57" s="565"/>
      <c r="F57" s="565"/>
      <c r="G57" s="565"/>
      <c r="H57" s="566"/>
    </row>
    <row r="58" spans="1:8" x14ac:dyDescent="0.3">
      <c r="A58" s="567" t="s">
        <v>120</v>
      </c>
      <c r="B58" s="568"/>
      <c r="C58" s="5" t="s">
        <v>18</v>
      </c>
      <c r="D58" s="13">
        <f>D41+D46+D51+D52+D54+D55+D56</f>
        <v>99293613.004000008</v>
      </c>
      <c r="E58" s="13">
        <f t="shared" ref="E58:F58" si="28">E41+E46+E51+E52+E54+E55+E56</f>
        <v>23001179.642499998</v>
      </c>
      <c r="F58" s="13">
        <f t="shared" si="28"/>
        <v>12502567.409999998</v>
      </c>
      <c r="G58" s="13">
        <f t="shared" ref="G58" si="29">G41+G46+G51+G52+G54+G55+G56</f>
        <v>64764047.141899996</v>
      </c>
      <c r="H58" s="63">
        <f>SUM(D58:G58)</f>
        <v>199561407.19840002</v>
      </c>
    </row>
    <row r="59" spans="1:8" x14ac:dyDescent="0.3">
      <c r="A59" s="567" t="s">
        <v>119</v>
      </c>
      <c r="B59" s="568"/>
      <c r="C59" s="5" t="s">
        <v>117</v>
      </c>
      <c r="D59" s="15">
        <f t="shared" ref="D59:H59" si="30">D58/D9</f>
        <v>324.90514974738886</v>
      </c>
      <c r="E59" s="15">
        <f t="shared" si="30"/>
        <v>198.20060010771218</v>
      </c>
      <c r="F59" s="15">
        <f t="shared" si="30"/>
        <v>1490.8856916289051</v>
      </c>
      <c r="G59" s="15">
        <f t="shared" ref="G59" si="31">G58/G9</f>
        <v>880.53251678291247</v>
      </c>
      <c r="H59" s="97">
        <f t="shared" si="30"/>
        <v>396.27360716131022</v>
      </c>
    </row>
    <row r="60" spans="1:8" x14ac:dyDescent="0.3">
      <c r="A60" s="567" t="s">
        <v>118</v>
      </c>
      <c r="B60" s="568"/>
      <c r="C60" s="5" t="s">
        <v>117</v>
      </c>
      <c r="D60" s="15">
        <f>D58/D22</f>
        <v>513.18878191226554</v>
      </c>
      <c r="E60" s="15">
        <f t="shared" ref="E60:F60" si="32">E58/E22</f>
        <v>324.44923536174224</v>
      </c>
      <c r="F60" s="15">
        <f t="shared" si="32"/>
        <v>1632.2955036229519</v>
      </c>
      <c r="G60" s="15">
        <f t="shared" ref="G60" si="33">G58/G22</f>
        <v>1196.2770538605064</v>
      </c>
      <c r="H60" s="98">
        <f>H58/H22</f>
        <v>611.82481134584282</v>
      </c>
    </row>
    <row r="61" spans="1:8" x14ac:dyDescent="0.3">
      <c r="A61" s="549" t="s">
        <v>116</v>
      </c>
      <c r="B61" s="550"/>
      <c r="C61" s="5" t="s">
        <v>3</v>
      </c>
      <c r="D61" s="25">
        <f>Mangochi!P61</f>
        <v>0</v>
      </c>
      <c r="E61" s="25">
        <f>'Monkey Bay'!P61</f>
        <v>0</v>
      </c>
      <c r="F61" s="25">
        <f>Namwera!P61</f>
        <v>0</v>
      </c>
      <c r="G61" s="25">
        <f>Nkhudzi!P61</f>
        <v>0</v>
      </c>
      <c r="H61" s="38">
        <f>SUM(D61:G61)</f>
        <v>0</v>
      </c>
    </row>
    <row r="62" spans="1:8" ht="15.6" customHeight="1" x14ac:dyDescent="0.3">
      <c r="A62" s="567" t="s">
        <v>115</v>
      </c>
      <c r="B62" s="568"/>
      <c r="C62" s="5" t="s">
        <v>114</v>
      </c>
      <c r="D62" s="15">
        <f t="shared" ref="D62:H62" si="34">(D61*1000*31)/D9</f>
        <v>0</v>
      </c>
      <c r="E62" s="15">
        <f t="shared" si="34"/>
        <v>0</v>
      </c>
      <c r="F62" s="15">
        <f t="shared" si="34"/>
        <v>0</v>
      </c>
      <c r="G62" s="15">
        <f t="shared" ref="G62" si="35">(G61*1000*31)/G9</f>
        <v>0</v>
      </c>
      <c r="H62" s="97">
        <f t="shared" si="34"/>
        <v>0</v>
      </c>
    </row>
    <row r="63" spans="1:8" x14ac:dyDescent="0.3">
      <c r="A63" s="571" t="s">
        <v>113</v>
      </c>
      <c r="B63" s="572"/>
      <c r="C63" s="37" t="s">
        <v>3</v>
      </c>
      <c r="D63" s="25">
        <f>Mangochi!P63</f>
        <v>56</v>
      </c>
      <c r="E63" s="25">
        <f>'Monkey Bay'!P63</f>
        <v>26</v>
      </c>
      <c r="F63" s="25">
        <f>Namwera!P63</f>
        <v>12</v>
      </c>
      <c r="G63" s="25">
        <f>Nkhudzi!P63</f>
        <v>84</v>
      </c>
      <c r="H63" s="38">
        <f>SUM(D63:G63)</f>
        <v>178</v>
      </c>
    </row>
    <row r="64" spans="1:8" ht="14.4" x14ac:dyDescent="0.3">
      <c r="A64" s="573"/>
      <c r="B64" s="574"/>
      <c r="C64" s="574"/>
      <c r="D64" s="574"/>
      <c r="E64" s="574"/>
      <c r="F64" s="574"/>
      <c r="G64" s="574"/>
      <c r="H64" s="575"/>
    </row>
    <row r="65" spans="1:8" ht="14.4" customHeight="1" x14ac:dyDescent="0.3">
      <c r="A65" s="564" t="s">
        <v>112</v>
      </c>
      <c r="B65" s="565"/>
      <c r="C65" s="565"/>
      <c r="D65" s="565"/>
      <c r="E65" s="565"/>
      <c r="F65" s="565"/>
      <c r="G65" s="565"/>
      <c r="H65" s="566"/>
    </row>
    <row r="66" spans="1:8" x14ac:dyDescent="0.3">
      <c r="A66" s="582" t="s">
        <v>111</v>
      </c>
      <c r="B66" s="36" t="s">
        <v>85</v>
      </c>
      <c r="C66" s="5" t="s">
        <v>3</v>
      </c>
      <c r="D66" s="25">
        <f>Mangochi!D66</f>
        <v>1978</v>
      </c>
      <c r="E66" s="25">
        <f>'Monkey Bay'!D66</f>
        <v>77</v>
      </c>
      <c r="F66" s="25">
        <f>Namwera!P66</f>
        <v>76</v>
      </c>
      <c r="G66" s="25">
        <v>1128</v>
      </c>
      <c r="H66" s="34">
        <f>D66</f>
        <v>1978</v>
      </c>
    </row>
    <row r="67" spans="1:8" x14ac:dyDescent="0.3">
      <c r="A67" s="583"/>
      <c r="B67" s="23" t="s">
        <v>106</v>
      </c>
      <c r="C67" s="5" t="s">
        <v>3</v>
      </c>
      <c r="D67" s="25">
        <f>Mangochi!P67</f>
        <v>253</v>
      </c>
      <c r="E67" s="25">
        <f>'Monkey Bay'!P67</f>
        <v>57</v>
      </c>
      <c r="F67" s="25">
        <f>Namwera!P67</f>
        <v>17</v>
      </c>
      <c r="G67" s="25">
        <f>Nkhudzi!P67</f>
        <v>60</v>
      </c>
      <c r="H67" s="34">
        <f>SUM(D67:G67)</f>
        <v>387</v>
      </c>
    </row>
    <row r="68" spans="1:8" ht="27" x14ac:dyDescent="0.3">
      <c r="A68" s="583"/>
      <c r="B68" s="23" t="s">
        <v>105</v>
      </c>
      <c r="C68" s="5" t="s">
        <v>3</v>
      </c>
      <c r="D68" s="25">
        <f>Mangochi!P68</f>
        <v>0</v>
      </c>
      <c r="E68" s="25">
        <f>'Monkey Bay'!P68</f>
        <v>0</v>
      </c>
      <c r="F68" s="25">
        <f>Namwera!P68</f>
        <v>0</v>
      </c>
      <c r="G68" s="25">
        <f>Nkhudzi!P68</f>
        <v>0</v>
      </c>
      <c r="H68" s="34">
        <f t="shared" ref="H68:H70" si="36">SUM(D68:G68)</f>
        <v>0</v>
      </c>
    </row>
    <row r="69" spans="1:8" s="2" customFormat="1" ht="27" x14ac:dyDescent="0.3">
      <c r="A69" s="583"/>
      <c r="B69" s="23" t="s">
        <v>104</v>
      </c>
      <c r="C69" s="11" t="s">
        <v>3</v>
      </c>
      <c r="D69" s="25">
        <f>Mangochi!P69</f>
        <v>184</v>
      </c>
      <c r="E69" s="25">
        <f>'Monkey Bay'!P69</f>
        <v>107</v>
      </c>
      <c r="F69" s="25">
        <f>Namwera!P69</f>
        <v>9</v>
      </c>
      <c r="G69" s="25">
        <f>Nkhudzi!P69</f>
        <v>86</v>
      </c>
      <c r="H69" s="71">
        <f t="shared" si="36"/>
        <v>386</v>
      </c>
    </row>
    <row r="70" spans="1:8" s="2" customFormat="1" x14ac:dyDescent="0.3">
      <c r="A70" s="583"/>
      <c r="B70" s="23" t="s">
        <v>190</v>
      </c>
      <c r="C70" s="11" t="s">
        <v>3</v>
      </c>
      <c r="D70" s="4">
        <f>D68+D69</f>
        <v>184</v>
      </c>
      <c r="E70" s="4">
        <f t="shared" ref="E70:G70" si="37">E68+E69</f>
        <v>107</v>
      </c>
      <c r="F70" s="4">
        <f t="shared" si="37"/>
        <v>9</v>
      </c>
      <c r="G70" s="4">
        <f t="shared" si="37"/>
        <v>86</v>
      </c>
      <c r="H70" s="99">
        <f t="shared" si="36"/>
        <v>386</v>
      </c>
    </row>
    <row r="71" spans="1:8" x14ac:dyDescent="0.3">
      <c r="A71" s="584"/>
      <c r="B71" s="36" t="s">
        <v>81</v>
      </c>
      <c r="C71" s="5" t="s">
        <v>3</v>
      </c>
      <c r="D71" s="25">
        <f>D66+D67-D70</f>
        <v>2047</v>
      </c>
      <c r="E71" s="25">
        <f t="shared" ref="E71:G71" si="38">E66+E67-E70</f>
        <v>27</v>
      </c>
      <c r="F71" s="25">
        <f t="shared" si="38"/>
        <v>84</v>
      </c>
      <c r="G71" s="25">
        <f t="shared" si="38"/>
        <v>1102</v>
      </c>
      <c r="H71" s="100">
        <f>H66+H67-H70</f>
        <v>1979</v>
      </c>
    </row>
    <row r="72" spans="1:8" x14ac:dyDescent="0.3">
      <c r="A72" s="582" t="s">
        <v>110</v>
      </c>
      <c r="B72" s="36" t="s">
        <v>85</v>
      </c>
      <c r="C72" s="5" t="s">
        <v>3</v>
      </c>
      <c r="D72" s="25">
        <f>Mangochi!D72</f>
        <v>4</v>
      </c>
      <c r="E72" s="25">
        <f>'Monkey Bay'!D72</f>
        <v>0</v>
      </c>
      <c r="F72" s="25">
        <f>Namwera!P72</f>
        <v>0</v>
      </c>
      <c r="G72" s="25">
        <f>Nkhudzi!P72</f>
        <v>10</v>
      </c>
      <c r="H72" s="34">
        <f>D72</f>
        <v>4</v>
      </c>
    </row>
    <row r="73" spans="1:8" x14ac:dyDescent="0.3">
      <c r="A73" s="583"/>
      <c r="B73" s="23" t="s">
        <v>106</v>
      </c>
      <c r="C73" s="5" t="s">
        <v>3</v>
      </c>
      <c r="D73" s="25">
        <f>Mangochi!P73</f>
        <v>0</v>
      </c>
      <c r="E73" s="25">
        <f>'Monkey Bay'!P73</f>
        <v>0</v>
      </c>
      <c r="F73" s="25">
        <f>Namwera!P73</f>
        <v>0</v>
      </c>
      <c r="G73" s="25"/>
      <c r="H73" s="34">
        <f t="shared" ref="H73:H76" si="39">SUM(D73:G73)</f>
        <v>0</v>
      </c>
    </row>
    <row r="74" spans="1:8" ht="27" x14ac:dyDescent="0.3">
      <c r="A74" s="583"/>
      <c r="B74" s="23" t="s">
        <v>105</v>
      </c>
      <c r="C74" s="5" t="s">
        <v>3</v>
      </c>
      <c r="D74" s="25">
        <f>Mangochi!P74</f>
        <v>0</v>
      </c>
      <c r="E74" s="25">
        <f>'Monkey Bay'!P74</f>
        <v>0</v>
      </c>
      <c r="F74" s="25">
        <f>Namwera!P74</f>
        <v>0</v>
      </c>
      <c r="G74" s="25">
        <f>Nkhudzi!P74</f>
        <v>0</v>
      </c>
      <c r="H74" s="34">
        <f t="shared" si="39"/>
        <v>0</v>
      </c>
    </row>
    <row r="75" spans="1:8" s="2" customFormat="1" ht="27" x14ac:dyDescent="0.3">
      <c r="A75" s="583"/>
      <c r="B75" s="23" t="s">
        <v>104</v>
      </c>
      <c r="C75" s="11" t="s">
        <v>3</v>
      </c>
      <c r="D75" s="25">
        <f>Mangochi!P75</f>
        <v>0</v>
      </c>
      <c r="E75" s="25">
        <f>'Monkey Bay'!P75</f>
        <v>0</v>
      </c>
      <c r="F75" s="25">
        <f>Namwera!P75</f>
        <v>0</v>
      </c>
      <c r="G75" s="25">
        <f>Nkhudzi!P75</f>
        <v>0</v>
      </c>
      <c r="H75" s="71">
        <f t="shared" si="39"/>
        <v>0</v>
      </c>
    </row>
    <row r="76" spans="1:8" s="2" customFormat="1" x14ac:dyDescent="0.3">
      <c r="A76" s="583"/>
      <c r="B76" s="23" t="s">
        <v>190</v>
      </c>
      <c r="C76" s="11" t="s">
        <v>3</v>
      </c>
      <c r="D76" s="4">
        <f>D74+D75</f>
        <v>0</v>
      </c>
      <c r="E76" s="4">
        <f t="shared" ref="E76:F76" si="40">E74+E75</f>
        <v>0</v>
      </c>
      <c r="F76" s="4">
        <f t="shared" si="40"/>
        <v>0</v>
      </c>
      <c r="G76" s="4">
        <f t="shared" ref="G76" si="41">G74+G75</f>
        <v>0</v>
      </c>
      <c r="H76" s="99">
        <f t="shared" si="39"/>
        <v>0</v>
      </c>
    </row>
    <row r="77" spans="1:8" x14ac:dyDescent="0.3">
      <c r="A77" s="584"/>
      <c r="B77" s="36" t="s">
        <v>81</v>
      </c>
      <c r="C77" s="5" t="s">
        <v>3</v>
      </c>
      <c r="D77" s="25">
        <f>D73+D74-D76</f>
        <v>0</v>
      </c>
      <c r="E77" s="25">
        <f t="shared" ref="E77:H77" si="42">E73+E74-E76</f>
        <v>0</v>
      </c>
      <c r="F77" s="25">
        <f t="shared" si="42"/>
        <v>0</v>
      </c>
      <c r="G77" s="25">
        <f t="shared" ref="G77" si="43">G73+G74-G76</f>
        <v>0</v>
      </c>
      <c r="H77" s="100">
        <f t="shared" si="42"/>
        <v>0</v>
      </c>
    </row>
    <row r="78" spans="1:8" ht="15.6" customHeight="1" x14ac:dyDescent="0.3">
      <c r="A78" s="582" t="s">
        <v>109</v>
      </c>
      <c r="B78" s="36" t="s">
        <v>85</v>
      </c>
      <c r="C78" s="5" t="s">
        <v>3</v>
      </c>
      <c r="D78" s="25">
        <f>Mangochi!D78</f>
        <v>0</v>
      </c>
      <c r="E78" s="25">
        <f>'Monkey Bay'!D78</f>
        <v>7</v>
      </c>
      <c r="F78" s="25">
        <f>Namwera!P78</f>
        <v>0</v>
      </c>
      <c r="G78" s="25">
        <f>Nkhudzi!P78</f>
        <v>15</v>
      </c>
      <c r="H78" s="34">
        <f>D78</f>
        <v>0</v>
      </c>
    </row>
    <row r="79" spans="1:8" x14ac:dyDescent="0.3">
      <c r="A79" s="583"/>
      <c r="B79" s="23" t="s">
        <v>106</v>
      </c>
      <c r="C79" s="5" t="s">
        <v>3</v>
      </c>
      <c r="D79" s="25">
        <f>Mangochi!P79</f>
        <v>0</v>
      </c>
      <c r="E79" s="25">
        <f>'Monkey Bay'!P79</f>
        <v>0</v>
      </c>
      <c r="F79" s="25">
        <f>Namwera!P79</f>
        <v>0</v>
      </c>
      <c r="G79" s="25">
        <f>Nkhudzi!P79</f>
        <v>0</v>
      </c>
      <c r="H79" s="34">
        <f t="shared" ref="H79:H82" si="44">SUM(D79:G79)</f>
        <v>0</v>
      </c>
    </row>
    <row r="80" spans="1:8" ht="27" x14ac:dyDescent="0.3">
      <c r="A80" s="583"/>
      <c r="B80" s="23" t="s">
        <v>105</v>
      </c>
      <c r="C80" s="5" t="s">
        <v>3</v>
      </c>
      <c r="D80" s="25">
        <f>Mangochi!P80</f>
        <v>0</v>
      </c>
      <c r="E80" s="25">
        <f>'Monkey Bay'!P80</f>
        <v>0</v>
      </c>
      <c r="F80" s="25">
        <f>Namwera!P80</f>
        <v>0</v>
      </c>
      <c r="G80" s="25">
        <f>Nkhudzi!P80</f>
        <v>0</v>
      </c>
      <c r="H80" s="34">
        <f t="shared" si="44"/>
        <v>0</v>
      </c>
    </row>
    <row r="81" spans="1:8" s="2" customFormat="1" ht="27" x14ac:dyDescent="0.3">
      <c r="A81" s="583"/>
      <c r="B81" s="23" t="s">
        <v>104</v>
      </c>
      <c r="C81" s="11" t="s">
        <v>3</v>
      </c>
      <c r="D81" s="25">
        <f>Mangochi!P81</f>
        <v>0</v>
      </c>
      <c r="E81" s="25">
        <f>'Monkey Bay'!P81</f>
        <v>2</v>
      </c>
      <c r="F81" s="25">
        <f>Namwera!P81</f>
        <v>0</v>
      </c>
      <c r="G81" s="25">
        <f>Nkhudzi!P81</f>
        <v>0</v>
      </c>
      <c r="H81" s="71">
        <f t="shared" si="44"/>
        <v>2</v>
      </c>
    </row>
    <row r="82" spans="1:8" s="2" customFormat="1" x14ac:dyDescent="0.3">
      <c r="A82" s="583"/>
      <c r="B82" s="23" t="s">
        <v>190</v>
      </c>
      <c r="C82" s="11" t="s">
        <v>3</v>
      </c>
      <c r="D82" s="4">
        <f>D80+D81</f>
        <v>0</v>
      </c>
      <c r="E82" s="4">
        <f t="shared" ref="E82:F82" si="45">E80+E81</f>
        <v>2</v>
      </c>
      <c r="F82" s="4">
        <f t="shared" si="45"/>
        <v>0</v>
      </c>
      <c r="G82" s="4">
        <f t="shared" ref="G82" si="46">G80+G81</f>
        <v>0</v>
      </c>
      <c r="H82" s="99">
        <f t="shared" si="44"/>
        <v>2</v>
      </c>
    </row>
    <row r="83" spans="1:8" x14ac:dyDescent="0.3">
      <c r="A83" s="584"/>
      <c r="B83" s="36" t="s">
        <v>81</v>
      </c>
      <c r="C83" s="5" t="s">
        <v>3</v>
      </c>
      <c r="D83" s="25">
        <f>D78+D79-D82</f>
        <v>0</v>
      </c>
      <c r="E83" s="25">
        <f t="shared" ref="E83:H83" si="47">E78+E79-E82</f>
        <v>5</v>
      </c>
      <c r="F83" s="25">
        <f t="shared" si="47"/>
        <v>0</v>
      </c>
      <c r="G83" s="25">
        <f t="shared" ref="G83" si="48">G78+G79-G82</f>
        <v>15</v>
      </c>
      <c r="H83" s="100">
        <f t="shared" si="47"/>
        <v>-2</v>
      </c>
    </row>
    <row r="84" spans="1:8" x14ac:dyDescent="0.3">
      <c r="A84" s="585" t="s">
        <v>108</v>
      </c>
      <c r="B84" s="36" t="s">
        <v>85</v>
      </c>
      <c r="C84" s="5" t="s">
        <v>3</v>
      </c>
      <c r="D84" s="25">
        <f>Mangochi!D84</f>
        <v>10</v>
      </c>
      <c r="E84" s="25">
        <f>'Monkey Bay'!D84</f>
        <v>0</v>
      </c>
      <c r="F84" s="25">
        <f>Namwera!P84</f>
        <v>0</v>
      </c>
      <c r="G84" s="25">
        <f>Nkhudzi!P84</f>
        <v>0</v>
      </c>
      <c r="H84" s="34">
        <f>D84</f>
        <v>10</v>
      </c>
    </row>
    <row r="85" spans="1:8" x14ac:dyDescent="0.3">
      <c r="A85" s="586"/>
      <c r="B85" s="36" t="s">
        <v>106</v>
      </c>
      <c r="C85" s="5" t="s">
        <v>3</v>
      </c>
      <c r="D85" s="25">
        <f>Mangochi!P85</f>
        <v>0</v>
      </c>
      <c r="E85" s="25">
        <f>'Monkey Bay'!P85</f>
        <v>0</v>
      </c>
      <c r="F85" s="25">
        <f>Namwera!P85</f>
        <v>0</v>
      </c>
      <c r="G85" s="25">
        <f>Nkhudzi!P85</f>
        <v>0</v>
      </c>
      <c r="H85" s="34">
        <f t="shared" ref="H85:H88" si="49">SUM(D85:G85)</f>
        <v>0</v>
      </c>
    </row>
    <row r="86" spans="1:8" ht="27" x14ac:dyDescent="0.3">
      <c r="A86" s="586"/>
      <c r="B86" s="36" t="s">
        <v>105</v>
      </c>
      <c r="C86" s="5" t="s">
        <v>3</v>
      </c>
      <c r="D86" s="25">
        <f>Mangochi!P86</f>
        <v>0</v>
      </c>
      <c r="E86" s="25">
        <f>'Monkey Bay'!P86</f>
        <v>0</v>
      </c>
      <c r="F86" s="25">
        <f>Namwera!P86</f>
        <v>0</v>
      </c>
      <c r="G86" s="25">
        <f>Nkhudzi!P86</f>
        <v>0</v>
      </c>
      <c r="H86" s="34">
        <f t="shared" si="49"/>
        <v>0</v>
      </c>
    </row>
    <row r="87" spans="1:8" s="2" customFormat="1" ht="27" x14ac:dyDescent="0.3">
      <c r="A87" s="586"/>
      <c r="B87" s="23" t="s">
        <v>104</v>
      </c>
      <c r="C87" s="11" t="s">
        <v>3</v>
      </c>
      <c r="D87" s="25">
        <f>Mangochi!P87</f>
        <v>1</v>
      </c>
      <c r="E87" s="25">
        <f>'Monkey Bay'!P87</f>
        <v>0</v>
      </c>
      <c r="F87" s="25">
        <f>Namwera!P87</f>
        <v>0</v>
      </c>
      <c r="G87" s="25">
        <f>Nkhudzi!P87</f>
        <v>0</v>
      </c>
      <c r="H87" s="71">
        <f t="shared" si="49"/>
        <v>1</v>
      </c>
    </row>
    <row r="88" spans="1:8" s="2" customFormat="1" x14ac:dyDescent="0.3">
      <c r="A88" s="586"/>
      <c r="B88" s="23" t="s">
        <v>190</v>
      </c>
      <c r="C88" s="11" t="s">
        <v>3</v>
      </c>
      <c r="D88" s="4">
        <f>D86+D87</f>
        <v>1</v>
      </c>
      <c r="E88" s="4">
        <f t="shared" ref="E88:F88" si="50">E86+E87</f>
        <v>0</v>
      </c>
      <c r="F88" s="4">
        <f t="shared" si="50"/>
        <v>0</v>
      </c>
      <c r="G88" s="4">
        <f t="shared" ref="G88" si="51">G86+G87</f>
        <v>0</v>
      </c>
      <c r="H88" s="71">
        <f t="shared" si="49"/>
        <v>1</v>
      </c>
    </row>
    <row r="89" spans="1:8" x14ac:dyDescent="0.3">
      <c r="A89" s="587"/>
      <c r="B89" s="35" t="s">
        <v>81</v>
      </c>
      <c r="C89" s="5" t="s">
        <v>3</v>
      </c>
      <c r="D89" s="25">
        <f>D84+D85-D88</f>
        <v>9</v>
      </c>
      <c r="E89" s="25"/>
      <c r="F89" s="25"/>
      <c r="G89" s="25"/>
      <c r="H89" s="100">
        <f t="shared" ref="H89" si="52">H84+H85-H86-H87</f>
        <v>9</v>
      </c>
    </row>
    <row r="90" spans="1:8" x14ac:dyDescent="0.3">
      <c r="A90" s="588" t="s">
        <v>107</v>
      </c>
      <c r="B90" s="23" t="s">
        <v>85</v>
      </c>
      <c r="C90" s="11" t="s">
        <v>3</v>
      </c>
      <c r="D90" s="125">
        <f>D66+D72+D78+D84</f>
        <v>1992</v>
      </c>
      <c r="E90" s="125">
        <f t="shared" ref="E90:F90" si="53">E66+E72+E78+E84</f>
        <v>84</v>
      </c>
      <c r="F90" s="125">
        <f t="shared" si="53"/>
        <v>76</v>
      </c>
      <c r="G90" s="125">
        <f t="shared" ref="G90" si="54">G66+G72+G78+G84</f>
        <v>1153</v>
      </c>
      <c r="H90" s="34">
        <f t="shared" ref="H90:H94" si="55">SUM(D90:G90)</f>
        <v>3305</v>
      </c>
    </row>
    <row r="91" spans="1:8" x14ac:dyDescent="0.3">
      <c r="A91" s="589"/>
      <c r="B91" s="23" t="s">
        <v>106</v>
      </c>
      <c r="C91" s="11" t="s">
        <v>3</v>
      </c>
      <c r="D91" s="125">
        <f t="shared" ref="D91:F93" si="56">D67+D73+D79+D85</f>
        <v>253</v>
      </c>
      <c r="E91" s="125">
        <f t="shared" si="56"/>
        <v>57</v>
      </c>
      <c r="F91" s="125">
        <f t="shared" si="56"/>
        <v>17</v>
      </c>
      <c r="G91" s="125">
        <f t="shared" ref="G91" si="57">G67+G73+G79+G85</f>
        <v>60</v>
      </c>
      <c r="H91" s="34">
        <f t="shared" si="55"/>
        <v>387</v>
      </c>
    </row>
    <row r="92" spans="1:8" ht="27" x14ac:dyDescent="0.3">
      <c r="A92" s="589"/>
      <c r="B92" s="23" t="s">
        <v>105</v>
      </c>
      <c r="C92" s="11" t="s">
        <v>3</v>
      </c>
      <c r="D92" s="125">
        <f t="shared" si="56"/>
        <v>0</v>
      </c>
      <c r="E92" s="125">
        <f t="shared" si="56"/>
        <v>0</v>
      </c>
      <c r="F92" s="125">
        <f t="shared" si="56"/>
        <v>0</v>
      </c>
      <c r="G92" s="125">
        <f t="shared" ref="G92" si="58">G68+G74+G80+G86</f>
        <v>0</v>
      </c>
      <c r="H92" s="34">
        <f t="shared" si="55"/>
        <v>0</v>
      </c>
    </row>
    <row r="93" spans="1:8" s="2" customFormat="1" ht="27" x14ac:dyDescent="0.3">
      <c r="A93" s="589"/>
      <c r="B93" s="23" t="s">
        <v>104</v>
      </c>
      <c r="C93" s="11"/>
      <c r="D93" s="125">
        <f t="shared" si="56"/>
        <v>185</v>
      </c>
      <c r="E93" s="125">
        <f t="shared" si="56"/>
        <v>109</v>
      </c>
      <c r="F93" s="125">
        <f t="shared" si="56"/>
        <v>9</v>
      </c>
      <c r="G93" s="125">
        <f t="shared" ref="G93" si="59">G69+G75+G81+G87</f>
        <v>86</v>
      </c>
      <c r="H93" s="34">
        <f t="shared" si="55"/>
        <v>389</v>
      </c>
    </row>
    <row r="94" spans="1:8" s="2" customFormat="1" x14ac:dyDescent="0.3">
      <c r="A94" s="589"/>
      <c r="B94" s="23" t="s">
        <v>190</v>
      </c>
      <c r="C94" s="11" t="s">
        <v>3</v>
      </c>
      <c r="D94" s="126">
        <f>D93+D92</f>
        <v>185</v>
      </c>
      <c r="E94" s="126">
        <f t="shared" ref="E94:F94" si="60">E93+E92</f>
        <v>109</v>
      </c>
      <c r="F94" s="126">
        <f t="shared" si="60"/>
        <v>9</v>
      </c>
      <c r="G94" s="126">
        <f t="shared" ref="G94" si="61">G93+G92</f>
        <v>86</v>
      </c>
      <c r="H94" s="133">
        <f t="shared" si="55"/>
        <v>389</v>
      </c>
    </row>
    <row r="95" spans="1:8" ht="16.2" thickBot="1" x14ac:dyDescent="0.35">
      <c r="A95" s="590"/>
      <c r="B95" s="23" t="s">
        <v>81</v>
      </c>
      <c r="C95" s="11" t="s">
        <v>3</v>
      </c>
      <c r="D95" s="127">
        <f>D90+D91-D94</f>
        <v>2060</v>
      </c>
      <c r="E95" s="127">
        <f t="shared" ref="E95:F95" si="62">E90+E91-E94</f>
        <v>32</v>
      </c>
      <c r="F95" s="127">
        <f t="shared" si="62"/>
        <v>84</v>
      </c>
      <c r="G95" s="127">
        <f t="shared" ref="G95" si="63">G90+G91-G94</f>
        <v>1127</v>
      </c>
      <c r="H95" s="134">
        <f t="shared" ref="H95" si="64">H90+H91-H94</f>
        <v>3303</v>
      </c>
    </row>
    <row r="96" spans="1:8" ht="16.2" customHeight="1" thickBot="1" x14ac:dyDescent="0.35">
      <c r="A96" s="591"/>
      <c r="B96" s="592"/>
      <c r="C96" s="592"/>
      <c r="D96" s="592"/>
      <c r="E96" s="592"/>
      <c r="F96" s="592"/>
      <c r="G96" s="592"/>
      <c r="H96" s="593"/>
    </row>
    <row r="97" spans="1:8" s="2" customFormat="1" ht="15.75" customHeight="1" thickBot="1" x14ac:dyDescent="0.35">
      <c r="A97" s="576" t="s">
        <v>191</v>
      </c>
      <c r="B97" s="577"/>
      <c r="C97" s="577"/>
      <c r="D97" s="577"/>
      <c r="E97" s="577"/>
      <c r="F97" s="577"/>
      <c r="G97" s="577"/>
      <c r="H97" s="578"/>
    </row>
    <row r="98" spans="1:8" x14ac:dyDescent="0.3">
      <c r="A98" s="85" t="s">
        <v>192</v>
      </c>
      <c r="B98" s="68"/>
      <c r="C98" s="11" t="s">
        <v>3</v>
      </c>
      <c r="D98" s="25">
        <f>Mangochi!P98</f>
        <v>185</v>
      </c>
      <c r="E98" s="25">
        <f>'Monkey Bay'!P98</f>
        <v>109</v>
      </c>
      <c r="F98" s="25">
        <f>Namwera!P98</f>
        <v>9</v>
      </c>
      <c r="G98" s="25">
        <f>Nkhudzi!P98</f>
        <v>86</v>
      </c>
      <c r="H98" s="102">
        <f>SUM(D98:G98)</f>
        <v>389</v>
      </c>
    </row>
    <row r="99" spans="1:8" x14ac:dyDescent="0.3">
      <c r="A99" s="85"/>
      <c r="B99" s="23"/>
      <c r="C99" s="11"/>
      <c r="D99" s="64">
        <f>D94/3269*400</f>
        <v>22.636892015907005</v>
      </c>
      <c r="E99" s="64">
        <f t="shared" ref="E99:F99" si="65">E94/3269*400</f>
        <v>13.33741205261548</v>
      </c>
      <c r="F99" s="64">
        <f t="shared" si="65"/>
        <v>1.1012542061792596</v>
      </c>
      <c r="G99" s="64">
        <f t="shared" ref="G99" si="66">G94/3269*400</f>
        <v>10.523095747935148</v>
      </c>
      <c r="H99" s="101"/>
    </row>
    <row r="100" spans="1:8" s="2" customFormat="1" ht="14.4" x14ac:dyDescent="0.3">
      <c r="A100" s="579" t="s">
        <v>103</v>
      </c>
      <c r="B100" s="580"/>
      <c r="C100" s="580"/>
      <c r="D100" s="580"/>
      <c r="E100" s="580"/>
      <c r="F100" s="580"/>
      <c r="G100" s="580"/>
      <c r="H100" s="581"/>
    </row>
    <row r="101" spans="1:8" x14ac:dyDescent="0.3">
      <c r="A101" s="549" t="s">
        <v>102</v>
      </c>
      <c r="B101" s="550"/>
      <c r="C101" s="11" t="s">
        <v>3</v>
      </c>
      <c r="D101" s="25">
        <f>Mangochi!P101</f>
        <v>0</v>
      </c>
      <c r="E101" s="25">
        <f>'Monkey Bay'!P101</f>
        <v>0</v>
      </c>
      <c r="F101" s="25">
        <f>Namwera!P101</f>
        <v>0</v>
      </c>
      <c r="G101" s="25">
        <f>Nkhudzi!P101</f>
        <v>0</v>
      </c>
      <c r="H101" s="155">
        <f t="shared" ref="H101:H104" si="67">SUM(D101:G101)</f>
        <v>0</v>
      </c>
    </row>
    <row r="102" spans="1:8" x14ac:dyDescent="0.3">
      <c r="A102" s="549" t="s">
        <v>101</v>
      </c>
      <c r="B102" s="550"/>
      <c r="C102" s="11" t="s">
        <v>3</v>
      </c>
      <c r="D102" s="25">
        <f>Mangochi!P102</f>
        <v>0</v>
      </c>
      <c r="E102" s="25">
        <f>'Monkey Bay'!P102</f>
        <v>0</v>
      </c>
      <c r="F102" s="25">
        <f>Namwera!P102</f>
        <v>0</v>
      </c>
      <c r="G102" s="25">
        <f>Nkhudzi!P102</f>
        <v>0</v>
      </c>
      <c r="H102" s="155">
        <f t="shared" si="67"/>
        <v>0</v>
      </c>
    </row>
    <row r="103" spans="1:8" ht="15.6" customHeight="1" x14ac:dyDescent="0.3">
      <c r="A103" s="547" t="s">
        <v>100</v>
      </c>
      <c r="B103" s="548"/>
      <c r="C103" s="11" t="s">
        <v>3</v>
      </c>
      <c r="D103" s="25">
        <f>Mangochi!P103</f>
        <v>0</v>
      </c>
      <c r="E103" s="25">
        <f>'Monkey Bay'!P103</f>
        <v>0</v>
      </c>
      <c r="F103" s="25">
        <f>Namwera!P103</f>
        <v>0</v>
      </c>
      <c r="G103" s="25">
        <f>Nkhudzi!P103</f>
        <v>0</v>
      </c>
      <c r="H103" s="155">
        <f t="shared" si="67"/>
        <v>0</v>
      </c>
    </row>
    <row r="104" spans="1:8" x14ac:dyDescent="0.3">
      <c r="A104" s="547" t="s">
        <v>99</v>
      </c>
      <c r="B104" s="548"/>
      <c r="C104" s="11" t="s">
        <v>3</v>
      </c>
      <c r="D104" s="25">
        <f>Mangochi!P104</f>
        <v>0</v>
      </c>
      <c r="E104" s="25">
        <f>'Monkey Bay'!P104</f>
        <v>0</v>
      </c>
      <c r="F104" s="25">
        <f>Namwera!P104</f>
        <v>0</v>
      </c>
      <c r="G104" s="25">
        <f>Nkhudzi!P104</f>
        <v>0</v>
      </c>
      <c r="H104" s="155">
        <f t="shared" si="67"/>
        <v>0</v>
      </c>
    </row>
    <row r="105" spans="1:8" x14ac:dyDescent="0.3">
      <c r="A105" s="594" t="s">
        <v>98</v>
      </c>
      <c r="B105" s="595"/>
      <c r="C105" s="11" t="s">
        <v>3</v>
      </c>
      <c r="D105" s="32">
        <f>SUM(D101:D104)</f>
        <v>0</v>
      </c>
      <c r="E105" s="32">
        <f t="shared" ref="E105:H105" si="68">SUM(E101:E104)</f>
        <v>0</v>
      </c>
      <c r="F105" s="32">
        <f t="shared" si="68"/>
        <v>0</v>
      </c>
      <c r="G105" s="32">
        <f t="shared" ref="G105" si="69">SUM(G101:G104)</f>
        <v>0</v>
      </c>
      <c r="H105" s="54">
        <f t="shared" si="68"/>
        <v>0</v>
      </c>
    </row>
    <row r="106" spans="1:8" s="2" customFormat="1" ht="15.6" customHeight="1" x14ac:dyDescent="0.3">
      <c r="A106" s="596" t="s">
        <v>212</v>
      </c>
      <c r="B106" s="597"/>
      <c r="C106" s="597"/>
      <c r="D106" s="597"/>
      <c r="E106" s="597"/>
      <c r="F106" s="597"/>
      <c r="G106" s="597"/>
      <c r="H106" s="598"/>
    </row>
    <row r="107" spans="1:8" x14ac:dyDescent="0.3">
      <c r="A107" s="549" t="s">
        <v>195</v>
      </c>
      <c r="B107" s="550"/>
      <c r="C107" s="11" t="s">
        <v>3</v>
      </c>
      <c r="D107" s="25">
        <f>Mangochi!P107</f>
        <v>0</v>
      </c>
      <c r="E107" s="25">
        <f>'Monkey Bay'!P107</f>
        <v>0</v>
      </c>
      <c r="F107" s="25">
        <f>Namwera!P107</f>
        <v>0</v>
      </c>
      <c r="G107" s="25">
        <f>Nkhudzi!P107</f>
        <v>0</v>
      </c>
      <c r="H107" s="155">
        <f t="shared" ref="H107:H110" si="70">SUM(D107:G107)</f>
        <v>0</v>
      </c>
    </row>
    <row r="108" spans="1:8" x14ac:dyDescent="0.3">
      <c r="A108" s="549" t="s">
        <v>196</v>
      </c>
      <c r="B108" s="550"/>
      <c r="C108" s="11" t="s">
        <v>3</v>
      </c>
      <c r="D108" s="25">
        <f>Mangochi!P108</f>
        <v>0</v>
      </c>
      <c r="E108" s="25">
        <f>'Monkey Bay'!P108</f>
        <v>0</v>
      </c>
      <c r="F108" s="25">
        <f>Namwera!P108</f>
        <v>0</v>
      </c>
      <c r="G108" s="25">
        <f>Nkhudzi!P108</f>
        <v>0</v>
      </c>
      <c r="H108" s="155">
        <f t="shared" si="70"/>
        <v>0</v>
      </c>
    </row>
    <row r="109" spans="1:8" x14ac:dyDescent="0.3">
      <c r="A109" s="549" t="s">
        <v>197</v>
      </c>
      <c r="B109" s="550"/>
      <c r="C109" s="11" t="s">
        <v>3</v>
      </c>
      <c r="D109" s="25">
        <f>Mangochi!P109</f>
        <v>0</v>
      </c>
      <c r="E109" s="25">
        <f>'Monkey Bay'!P109</f>
        <v>0</v>
      </c>
      <c r="F109" s="25">
        <f>Namwera!P109</f>
        <v>0</v>
      </c>
      <c r="G109" s="25">
        <f>Nkhudzi!P109</f>
        <v>0</v>
      </c>
      <c r="H109" s="155">
        <f t="shared" si="70"/>
        <v>0</v>
      </c>
    </row>
    <row r="110" spans="1:8" x14ac:dyDescent="0.3">
      <c r="A110" s="549" t="s">
        <v>198</v>
      </c>
      <c r="B110" s="550"/>
      <c r="C110" s="11" t="s">
        <v>3</v>
      </c>
      <c r="D110" s="25">
        <f>Mangochi!P110</f>
        <v>0</v>
      </c>
      <c r="E110" s="25">
        <f>'Monkey Bay'!P110</f>
        <v>0</v>
      </c>
      <c r="F110" s="25">
        <f>Namwera!P110</f>
        <v>0</v>
      </c>
      <c r="G110" s="25">
        <f>Nkhudzi!P110</f>
        <v>0</v>
      </c>
      <c r="H110" s="155">
        <f t="shared" si="70"/>
        <v>0</v>
      </c>
    </row>
    <row r="111" spans="1:8" x14ac:dyDescent="0.3">
      <c r="A111" s="551" t="s">
        <v>97</v>
      </c>
      <c r="B111" s="552"/>
      <c r="C111" s="11" t="s">
        <v>3</v>
      </c>
      <c r="D111" s="32">
        <f>SUM(D107:D110)</f>
        <v>0</v>
      </c>
      <c r="E111" s="32">
        <f t="shared" ref="E111:H111" si="71">SUM(E107:E110)</f>
        <v>0</v>
      </c>
      <c r="F111" s="32">
        <f t="shared" si="71"/>
        <v>0</v>
      </c>
      <c r="G111" s="32">
        <f t="shared" ref="G111" si="72">SUM(G107:G110)</f>
        <v>0</v>
      </c>
      <c r="H111" s="54">
        <f t="shared" si="71"/>
        <v>0</v>
      </c>
    </row>
    <row r="112" spans="1:8" s="2" customFormat="1" ht="15.6" customHeight="1" x14ac:dyDescent="0.3">
      <c r="A112" s="579" t="s">
        <v>212</v>
      </c>
      <c r="B112" s="580"/>
      <c r="C112" s="580"/>
      <c r="D112" s="580"/>
      <c r="E112" s="580"/>
      <c r="F112" s="580"/>
      <c r="G112" s="580"/>
      <c r="H112" s="581"/>
    </row>
    <row r="113" spans="1:8" x14ac:dyDescent="0.3">
      <c r="A113" s="549" t="s">
        <v>199</v>
      </c>
      <c r="B113" s="550"/>
      <c r="C113" s="11" t="s">
        <v>3</v>
      </c>
      <c r="D113" s="25">
        <f>Mangochi!P113</f>
        <v>0</v>
      </c>
      <c r="E113" s="25">
        <f>'Monkey Bay'!P113</f>
        <v>0</v>
      </c>
      <c r="F113" s="25">
        <f>Namwera!P113</f>
        <v>0</v>
      </c>
      <c r="G113" s="25">
        <f>Nkhudzi!P113</f>
        <v>0</v>
      </c>
      <c r="H113" s="155">
        <f t="shared" ref="H113:H116" si="73">SUM(D113:G113)</f>
        <v>0</v>
      </c>
    </row>
    <row r="114" spans="1:8" x14ac:dyDescent="0.3">
      <c r="A114" s="549" t="s">
        <v>200</v>
      </c>
      <c r="B114" s="550"/>
      <c r="C114" s="11" t="s">
        <v>3</v>
      </c>
      <c r="D114" s="25">
        <f>Mangochi!P114</f>
        <v>0</v>
      </c>
      <c r="E114" s="25">
        <f>'Monkey Bay'!P114</f>
        <v>0</v>
      </c>
      <c r="F114" s="25">
        <f>Namwera!P114</f>
        <v>0</v>
      </c>
      <c r="G114" s="25">
        <f>Nkhudzi!P114</f>
        <v>0</v>
      </c>
      <c r="H114" s="155">
        <f t="shared" si="73"/>
        <v>0</v>
      </c>
    </row>
    <row r="115" spans="1:8" x14ac:dyDescent="0.3">
      <c r="A115" s="549" t="s">
        <v>201</v>
      </c>
      <c r="B115" s="550"/>
      <c r="C115" s="11" t="s">
        <v>3</v>
      </c>
      <c r="D115" s="25">
        <f>Mangochi!P115</f>
        <v>0</v>
      </c>
      <c r="E115" s="25">
        <f>'Monkey Bay'!P115</f>
        <v>0</v>
      </c>
      <c r="F115" s="25">
        <f>Namwera!P115</f>
        <v>0</v>
      </c>
      <c r="G115" s="25">
        <f>Nkhudzi!P115</f>
        <v>0</v>
      </c>
      <c r="H115" s="155">
        <f t="shared" si="73"/>
        <v>0</v>
      </c>
    </row>
    <row r="116" spans="1:8" x14ac:dyDescent="0.3">
      <c r="A116" s="549" t="s">
        <v>202</v>
      </c>
      <c r="B116" s="550"/>
      <c r="C116" s="11" t="s">
        <v>3</v>
      </c>
      <c r="D116" s="25">
        <f>Mangochi!P116</f>
        <v>0</v>
      </c>
      <c r="E116" s="25">
        <f>'Monkey Bay'!P116</f>
        <v>0</v>
      </c>
      <c r="F116" s="25">
        <f>Namwera!P116</f>
        <v>0</v>
      </c>
      <c r="G116" s="25">
        <f>Nkhudzi!P116</f>
        <v>0</v>
      </c>
      <c r="H116" s="155">
        <f t="shared" si="73"/>
        <v>0</v>
      </c>
    </row>
    <row r="117" spans="1:8" x14ac:dyDescent="0.3">
      <c r="A117" s="551" t="s">
        <v>96</v>
      </c>
      <c r="B117" s="552"/>
      <c r="C117" s="11" t="s">
        <v>3</v>
      </c>
      <c r="D117" s="32">
        <f>SUM(D113:D116)</f>
        <v>0</v>
      </c>
      <c r="E117" s="32">
        <f t="shared" ref="E117:H117" si="74">SUM(E113:E116)</f>
        <v>0</v>
      </c>
      <c r="F117" s="32">
        <f t="shared" si="74"/>
        <v>0</v>
      </c>
      <c r="G117" s="32">
        <f t="shared" ref="G117" si="75">SUM(G113:G116)</f>
        <v>0</v>
      </c>
      <c r="H117" s="54">
        <f t="shared" si="74"/>
        <v>0</v>
      </c>
    </row>
    <row r="118" spans="1:8" s="2" customFormat="1" x14ac:dyDescent="0.3">
      <c r="A118" s="180" t="s">
        <v>193</v>
      </c>
      <c r="B118" s="181"/>
      <c r="C118" s="11" t="s">
        <v>3</v>
      </c>
      <c r="D118" s="32">
        <f>D111+D117</f>
        <v>0</v>
      </c>
      <c r="E118" s="32">
        <f t="shared" ref="E118:H118" si="76">E111+E117</f>
        <v>0</v>
      </c>
      <c r="F118" s="32">
        <f t="shared" si="76"/>
        <v>0</v>
      </c>
      <c r="G118" s="32">
        <f t="shared" ref="G118" si="77">G111+G117</f>
        <v>0</v>
      </c>
      <c r="H118" s="54">
        <f t="shared" si="76"/>
        <v>0</v>
      </c>
    </row>
    <row r="119" spans="1:8" x14ac:dyDescent="0.3">
      <c r="A119" s="551" t="s">
        <v>194</v>
      </c>
      <c r="B119" s="552"/>
      <c r="C119" s="11" t="s">
        <v>3</v>
      </c>
      <c r="D119" s="32">
        <f>D118+D105</f>
        <v>0</v>
      </c>
      <c r="E119" s="32">
        <f t="shared" ref="E119:H119" si="78">E118+E105</f>
        <v>0</v>
      </c>
      <c r="F119" s="32">
        <f t="shared" si="78"/>
        <v>0</v>
      </c>
      <c r="G119" s="32">
        <f t="shared" ref="G119" si="79">G118+G105</f>
        <v>0</v>
      </c>
      <c r="H119" s="54">
        <f t="shared" si="78"/>
        <v>0</v>
      </c>
    </row>
    <row r="120" spans="1:8" ht="14.4" x14ac:dyDescent="0.3">
      <c r="A120" s="543" t="s">
        <v>203</v>
      </c>
      <c r="B120" s="544"/>
      <c r="C120" s="544"/>
      <c r="D120" s="544"/>
      <c r="E120" s="544"/>
      <c r="F120" s="544"/>
      <c r="G120" s="544"/>
      <c r="H120" s="546"/>
    </row>
    <row r="121" spans="1:8" x14ac:dyDescent="0.3">
      <c r="A121" s="549" t="s">
        <v>95</v>
      </c>
      <c r="B121" s="550"/>
      <c r="C121" s="5" t="s">
        <v>3</v>
      </c>
      <c r="D121" s="25">
        <f>Mangochi!P121</f>
        <v>0</v>
      </c>
      <c r="E121" s="25">
        <f>'Monkey Bay'!P121</f>
        <v>0</v>
      </c>
      <c r="F121" s="25">
        <f>Namwera!P121</f>
        <v>0</v>
      </c>
      <c r="G121" s="25">
        <f>Nkhudzi!P121</f>
        <v>0</v>
      </c>
      <c r="H121" s="30">
        <f t="shared" ref="H121:H122" si="80">SUM(D121:G121)</f>
        <v>0</v>
      </c>
    </row>
    <row r="122" spans="1:8" x14ac:dyDescent="0.3">
      <c r="A122" s="549" t="s">
        <v>94</v>
      </c>
      <c r="B122" s="550"/>
      <c r="C122" s="5" t="s">
        <v>3</v>
      </c>
      <c r="D122" s="25">
        <f>Mangochi!P122</f>
        <v>0</v>
      </c>
      <c r="E122" s="25">
        <f>'Monkey Bay'!P122</f>
        <v>0</v>
      </c>
      <c r="F122" s="25">
        <f>Namwera!P122</f>
        <v>0</v>
      </c>
      <c r="G122" s="25">
        <f>Nkhudzi!P122</f>
        <v>0</v>
      </c>
      <c r="H122" s="30">
        <f t="shared" si="80"/>
        <v>0</v>
      </c>
    </row>
    <row r="123" spans="1:8" x14ac:dyDescent="0.3">
      <c r="A123" s="603" t="s">
        <v>93</v>
      </c>
      <c r="B123" s="604"/>
      <c r="C123" s="29" t="s">
        <v>6</v>
      </c>
      <c r="D123" s="28" t="e">
        <f t="shared" ref="D123:H123" si="81">D122/D121</f>
        <v>#DIV/0!</v>
      </c>
      <c r="E123" s="28" t="e">
        <f t="shared" si="81"/>
        <v>#DIV/0!</v>
      </c>
      <c r="F123" s="28" t="e">
        <f t="shared" si="81"/>
        <v>#DIV/0!</v>
      </c>
      <c r="G123" s="28" t="e">
        <f t="shared" ref="G123" si="82">G122/G121</f>
        <v>#DIV/0!</v>
      </c>
      <c r="H123" s="103" t="e">
        <f t="shared" si="81"/>
        <v>#DIV/0!</v>
      </c>
    </row>
    <row r="124" spans="1:8" ht="14.4" x14ac:dyDescent="0.3">
      <c r="A124" s="599" t="s">
        <v>92</v>
      </c>
      <c r="B124" s="600"/>
      <c r="C124" s="600"/>
      <c r="D124" s="600"/>
      <c r="E124" s="600"/>
      <c r="F124" s="600"/>
      <c r="G124" s="600"/>
      <c r="H124" s="601"/>
    </row>
    <row r="125" spans="1:8" x14ac:dyDescent="0.3">
      <c r="A125" s="555" t="s">
        <v>91</v>
      </c>
      <c r="B125" s="23" t="s">
        <v>85</v>
      </c>
      <c r="C125" s="11" t="s">
        <v>3</v>
      </c>
      <c r="D125" s="25">
        <f>Mangochi!P125</f>
        <v>1</v>
      </c>
      <c r="E125" s="25">
        <f>'Monkey Bay'!P125</f>
        <v>0</v>
      </c>
      <c r="F125" s="25">
        <f>Namwera!P125</f>
        <v>0</v>
      </c>
      <c r="G125" s="25">
        <f>Nkhudzi!P125</f>
        <v>0</v>
      </c>
      <c r="H125" s="71">
        <f t="shared" ref="H125:H128" si="83">SUM(D125:G125)</f>
        <v>1</v>
      </c>
    </row>
    <row r="126" spans="1:8" x14ac:dyDescent="0.3">
      <c r="A126" s="602"/>
      <c r="B126" s="23" t="s">
        <v>84</v>
      </c>
      <c r="C126" s="11" t="s">
        <v>3</v>
      </c>
      <c r="D126" s="25">
        <f>Mangochi!P126</f>
        <v>0</v>
      </c>
      <c r="E126" s="25">
        <f>'Monkey Bay'!P126</f>
        <v>0</v>
      </c>
      <c r="F126" s="25">
        <f>Namwera!P126</f>
        <v>0</v>
      </c>
      <c r="G126" s="25">
        <f>Nkhudzi!P126</f>
        <v>0</v>
      </c>
      <c r="H126" s="71">
        <f t="shared" si="83"/>
        <v>0</v>
      </c>
    </row>
    <row r="127" spans="1:8" x14ac:dyDescent="0.3">
      <c r="A127" s="602"/>
      <c r="B127" s="79" t="s">
        <v>88</v>
      </c>
      <c r="C127" s="11" t="s">
        <v>3</v>
      </c>
      <c r="D127" s="25">
        <f>Mangochi!P127</f>
        <v>0</v>
      </c>
      <c r="E127" s="25">
        <f>'Monkey Bay'!P127</f>
        <v>0</v>
      </c>
      <c r="F127" s="25">
        <f>Namwera!P127</f>
        <v>0</v>
      </c>
      <c r="G127" s="25">
        <f>Nkhudzi!P127</f>
        <v>0</v>
      </c>
      <c r="H127" s="71">
        <f t="shared" si="83"/>
        <v>0</v>
      </c>
    </row>
    <row r="128" spans="1:8" x14ac:dyDescent="0.3">
      <c r="A128" s="602"/>
      <c r="B128" s="23" t="s">
        <v>82</v>
      </c>
      <c r="C128" s="11" t="s">
        <v>3</v>
      </c>
      <c r="D128" s="25">
        <f>Mangochi!P128</f>
        <v>0</v>
      </c>
      <c r="E128" s="25">
        <f>'Monkey Bay'!P128</f>
        <v>0</v>
      </c>
      <c r="F128" s="25">
        <f>Namwera!P128</f>
        <v>0</v>
      </c>
      <c r="G128" s="25">
        <f>Nkhudzi!P128</f>
        <v>0</v>
      </c>
      <c r="H128" s="71">
        <f t="shared" si="83"/>
        <v>0</v>
      </c>
    </row>
    <row r="129" spans="1:8" x14ac:dyDescent="0.3">
      <c r="A129" s="556"/>
      <c r="B129" s="23" t="s">
        <v>81</v>
      </c>
      <c r="C129" s="11" t="s">
        <v>3</v>
      </c>
      <c r="D129" s="129">
        <f t="shared" ref="D129:H129" si="84">D125+D126-D127-D128</f>
        <v>1</v>
      </c>
      <c r="E129" s="129">
        <f t="shared" si="84"/>
        <v>0</v>
      </c>
      <c r="F129" s="129">
        <f t="shared" si="84"/>
        <v>0</v>
      </c>
      <c r="G129" s="129">
        <f t="shared" ref="G129" si="85">G125+G126-G127-G128</f>
        <v>0</v>
      </c>
      <c r="H129" s="34">
        <f t="shared" si="84"/>
        <v>1</v>
      </c>
    </row>
    <row r="130" spans="1:8" x14ac:dyDescent="0.3">
      <c r="A130" s="555" t="s">
        <v>90</v>
      </c>
      <c r="B130" s="27" t="s">
        <v>85</v>
      </c>
      <c r="C130" s="26" t="s">
        <v>3</v>
      </c>
      <c r="D130" s="25">
        <f>Mangochi!P130</f>
        <v>0</v>
      </c>
      <c r="E130" s="25">
        <f>'Monkey Bay'!P130</f>
        <v>0</v>
      </c>
      <c r="F130" s="25">
        <f>Namwera!P130</f>
        <v>0</v>
      </c>
      <c r="G130" s="25">
        <f>Nkhudzi!P130</f>
        <v>0</v>
      </c>
      <c r="H130" s="71">
        <f t="shared" ref="H130:H133" si="86">SUM(D130:G130)</f>
        <v>0</v>
      </c>
    </row>
    <row r="131" spans="1:8" x14ac:dyDescent="0.3">
      <c r="A131" s="602"/>
      <c r="B131" s="23" t="s">
        <v>84</v>
      </c>
      <c r="C131" s="11" t="s">
        <v>3</v>
      </c>
      <c r="D131" s="25">
        <f>Mangochi!P131</f>
        <v>0</v>
      </c>
      <c r="E131" s="25">
        <f>'Monkey Bay'!P131</f>
        <v>0</v>
      </c>
      <c r="F131" s="25">
        <f>Namwera!P131</f>
        <v>0</v>
      </c>
      <c r="G131" s="25">
        <f>Nkhudzi!P131</f>
        <v>0</v>
      </c>
      <c r="H131" s="71">
        <f t="shared" si="86"/>
        <v>0</v>
      </c>
    </row>
    <row r="132" spans="1:8" x14ac:dyDescent="0.3">
      <c r="A132" s="602"/>
      <c r="B132" s="79" t="s">
        <v>88</v>
      </c>
      <c r="C132" s="11" t="s">
        <v>3</v>
      </c>
      <c r="D132" s="25">
        <f>Mangochi!P132</f>
        <v>0</v>
      </c>
      <c r="E132" s="25">
        <f>'Monkey Bay'!P132</f>
        <v>0</v>
      </c>
      <c r="F132" s="25">
        <f>Namwera!P132</f>
        <v>0</v>
      </c>
      <c r="G132" s="25">
        <f>Nkhudzi!P132</f>
        <v>0</v>
      </c>
      <c r="H132" s="71">
        <f t="shared" si="86"/>
        <v>0</v>
      </c>
    </row>
    <row r="133" spans="1:8" x14ac:dyDescent="0.3">
      <c r="A133" s="602"/>
      <c r="B133" s="23" t="s">
        <v>82</v>
      </c>
      <c r="C133" s="11" t="s">
        <v>3</v>
      </c>
      <c r="D133" s="25">
        <f>Mangochi!P133</f>
        <v>0</v>
      </c>
      <c r="E133" s="25">
        <f>'Monkey Bay'!P133</f>
        <v>0</v>
      </c>
      <c r="F133" s="25">
        <f>Namwera!P133</f>
        <v>0</v>
      </c>
      <c r="G133" s="25">
        <f>Nkhudzi!P133</f>
        <v>0</v>
      </c>
      <c r="H133" s="71">
        <f t="shared" si="86"/>
        <v>0</v>
      </c>
    </row>
    <row r="134" spans="1:8" x14ac:dyDescent="0.3">
      <c r="A134" s="556"/>
      <c r="B134" s="23" t="s">
        <v>81</v>
      </c>
      <c r="C134" s="11" t="s">
        <v>3</v>
      </c>
      <c r="D134" s="129">
        <f t="shared" ref="D134:H134" si="87">D130+D131-D132-D133</f>
        <v>0</v>
      </c>
      <c r="E134" s="129">
        <f t="shared" si="87"/>
        <v>0</v>
      </c>
      <c r="F134" s="129">
        <f t="shared" si="87"/>
        <v>0</v>
      </c>
      <c r="G134" s="129">
        <f t="shared" ref="G134" si="88">G130+G131-G132-G133</f>
        <v>0</v>
      </c>
      <c r="H134" s="34">
        <f t="shared" si="87"/>
        <v>0</v>
      </c>
    </row>
    <row r="135" spans="1:8" x14ac:dyDescent="0.3">
      <c r="A135" s="555" t="s">
        <v>89</v>
      </c>
      <c r="B135" s="23" t="s">
        <v>85</v>
      </c>
      <c r="C135" s="11" t="s">
        <v>3</v>
      </c>
      <c r="D135" s="25">
        <f>Mangochi!P135</f>
        <v>0</v>
      </c>
      <c r="E135" s="25">
        <f>'Monkey Bay'!P135</f>
        <v>0</v>
      </c>
      <c r="F135" s="25">
        <f>Namwera!P135</f>
        <v>0</v>
      </c>
      <c r="G135" s="25">
        <f>Nkhudzi!P135</f>
        <v>0</v>
      </c>
      <c r="H135" s="71">
        <f t="shared" ref="H135:H138" si="89">SUM(D135:G135)</f>
        <v>0</v>
      </c>
    </row>
    <row r="136" spans="1:8" x14ac:dyDescent="0.3">
      <c r="A136" s="602"/>
      <c r="B136" s="23" t="s">
        <v>84</v>
      </c>
      <c r="C136" s="11" t="s">
        <v>3</v>
      </c>
      <c r="D136" s="25">
        <f>Mangochi!P136</f>
        <v>0</v>
      </c>
      <c r="E136" s="25">
        <f>'Monkey Bay'!P136</f>
        <v>0</v>
      </c>
      <c r="F136" s="25">
        <f>Namwera!P136</f>
        <v>0</v>
      </c>
      <c r="G136" s="25">
        <f>Nkhudzi!P136</f>
        <v>0</v>
      </c>
      <c r="H136" s="71">
        <f t="shared" si="89"/>
        <v>0</v>
      </c>
    </row>
    <row r="137" spans="1:8" x14ac:dyDescent="0.3">
      <c r="A137" s="602"/>
      <c r="B137" s="79" t="s">
        <v>88</v>
      </c>
      <c r="C137" s="11" t="s">
        <v>3</v>
      </c>
      <c r="D137" s="25">
        <f>Mangochi!P137</f>
        <v>0</v>
      </c>
      <c r="E137" s="25">
        <f>'Monkey Bay'!P137</f>
        <v>0</v>
      </c>
      <c r="F137" s="25">
        <f>Namwera!P137</f>
        <v>0</v>
      </c>
      <c r="G137" s="25">
        <f>Nkhudzi!P137</f>
        <v>0</v>
      </c>
      <c r="H137" s="71">
        <f t="shared" si="89"/>
        <v>0</v>
      </c>
    </row>
    <row r="138" spans="1:8" x14ac:dyDescent="0.3">
      <c r="A138" s="602"/>
      <c r="B138" s="23" t="s">
        <v>82</v>
      </c>
      <c r="C138" s="11" t="s">
        <v>3</v>
      </c>
      <c r="D138" s="25">
        <f>Mangochi!P138</f>
        <v>0</v>
      </c>
      <c r="E138" s="25">
        <f>'Monkey Bay'!P138</f>
        <v>0</v>
      </c>
      <c r="F138" s="25">
        <f>Namwera!P138</f>
        <v>0</v>
      </c>
      <c r="G138" s="25">
        <f>Nkhudzi!P138</f>
        <v>0</v>
      </c>
      <c r="H138" s="71">
        <f t="shared" si="89"/>
        <v>0</v>
      </c>
    </row>
    <row r="139" spans="1:8" x14ac:dyDescent="0.3">
      <c r="A139" s="556"/>
      <c r="B139" s="23" t="s">
        <v>81</v>
      </c>
      <c r="C139" s="11" t="s">
        <v>3</v>
      </c>
      <c r="D139" s="129">
        <f t="shared" ref="D139:H139" si="90">D135+D136-D137-D138</f>
        <v>0</v>
      </c>
      <c r="E139" s="129">
        <f t="shared" si="90"/>
        <v>0</v>
      </c>
      <c r="F139" s="129">
        <f t="shared" si="90"/>
        <v>0</v>
      </c>
      <c r="G139" s="129">
        <f t="shared" ref="G139" si="91">G135+G136-G137-G138</f>
        <v>0</v>
      </c>
      <c r="H139" s="34">
        <f t="shared" si="90"/>
        <v>0</v>
      </c>
    </row>
    <row r="140" spans="1:8" x14ac:dyDescent="0.3">
      <c r="A140" s="555" t="s">
        <v>87</v>
      </c>
      <c r="B140" s="23" t="s">
        <v>85</v>
      </c>
      <c r="C140" s="11" t="s">
        <v>3</v>
      </c>
      <c r="D140" s="25">
        <f>Mangochi!P140</f>
        <v>420</v>
      </c>
      <c r="E140" s="25">
        <f>'Monkey Bay'!P140</f>
        <v>8</v>
      </c>
      <c r="F140" s="25">
        <f>Namwera!P140</f>
        <v>5</v>
      </c>
      <c r="G140" s="25">
        <f>Nkhudzi!P140</f>
        <v>36</v>
      </c>
      <c r="H140" s="71">
        <f t="shared" ref="H140:H143" si="92">SUM(D140:G140)</f>
        <v>469</v>
      </c>
    </row>
    <row r="141" spans="1:8" x14ac:dyDescent="0.3">
      <c r="A141" s="602"/>
      <c r="B141" s="23" t="s">
        <v>84</v>
      </c>
      <c r="C141" s="11" t="s">
        <v>3</v>
      </c>
      <c r="D141" s="25">
        <f>Mangochi!P141</f>
        <v>277</v>
      </c>
      <c r="E141" s="25">
        <f>'Monkey Bay'!P141</f>
        <v>22</v>
      </c>
      <c r="F141" s="25">
        <f>Namwera!P141</f>
        <v>7</v>
      </c>
      <c r="G141" s="25">
        <f>Nkhudzi!P141</f>
        <v>9</v>
      </c>
      <c r="H141" s="71">
        <f t="shared" si="92"/>
        <v>315</v>
      </c>
    </row>
    <row r="142" spans="1:8" x14ac:dyDescent="0.3">
      <c r="A142" s="602"/>
      <c r="B142" s="23" t="s">
        <v>83</v>
      </c>
      <c r="C142" s="11" t="s">
        <v>3</v>
      </c>
      <c r="D142" s="25">
        <f>Mangochi!P142</f>
        <v>0</v>
      </c>
      <c r="E142" s="25">
        <f>'Monkey Bay'!P142</f>
        <v>0</v>
      </c>
      <c r="F142" s="25">
        <f>Namwera!P142</f>
        <v>11</v>
      </c>
      <c r="G142" s="25">
        <f>Nkhudzi!P142</f>
        <v>6</v>
      </c>
      <c r="H142" s="71">
        <f t="shared" si="92"/>
        <v>17</v>
      </c>
    </row>
    <row r="143" spans="1:8" x14ac:dyDescent="0.3">
      <c r="A143" s="602"/>
      <c r="B143" s="23" t="s">
        <v>82</v>
      </c>
      <c r="C143" s="11" t="s">
        <v>3</v>
      </c>
      <c r="D143" s="25">
        <f>Mangochi!P143</f>
        <v>59</v>
      </c>
      <c r="E143" s="25">
        <f>'Monkey Bay'!P143</f>
        <v>0</v>
      </c>
      <c r="F143" s="25">
        <f>Namwera!P143</f>
        <v>0</v>
      </c>
      <c r="G143" s="25">
        <f>Nkhudzi!P143</f>
        <v>12</v>
      </c>
      <c r="H143" s="71">
        <f t="shared" si="92"/>
        <v>71</v>
      </c>
    </row>
    <row r="144" spans="1:8" x14ac:dyDescent="0.3">
      <c r="A144" s="556"/>
      <c r="B144" s="23" t="s">
        <v>81</v>
      </c>
      <c r="C144" s="11" t="s">
        <v>3</v>
      </c>
      <c r="D144" s="129">
        <f t="shared" ref="D144:H144" si="93">D140+D141-D142-D143</f>
        <v>638</v>
      </c>
      <c r="E144" s="129">
        <f t="shared" si="93"/>
        <v>30</v>
      </c>
      <c r="F144" s="129">
        <f t="shared" si="93"/>
        <v>1</v>
      </c>
      <c r="G144" s="129">
        <f t="shared" ref="G144" si="94">G140+G141-G142-G143</f>
        <v>27</v>
      </c>
      <c r="H144" s="34">
        <f t="shared" si="93"/>
        <v>696</v>
      </c>
    </row>
    <row r="145" spans="1:8" s="2" customFormat="1" x14ac:dyDescent="0.3">
      <c r="A145" s="555" t="s">
        <v>86</v>
      </c>
      <c r="B145" s="23" t="s">
        <v>85</v>
      </c>
      <c r="C145" s="11" t="s">
        <v>3</v>
      </c>
      <c r="D145" s="130">
        <f t="shared" ref="D145:F145" si="95">D125+D130+D135+D140</f>
        <v>421</v>
      </c>
      <c r="E145" s="130">
        <f t="shared" si="95"/>
        <v>8</v>
      </c>
      <c r="F145" s="130">
        <f t="shared" si="95"/>
        <v>5</v>
      </c>
      <c r="G145" s="130">
        <f t="shared" ref="G145" si="96">G125+G130+G135+G140</f>
        <v>36</v>
      </c>
      <c r="H145" s="104">
        <f t="shared" ref="H145:H149" si="97">H125+H130+H135+H140</f>
        <v>470</v>
      </c>
    </row>
    <row r="146" spans="1:8" x14ac:dyDescent="0.3">
      <c r="A146" s="602"/>
      <c r="B146" s="23" t="s">
        <v>84</v>
      </c>
      <c r="C146" s="11" t="s">
        <v>3</v>
      </c>
      <c r="D146" s="130">
        <f t="shared" ref="D146:F148" si="98">D126+D131+D136+D141</f>
        <v>277</v>
      </c>
      <c r="E146" s="130">
        <f t="shared" si="98"/>
        <v>22</v>
      </c>
      <c r="F146" s="130">
        <f t="shared" si="98"/>
        <v>7</v>
      </c>
      <c r="G146" s="130">
        <f t="shared" ref="G146" si="99">G126+G131+G136+G141</f>
        <v>9</v>
      </c>
      <c r="H146" s="104">
        <f t="shared" si="97"/>
        <v>315</v>
      </c>
    </row>
    <row r="147" spans="1:8" x14ac:dyDescent="0.3">
      <c r="A147" s="602"/>
      <c r="B147" s="23" t="s">
        <v>83</v>
      </c>
      <c r="C147" s="11" t="s">
        <v>3</v>
      </c>
      <c r="D147" s="130">
        <f t="shared" si="98"/>
        <v>0</v>
      </c>
      <c r="E147" s="130">
        <f t="shared" si="98"/>
        <v>0</v>
      </c>
      <c r="F147" s="130">
        <f t="shared" si="98"/>
        <v>11</v>
      </c>
      <c r="G147" s="130">
        <f t="shared" ref="G147" si="100">G127+G132+G137+G142</f>
        <v>6</v>
      </c>
      <c r="H147" s="104">
        <f t="shared" si="97"/>
        <v>17</v>
      </c>
    </row>
    <row r="148" spans="1:8" x14ac:dyDescent="0.3">
      <c r="A148" s="602"/>
      <c r="B148" s="23" t="s">
        <v>82</v>
      </c>
      <c r="C148" s="11" t="s">
        <v>3</v>
      </c>
      <c r="D148" s="130">
        <f t="shared" si="98"/>
        <v>59</v>
      </c>
      <c r="E148" s="130">
        <f t="shared" si="98"/>
        <v>0</v>
      </c>
      <c r="F148" s="130">
        <f t="shared" si="98"/>
        <v>0</v>
      </c>
      <c r="G148" s="130">
        <f t="shared" ref="G148" si="101">G128+G133+G138+G143</f>
        <v>12</v>
      </c>
      <c r="H148" s="104">
        <f t="shared" si="97"/>
        <v>71</v>
      </c>
    </row>
    <row r="149" spans="1:8" x14ac:dyDescent="0.3">
      <c r="A149" s="556"/>
      <c r="B149" s="23" t="s">
        <v>81</v>
      </c>
      <c r="C149" s="11" t="s">
        <v>3</v>
      </c>
      <c r="D149" s="129">
        <f t="shared" ref="D149:F149" si="102">D145+D146-D147-D148</f>
        <v>639</v>
      </c>
      <c r="E149" s="129">
        <f t="shared" si="102"/>
        <v>30</v>
      </c>
      <c r="F149" s="129">
        <f t="shared" si="102"/>
        <v>1</v>
      </c>
      <c r="G149" s="129">
        <f t="shared" ref="G149" si="103">G145+G146-G147-G148</f>
        <v>27</v>
      </c>
      <c r="H149" s="104">
        <f t="shared" si="97"/>
        <v>697</v>
      </c>
    </row>
    <row r="150" spans="1:8" ht="14.4" x14ac:dyDescent="0.3">
      <c r="A150" s="543" t="s">
        <v>80</v>
      </c>
      <c r="B150" s="544"/>
      <c r="C150" s="544"/>
      <c r="D150" s="544"/>
      <c r="E150" s="544"/>
      <c r="F150" s="544"/>
      <c r="G150" s="544"/>
      <c r="H150" s="546"/>
    </row>
    <row r="151" spans="1:8" ht="15.6" customHeight="1" x14ac:dyDescent="0.3">
      <c r="A151" s="615" t="s">
        <v>79</v>
      </c>
      <c r="B151" s="616"/>
      <c r="C151" s="616"/>
      <c r="D151" s="616"/>
      <c r="E151" s="616"/>
      <c r="F151" s="616"/>
      <c r="G151" s="616"/>
      <c r="H151" s="617"/>
    </row>
    <row r="152" spans="1:8" x14ac:dyDescent="0.3">
      <c r="A152" s="605" t="s">
        <v>78</v>
      </c>
      <c r="B152" s="86" t="s">
        <v>63</v>
      </c>
      <c r="C152" s="11"/>
      <c r="D152" s="15"/>
      <c r="E152" s="15"/>
      <c r="F152" s="15"/>
      <c r="G152" s="15"/>
      <c r="H152" s="38"/>
    </row>
    <row r="153" spans="1:8" x14ac:dyDescent="0.3">
      <c r="A153" s="606"/>
      <c r="B153" s="19" t="s">
        <v>73</v>
      </c>
      <c r="C153" s="11" t="s">
        <v>57</v>
      </c>
      <c r="D153" s="25">
        <f>Mangochi!P153</f>
        <v>184</v>
      </c>
      <c r="E153" s="25">
        <f>'Monkey Bay'!P153</f>
        <v>9</v>
      </c>
      <c r="F153" s="25">
        <f>Namwera!P153</f>
        <v>42</v>
      </c>
      <c r="G153" s="25">
        <f>Nkhudzi!P153</f>
        <v>117</v>
      </c>
      <c r="H153" s="71">
        <f t="shared" ref="H153:H192" si="104">SUM(D153:G153)</f>
        <v>352</v>
      </c>
    </row>
    <row r="154" spans="1:8" x14ac:dyDescent="0.3">
      <c r="A154" s="606"/>
      <c r="B154" s="19" t="s">
        <v>72</v>
      </c>
      <c r="C154" s="11" t="s">
        <v>57</v>
      </c>
      <c r="D154" s="25">
        <f>Mangochi!P154</f>
        <v>103</v>
      </c>
      <c r="E154" s="25">
        <f>'Monkey Bay'!P154</f>
        <v>12</v>
      </c>
      <c r="F154" s="25">
        <f>Namwera!P154</f>
        <v>21</v>
      </c>
      <c r="G154" s="25">
        <f>Nkhudzi!P154</f>
        <v>53</v>
      </c>
      <c r="H154" s="71">
        <f t="shared" si="104"/>
        <v>189</v>
      </c>
    </row>
    <row r="155" spans="1:8" x14ac:dyDescent="0.3">
      <c r="A155" s="606"/>
      <c r="B155" s="19" t="s">
        <v>53</v>
      </c>
      <c r="C155" s="11" t="s">
        <v>57</v>
      </c>
      <c r="D155" s="25">
        <f>Mangochi!P155</f>
        <v>44</v>
      </c>
      <c r="E155" s="25">
        <f>'Monkey Bay'!P155</f>
        <v>2</v>
      </c>
      <c r="F155" s="25">
        <f>Namwera!P155</f>
        <v>8</v>
      </c>
      <c r="G155" s="25">
        <f>Nkhudzi!P155</f>
        <v>17</v>
      </c>
      <c r="H155" s="71">
        <f t="shared" si="104"/>
        <v>71</v>
      </c>
    </row>
    <row r="156" spans="1:8" x14ac:dyDescent="0.3">
      <c r="A156" s="606"/>
      <c r="B156" s="19" t="s">
        <v>71</v>
      </c>
      <c r="C156" s="11" t="s">
        <v>57</v>
      </c>
      <c r="D156" s="25">
        <f>Mangochi!P156</f>
        <v>27</v>
      </c>
      <c r="E156" s="25">
        <f>'Monkey Bay'!P156</f>
        <v>4</v>
      </c>
      <c r="F156" s="25">
        <f>Namwera!P156</f>
        <v>3</v>
      </c>
      <c r="G156" s="25">
        <f>Nkhudzi!P156</f>
        <v>9</v>
      </c>
      <c r="H156" s="71">
        <f t="shared" si="104"/>
        <v>43</v>
      </c>
    </row>
    <row r="157" spans="1:8" x14ac:dyDescent="0.3">
      <c r="A157" s="606"/>
      <c r="B157" s="19" t="s">
        <v>52</v>
      </c>
      <c r="C157" s="11" t="s">
        <v>57</v>
      </c>
      <c r="D157" s="25">
        <f>Mangochi!P157</f>
        <v>11</v>
      </c>
      <c r="E157" s="25">
        <f>'Monkey Bay'!P157</f>
        <v>8</v>
      </c>
      <c r="F157" s="25">
        <f>Namwera!P157</f>
        <v>1</v>
      </c>
      <c r="G157" s="25">
        <f>Nkhudzi!P157</f>
        <v>1</v>
      </c>
      <c r="H157" s="71">
        <f t="shared" si="104"/>
        <v>21</v>
      </c>
    </row>
    <row r="158" spans="1:8" x14ac:dyDescent="0.3">
      <c r="A158" s="606"/>
      <c r="B158" s="19" t="s">
        <v>51</v>
      </c>
      <c r="C158" s="11" t="s">
        <v>57</v>
      </c>
      <c r="D158" s="25">
        <f>Mangochi!P158</f>
        <v>9</v>
      </c>
      <c r="E158" s="25">
        <f>'Monkey Bay'!P158</f>
        <v>8</v>
      </c>
      <c r="F158" s="25">
        <f>Namwera!P158</f>
        <v>1</v>
      </c>
      <c r="G158" s="25">
        <f>Nkhudzi!P158</f>
        <v>5</v>
      </c>
      <c r="H158" s="71">
        <f t="shared" si="104"/>
        <v>23</v>
      </c>
    </row>
    <row r="159" spans="1:8" x14ac:dyDescent="0.3">
      <c r="A159" s="606"/>
      <c r="B159" s="19" t="s">
        <v>62</v>
      </c>
      <c r="C159" s="11" t="s">
        <v>57</v>
      </c>
      <c r="D159" s="25">
        <f>Mangochi!P159</f>
        <v>0</v>
      </c>
      <c r="E159" s="25">
        <f>'Monkey Bay'!P159</f>
        <v>0</v>
      </c>
      <c r="F159" s="25">
        <f>Namwera!P159</f>
        <v>0</v>
      </c>
      <c r="G159" s="25">
        <f>Nkhudzi!P159</f>
        <v>3</v>
      </c>
      <c r="H159" s="71">
        <f t="shared" si="104"/>
        <v>3</v>
      </c>
    </row>
    <row r="160" spans="1:8" x14ac:dyDescent="0.3">
      <c r="A160" s="606"/>
      <c r="B160" s="19" t="s">
        <v>50</v>
      </c>
      <c r="C160" s="11" t="s">
        <v>57</v>
      </c>
      <c r="D160" s="25">
        <f>Mangochi!P160</f>
        <v>4</v>
      </c>
      <c r="E160" s="25">
        <f>'Monkey Bay'!P160</f>
        <v>8</v>
      </c>
      <c r="F160" s="25">
        <f>Namwera!P160</f>
        <v>0</v>
      </c>
      <c r="G160" s="25">
        <f>Nkhudzi!P160</f>
        <v>2</v>
      </c>
      <c r="H160" s="71">
        <f t="shared" si="104"/>
        <v>14</v>
      </c>
    </row>
    <row r="161" spans="1:8" x14ac:dyDescent="0.3">
      <c r="A161" s="606"/>
      <c r="B161" s="19" t="s">
        <v>49</v>
      </c>
      <c r="C161" s="11" t="s">
        <v>57</v>
      </c>
      <c r="D161" s="25">
        <f>Mangochi!P161</f>
        <v>0</v>
      </c>
      <c r="E161" s="25">
        <f>'Monkey Bay'!P161</f>
        <v>0</v>
      </c>
      <c r="F161" s="25">
        <f>Namwera!P161</f>
        <v>3</v>
      </c>
      <c r="G161" s="25">
        <f>Nkhudzi!P161</f>
        <v>0</v>
      </c>
      <c r="H161" s="71">
        <f t="shared" si="104"/>
        <v>3</v>
      </c>
    </row>
    <row r="162" spans="1:8" x14ac:dyDescent="0.3">
      <c r="A162" s="606"/>
      <c r="B162" s="19" t="s">
        <v>77</v>
      </c>
      <c r="C162" s="11" t="s">
        <v>57</v>
      </c>
      <c r="D162" s="25">
        <f>Mangochi!P162</f>
        <v>3</v>
      </c>
      <c r="E162" s="25">
        <f>'Monkey Bay'!P162</f>
        <v>0</v>
      </c>
      <c r="F162" s="25">
        <f>Namwera!P162</f>
        <v>0</v>
      </c>
      <c r="G162" s="25">
        <f>Nkhudzi!P162</f>
        <v>1</v>
      </c>
      <c r="H162" s="71">
        <f t="shared" si="104"/>
        <v>4</v>
      </c>
    </row>
    <row r="163" spans="1:8" x14ac:dyDescent="0.3">
      <c r="A163" s="606"/>
      <c r="B163" s="19" t="s">
        <v>69</v>
      </c>
      <c r="C163" s="11" t="s">
        <v>57</v>
      </c>
      <c r="D163" s="25">
        <f>Mangochi!P163</f>
        <v>0</v>
      </c>
      <c r="E163" s="25">
        <f>'Monkey Bay'!P163</f>
        <v>0</v>
      </c>
      <c r="F163" s="25">
        <f>Namwera!P163</f>
        <v>0</v>
      </c>
      <c r="G163" s="25">
        <f>Nkhudzi!P163</f>
        <v>1</v>
      </c>
      <c r="H163" s="71">
        <f t="shared" si="104"/>
        <v>1</v>
      </c>
    </row>
    <row r="164" spans="1:8" x14ac:dyDescent="0.3">
      <c r="A164" s="606"/>
      <c r="B164" s="19" t="s">
        <v>68</v>
      </c>
      <c r="C164" s="11" t="s">
        <v>57</v>
      </c>
      <c r="D164" s="25">
        <f>Mangochi!P164</f>
        <v>0</v>
      </c>
      <c r="E164" s="25">
        <f>'Monkey Bay'!P164</f>
        <v>0</v>
      </c>
      <c r="F164" s="25">
        <f>Namwera!P164</f>
        <v>0</v>
      </c>
      <c r="G164" s="25">
        <f>Nkhudzi!P164</f>
        <v>1</v>
      </c>
      <c r="H164" s="71">
        <f t="shared" si="104"/>
        <v>1</v>
      </c>
    </row>
    <row r="165" spans="1:8" x14ac:dyDescent="0.3">
      <c r="A165" s="607"/>
      <c r="B165" s="19" t="s">
        <v>76</v>
      </c>
      <c r="C165" s="11" t="s">
        <v>57</v>
      </c>
      <c r="D165" s="25">
        <f>Mangochi!P165</f>
        <v>0</v>
      </c>
      <c r="E165" s="25">
        <f>'Monkey Bay'!P165</f>
        <v>0</v>
      </c>
      <c r="F165" s="25">
        <f>Namwera!P165</f>
        <v>0</v>
      </c>
      <c r="G165" s="25">
        <f>Nkhudzi!P165</f>
        <v>0</v>
      </c>
      <c r="H165" s="71">
        <f t="shared" si="104"/>
        <v>0</v>
      </c>
    </row>
    <row r="166" spans="1:8" x14ac:dyDescent="0.3">
      <c r="A166" s="605" t="s">
        <v>75</v>
      </c>
      <c r="B166" s="21" t="s">
        <v>63</v>
      </c>
      <c r="C166" s="11"/>
      <c r="D166" s="4"/>
      <c r="E166" s="4"/>
      <c r="F166" s="4"/>
      <c r="G166" s="4">
        <f>Nkhudzi!P166</f>
        <v>0</v>
      </c>
      <c r="H166" s="71">
        <f t="shared" si="104"/>
        <v>0</v>
      </c>
    </row>
    <row r="167" spans="1:8" x14ac:dyDescent="0.3">
      <c r="A167" s="606"/>
      <c r="B167" s="19" t="s">
        <v>74</v>
      </c>
      <c r="C167" s="11" t="s">
        <v>57</v>
      </c>
      <c r="D167" s="25">
        <f>Mangochi!P167</f>
        <v>7</v>
      </c>
      <c r="E167" s="25">
        <f>'Monkey Bay'!P167</f>
        <v>0</v>
      </c>
      <c r="F167" s="25">
        <f>Namwera!P167</f>
        <v>0</v>
      </c>
      <c r="G167" s="25">
        <f>Nkhudzi!P167</f>
        <v>0</v>
      </c>
      <c r="H167" s="71">
        <f t="shared" si="104"/>
        <v>7</v>
      </c>
    </row>
    <row r="168" spans="1:8" x14ac:dyDescent="0.3">
      <c r="A168" s="606"/>
      <c r="B168" s="19" t="s">
        <v>73</v>
      </c>
      <c r="C168" s="11" t="s">
        <v>57</v>
      </c>
      <c r="D168" s="25">
        <f>Mangochi!P168</f>
        <v>4</v>
      </c>
      <c r="E168" s="25">
        <f>'Monkey Bay'!P168</f>
        <v>0</v>
      </c>
      <c r="F168" s="25">
        <f>Namwera!P168</f>
        <v>0</v>
      </c>
      <c r="G168" s="25">
        <f>Nkhudzi!P168</f>
        <v>0</v>
      </c>
      <c r="H168" s="71">
        <f t="shared" si="104"/>
        <v>4</v>
      </c>
    </row>
    <row r="169" spans="1:8" x14ac:dyDescent="0.3">
      <c r="A169" s="606"/>
      <c r="B169" s="19" t="s">
        <v>72</v>
      </c>
      <c r="C169" s="11" t="s">
        <v>57</v>
      </c>
      <c r="D169" s="25">
        <f>Mangochi!P169</f>
        <v>0</v>
      </c>
      <c r="E169" s="25">
        <f>'Monkey Bay'!P169</f>
        <v>0</v>
      </c>
      <c r="F169" s="25">
        <f>Namwera!P169</f>
        <v>0</v>
      </c>
      <c r="G169" s="25">
        <f>Nkhudzi!P169</f>
        <v>0</v>
      </c>
      <c r="H169" s="71">
        <f t="shared" si="104"/>
        <v>0</v>
      </c>
    </row>
    <row r="170" spans="1:8" x14ac:dyDescent="0.3">
      <c r="A170" s="606"/>
      <c r="B170" s="19" t="s">
        <v>71</v>
      </c>
      <c r="C170" s="11" t="s">
        <v>57</v>
      </c>
      <c r="D170" s="25">
        <f>Mangochi!P170</f>
        <v>0</v>
      </c>
      <c r="E170" s="25">
        <f>'Monkey Bay'!P170</f>
        <v>0</v>
      </c>
      <c r="F170" s="25">
        <f>Namwera!P170</f>
        <v>0</v>
      </c>
      <c r="G170" s="25">
        <f>Nkhudzi!P170</f>
        <v>0</v>
      </c>
      <c r="H170" s="71">
        <f t="shared" si="104"/>
        <v>0</v>
      </c>
    </row>
    <row r="171" spans="1:8" x14ac:dyDescent="0.3">
      <c r="A171" s="606"/>
      <c r="B171" s="19" t="s">
        <v>52</v>
      </c>
      <c r="C171" s="11" t="s">
        <v>57</v>
      </c>
      <c r="D171" s="25">
        <f>Mangochi!P171</f>
        <v>0</v>
      </c>
      <c r="E171" s="25">
        <f>'Monkey Bay'!P171</f>
        <v>0</v>
      </c>
      <c r="F171" s="25">
        <f>Namwera!P171</f>
        <v>0</v>
      </c>
      <c r="G171" s="25">
        <f>Nkhudzi!P171</f>
        <v>0</v>
      </c>
      <c r="H171" s="71">
        <f t="shared" si="104"/>
        <v>0</v>
      </c>
    </row>
    <row r="172" spans="1:8" x14ac:dyDescent="0.3">
      <c r="A172" s="606"/>
      <c r="B172" s="19" t="s">
        <v>62</v>
      </c>
      <c r="C172" s="11" t="s">
        <v>57</v>
      </c>
      <c r="D172" s="25">
        <f>Mangochi!P172</f>
        <v>0</v>
      </c>
      <c r="E172" s="25">
        <f>'Monkey Bay'!P172</f>
        <v>0</v>
      </c>
      <c r="F172" s="25">
        <f>Namwera!P172</f>
        <v>0</v>
      </c>
      <c r="G172" s="25">
        <f>Nkhudzi!P172</f>
        <v>0</v>
      </c>
      <c r="H172" s="71">
        <f t="shared" si="104"/>
        <v>0</v>
      </c>
    </row>
    <row r="173" spans="1:8" x14ac:dyDescent="0.3">
      <c r="A173" s="606"/>
      <c r="B173" s="19" t="s">
        <v>61</v>
      </c>
      <c r="C173" s="11" t="s">
        <v>57</v>
      </c>
      <c r="D173" s="25">
        <f>Mangochi!P173</f>
        <v>0</v>
      </c>
      <c r="E173" s="25">
        <f>'Monkey Bay'!P173</f>
        <v>0</v>
      </c>
      <c r="F173" s="25">
        <f>Namwera!P173</f>
        <v>0</v>
      </c>
      <c r="G173" s="25">
        <f>Nkhudzi!P173</f>
        <v>0</v>
      </c>
      <c r="H173" s="71">
        <f t="shared" si="104"/>
        <v>0</v>
      </c>
    </row>
    <row r="174" spans="1:8" x14ac:dyDescent="0.3">
      <c r="A174" s="606"/>
      <c r="B174" s="19" t="s">
        <v>60</v>
      </c>
      <c r="C174" s="11" t="s">
        <v>57</v>
      </c>
      <c r="D174" s="25">
        <f>Mangochi!P174</f>
        <v>0</v>
      </c>
      <c r="E174" s="25">
        <f>'Monkey Bay'!P174</f>
        <v>0</v>
      </c>
      <c r="F174" s="25">
        <f>Namwera!P174</f>
        <v>0</v>
      </c>
      <c r="G174" s="25">
        <f>Nkhudzi!P174</f>
        <v>0</v>
      </c>
      <c r="H174" s="71">
        <f t="shared" si="104"/>
        <v>0</v>
      </c>
    </row>
    <row r="175" spans="1:8" x14ac:dyDescent="0.3">
      <c r="A175" s="607"/>
      <c r="B175" s="19" t="s">
        <v>69</v>
      </c>
      <c r="C175" s="11" t="s">
        <v>57</v>
      </c>
      <c r="D175" s="25">
        <f>Mangochi!P175</f>
        <v>0</v>
      </c>
      <c r="E175" s="25">
        <f>'Monkey Bay'!P175</f>
        <v>0</v>
      </c>
      <c r="F175" s="25">
        <f>Namwera!P175</f>
        <v>0</v>
      </c>
      <c r="G175" s="25">
        <f>Nkhudzi!P175</f>
        <v>0</v>
      </c>
      <c r="H175" s="71">
        <f t="shared" si="104"/>
        <v>0</v>
      </c>
    </row>
    <row r="176" spans="1:8" x14ac:dyDescent="0.3">
      <c r="A176" s="605" t="s">
        <v>70</v>
      </c>
      <c r="B176" s="21" t="s">
        <v>63</v>
      </c>
      <c r="C176" s="11"/>
      <c r="D176" s="4"/>
      <c r="E176" s="4"/>
      <c r="F176" s="4"/>
      <c r="G176" s="4">
        <f>Nkhudzi!P176</f>
        <v>0</v>
      </c>
      <c r="H176" s="71">
        <f t="shared" si="104"/>
        <v>0</v>
      </c>
    </row>
    <row r="177" spans="1:8" x14ac:dyDescent="0.3">
      <c r="A177" s="606"/>
      <c r="B177" s="19" t="s">
        <v>60</v>
      </c>
      <c r="C177" s="11" t="s">
        <v>57</v>
      </c>
      <c r="D177" s="25">
        <f>Mangochi!P177</f>
        <v>0</v>
      </c>
      <c r="E177" s="25">
        <f>'Monkey Bay'!P177</f>
        <v>0</v>
      </c>
      <c r="F177" s="25">
        <f>Namwera!P177</f>
        <v>0</v>
      </c>
      <c r="G177" s="25">
        <f>Nkhudzi!P177</f>
        <v>0</v>
      </c>
      <c r="H177" s="71">
        <f t="shared" si="104"/>
        <v>0</v>
      </c>
    </row>
    <row r="178" spans="1:8" x14ac:dyDescent="0.3">
      <c r="A178" s="606"/>
      <c r="B178" s="19" t="s">
        <v>69</v>
      </c>
      <c r="C178" s="11" t="s">
        <v>57</v>
      </c>
      <c r="D178" s="25">
        <f>Mangochi!P178</f>
        <v>0</v>
      </c>
      <c r="E178" s="25">
        <f>'Monkey Bay'!P178</f>
        <v>0</v>
      </c>
      <c r="F178" s="25">
        <f>Namwera!P178</f>
        <v>0</v>
      </c>
      <c r="G178" s="25">
        <f>Nkhudzi!P178</f>
        <v>0</v>
      </c>
      <c r="H178" s="71">
        <f t="shared" si="104"/>
        <v>0</v>
      </c>
    </row>
    <row r="179" spans="1:8" x14ac:dyDescent="0.3">
      <c r="A179" s="606"/>
      <c r="B179" s="19" t="s">
        <v>68</v>
      </c>
      <c r="C179" s="11" t="s">
        <v>57</v>
      </c>
      <c r="D179" s="25">
        <f>Mangochi!P179</f>
        <v>0</v>
      </c>
      <c r="E179" s="25">
        <f>'Monkey Bay'!P179</f>
        <v>0</v>
      </c>
      <c r="F179" s="25">
        <f>Namwera!P179</f>
        <v>0</v>
      </c>
      <c r="G179" s="25">
        <f>Nkhudzi!P179</f>
        <v>0</v>
      </c>
      <c r="H179" s="71">
        <f t="shared" si="104"/>
        <v>0</v>
      </c>
    </row>
    <row r="180" spans="1:8" x14ac:dyDescent="0.3">
      <c r="A180" s="606"/>
      <c r="B180" s="19" t="s">
        <v>67</v>
      </c>
      <c r="C180" s="11" t="s">
        <v>57</v>
      </c>
      <c r="D180" s="25">
        <f>Mangochi!P180</f>
        <v>0</v>
      </c>
      <c r="E180" s="25">
        <f>'Monkey Bay'!P180</f>
        <v>0</v>
      </c>
      <c r="F180" s="25">
        <f>Namwera!P180</f>
        <v>0</v>
      </c>
      <c r="G180" s="25">
        <f>Nkhudzi!P180</f>
        <v>0</v>
      </c>
      <c r="H180" s="71">
        <f t="shared" si="104"/>
        <v>0</v>
      </c>
    </row>
    <row r="181" spans="1:8" x14ac:dyDescent="0.3">
      <c r="A181" s="606"/>
      <c r="B181" s="19" t="s">
        <v>66</v>
      </c>
      <c r="C181" s="11" t="s">
        <v>57</v>
      </c>
      <c r="D181" s="25">
        <f>Mangochi!P181</f>
        <v>0</v>
      </c>
      <c r="E181" s="25">
        <f>'Monkey Bay'!P181</f>
        <v>0</v>
      </c>
      <c r="F181" s="25">
        <f>Namwera!P181</f>
        <v>0</v>
      </c>
      <c r="G181" s="25">
        <f>Nkhudzi!P181</f>
        <v>0</v>
      </c>
      <c r="H181" s="71">
        <f t="shared" si="104"/>
        <v>0</v>
      </c>
    </row>
    <row r="182" spans="1:8" x14ac:dyDescent="0.3">
      <c r="A182" s="607"/>
      <c r="B182" s="19" t="s">
        <v>65</v>
      </c>
      <c r="C182" s="11" t="s">
        <v>57</v>
      </c>
      <c r="D182" s="25">
        <f>Mangochi!P182</f>
        <v>0</v>
      </c>
      <c r="E182" s="25">
        <f>'Monkey Bay'!P182</f>
        <v>0</v>
      </c>
      <c r="F182" s="25">
        <f>Namwera!P182</f>
        <v>0</v>
      </c>
      <c r="G182" s="25">
        <f>Nkhudzi!P182</f>
        <v>0</v>
      </c>
      <c r="H182" s="71">
        <f t="shared" si="104"/>
        <v>0</v>
      </c>
    </row>
    <row r="183" spans="1:8" x14ac:dyDescent="0.3">
      <c r="A183" s="605" t="s">
        <v>211</v>
      </c>
      <c r="B183" s="21" t="s">
        <v>63</v>
      </c>
      <c r="C183" s="11"/>
      <c r="D183" s="4"/>
      <c r="E183" s="4"/>
      <c r="F183" s="4"/>
      <c r="G183" s="4"/>
      <c r="H183" s="71">
        <f t="shared" si="104"/>
        <v>0</v>
      </c>
    </row>
    <row r="184" spans="1:8" x14ac:dyDescent="0.3">
      <c r="A184" s="606"/>
      <c r="B184" s="19" t="s">
        <v>73</v>
      </c>
      <c r="C184" s="11" t="s">
        <v>57</v>
      </c>
      <c r="D184" s="25">
        <f>Mangochi!P184</f>
        <v>0</v>
      </c>
      <c r="E184" s="25">
        <f>'Monkey Bay'!P184</f>
        <v>0</v>
      </c>
      <c r="F184" s="25">
        <f>Namwera!P184</f>
        <v>0</v>
      </c>
      <c r="G184" s="25">
        <f>Nkhudzi!P184</f>
        <v>0</v>
      </c>
      <c r="H184" s="71">
        <f t="shared" si="104"/>
        <v>0</v>
      </c>
    </row>
    <row r="185" spans="1:8" x14ac:dyDescent="0.3">
      <c r="A185" s="606"/>
      <c r="B185" s="19" t="s">
        <v>72</v>
      </c>
      <c r="C185" s="11" t="s">
        <v>57</v>
      </c>
      <c r="D185" s="25">
        <f>Mangochi!P185</f>
        <v>0</v>
      </c>
      <c r="E185" s="25">
        <f>'Monkey Bay'!P185</f>
        <v>0</v>
      </c>
      <c r="F185" s="25">
        <f>Namwera!P185</f>
        <v>0</v>
      </c>
      <c r="G185" s="25">
        <f>Nkhudzi!P185</f>
        <v>0</v>
      </c>
      <c r="H185" s="71">
        <f t="shared" si="104"/>
        <v>0</v>
      </c>
    </row>
    <row r="186" spans="1:8" x14ac:dyDescent="0.3">
      <c r="A186" s="606"/>
      <c r="B186" s="19" t="s">
        <v>53</v>
      </c>
      <c r="C186" s="11" t="s">
        <v>57</v>
      </c>
      <c r="D186" s="25">
        <f>Mangochi!P186</f>
        <v>0</v>
      </c>
      <c r="E186" s="25">
        <f>'Monkey Bay'!P186</f>
        <v>0</v>
      </c>
      <c r="F186" s="25">
        <f>Namwera!P186</f>
        <v>0</v>
      </c>
      <c r="G186" s="25">
        <f>Nkhudzi!P186</f>
        <v>0</v>
      </c>
      <c r="H186" s="71">
        <f t="shared" si="104"/>
        <v>0</v>
      </c>
    </row>
    <row r="187" spans="1:8" x14ac:dyDescent="0.3">
      <c r="A187" s="607"/>
      <c r="B187" s="19" t="s">
        <v>52</v>
      </c>
      <c r="C187" s="11" t="s">
        <v>57</v>
      </c>
      <c r="D187" s="25">
        <f>Mangochi!P187</f>
        <v>0</v>
      </c>
      <c r="E187" s="25">
        <f>'Monkey Bay'!P187</f>
        <v>0</v>
      </c>
      <c r="F187" s="25">
        <f>Namwera!P187</f>
        <v>0</v>
      </c>
      <c r="G187" s="25">
        <f>Nkhudzi!P187</f>
        <v>0</v>
      </c>
      <c r="H187" s="71">
        <f t="shared" si="104"/>
        <v>0</v>
      </c>
    </row>
    <row r="188" spans="1:8" x14ac:dyDescent="0.3">
      <c r="A188" s="605" t="s">
        <v>64</v>
      </c>
      <c r="B188" s="21" t="s">
        <v>63</v>
      </c>
      <c r="C188" s="11"/>
      <c r="D188" s="4"/>
      <c r="E188" s="4"/>
      <c r="F188" s="4"/>
      <c r="G188" s="4"/>
      <c r="H188" s="71">
        <f t="shared" si="104"/>
        <v>0</v>
      </c>
    </row>
    <row r="189" spans="1:8" x14ac:dyDescent="0.3">
      <c r="A189" s="606"/>
      <c r="B189" s="20" t="s">
        <v>52</v>
      </c>
      <c r="C189" s="11" t="s">
        <v>57</v>
      </c>
      <c r="D189" s="25">
        <f>Mangochi!P189</f>
        <v>0</v>
      </c>
      <c r="E189" s="25">
        <f>'Monkey Bay'!P189</f>
        <v>0</v>
      </c>
      <c r="F189" s="25">
        <f>Namwera!P189</f>
        <v>0</v>
      </c>
      <c r="G189" s="25">
        <f>Nkhudzi!P189</f>
        <v>0</v>
      </c>
      <c r="H189" s="71">
        <f t="shared" si="104"/>
        <v>0</v>
      </c>
    </row>
    <row r="190" spans="1:8" x14ac:dyDescent="0.3">
      <c r="A190" s="606"/>
      <c r="B190" s="19" t="s">
        <v>62</v>
      </c>
      <c r="C190" s="11" t="s">
        <v>57</v>
      </c>
      <c r="D190" s="25">
        <f>Mangochi!P190</f>
        <v>0</v>
      </c>
      <c r="E190" s="25">
        <f>'Monkey Bay'!P190</f>
        <v>0</v>
      </c>
      <c r="F190" s="25">
        <f>Namwera!P190</f>
        <v>0</v>
      </c>
      <c r="G190" s="25">
        <f>Nkhudzi!P190</f>
        <v>0</v>
      </c>
      <c r="H190" s="71">
        <f t="shared" si="104"/>
        <v>0</v>
      </c>
    </row>
    <row r="191" spans="1:8" x14ac:dyDescent="0.3">
      <c r="A191" s="606"/>
      <c r="B191" s="19" t="s">
        <v>61</v>
      </c>
      <c r="C191" s="11" t="s">
        <v>57</v>
      </c>
      <c r="D191" s="25">
        <f>Mangochi!P191</f>
        <v>0</v>
      </c>
      <c r="E191" s="25">
        <f>'Monkey Bay'!P191</f>
        <v>0</v>
      </c>
      <c r="F191" s="25">
        <f>Namwera!P191</f>
        <v>0</v>
      </c>
      <c r="G191" s="25">
        <f>Nkhudzi!P191</f>
        <v>0</v>
      </c>
      <c r="H191" s="71">
        <f t="shared" si="104"/>
        <v>0</v>
      </c>
    </row>
    <row r="192" spans="1:8" x14ac:dyDescent="0.3">
      <c r="A192" s="607"/>
      <c r="B192" s="19" t="s">
        <v>60</v>
      </c>
      <c r="C192" s="11" t="s">
        <v>57</v>
      </c>
      <c r="D192" s="25">
        <f>Mangochi!P192</f>
        <v>2</v>
      </c>
      <c r="E192" s="25">
        <f>'Monkey Bay'!P192</f>
        <v>0</v>
      </c>
      <c r="F192" s="25">
        <f>Namwera!P192</f>
        <v>0</v>
      </c>
      <c r="G192" s="25">
        <f>Nkhudzi!P192</f>
        <v>0</v>
      </c>
      <c r="H192" s="71">
        <f t="shared" si="104"/>
        <v>2</v>
      </c>
    </row>
    <row r="193" spans="1:8" x14ac:dyDescent="0.3">
      <c r="A193" s="608" t="s">
        <v>59</v>
      </c>
      <c r="B193" s="609"/>
      <c r="C193" s="11"/>
      <c r="D193" s="10">
        <f>SUM(D153:D192)</f>
        <v>398</v>
      </c>
      <c r="E193" s="10">
        <f t="shared" ref="E193:F193" si="105">SUM(E153:E192)</f>
        <v>51</v>
      </c>
      <c r="F193" s="10">
        <f t="shared" si="105"/>
        <v>79</v>
      </c>
      <c r="G193" s="10">
        <f t="shared" ref="G193" si="106">SUM(G153:G192)</f>
        <v>210</v>
      </c>
      <c r="H193" s="97">
        <f>SUM(H153:H192)</f>
        <v>738</v>
      </c>
    </row>
    <row r="194" spans="1:8" x14ac:dyDescent="0.3">
      <c r="A194" s="610" t="s">
        <v>58</v>
      </c>
      <c r="B194" s="611"/>
      <c r="C194" s="11" t="s">
        <v>57</v>
      </c>
      <c r="D194" s="25">
        <f>Mangochi!P194</f>
        <v>14</v>
      </c>
      <c r="E194" s="25">
        <f>'Monkey Bay'!P194</f>
        <v>12</v>
      </c>
      <c r="F194" s="25">
        <f>Namwera!P194</f>
        <v>4</v>
      </c>
      <c r="G194" s="25">
        <f>Nkhudzi!P194</f>
        <v>16</v>
      </c>
      <c r="H194" s="38">
        <f t="shared" ref="H194:H196" si="107">SUM(D194:G194)</f>
        <v>46</v>
      </c>
    </row>
    <row r="195" spans="1:8" x14ac:dyDescent="0.3">
      <c r="A195" s="612"/>
      <c r="B195" s="613"/>
      <c r="C195" s="16" t="s">
        <v>55</v>
      </c>
      <c r="D195" s="25">
        <f>Mangochi!P195</f>
        <v>1310.5</v>
      </c>
      <c r="E195" s="25">
        <f>'Monkey Bay'!P195</f>
        <v>1192</v>
      </c>
      <c r="F195" s="25">
        <f>Namwera!P195</f>
        <v>1152</v>
      </c>
      <c r="G195" s="25">
        <f>Nkhudzi!P195</f>
        <v>435</v>
      </c>
      <c r="H195" s="38">
        <f t="shared" si="107"/>
        <v>4089.5</v>
      </c>
    </row>
    <row r="196" spans="1:8" x14ac:dyDescent="0.3">
      <c r="A196" s="182" t="s">
        <v>204</v>
      </c>
      <c r="B196" s="183"/>
      <c r="C196" s="16" t="s">
        <v>55</v>
      </c>
      <c r="D196" s="25">
        <f>Mangochi!P196</f>
        <v>1.5</v>
      </c>
      <c r="E196" s="25">
        <f>'Monkey Bay'!P196</f>
        <v>4</v>
      </c>
      <c r="F196" s="25">
        <f>Namwera!P196</f>
        <v>1.25</v>
      </c>
      <c r="G196" s="25">
        <f>Nkhudzi!P196</f>
        <v>4</v>
      </c>
      <c r="H196" s="38">
        <f t="shared" si="107"/>
        <v>10.75</v>
      </c>
    </row>
    <row r="197" spans="1:8" x14ac:dyDescent="0.3">
      <c r="A197" s="549" t="s">
        <v>56</v>
      </c>
      <c r="B197" s="550"/>
      <c r="C197" s="16" t="s">
        <v>55</v>
      </c>
      <c r="D197" s="25">
        <f>Mangochi!P197</f>
        <v>75</v>
      </c>
      <c r="E197" s="25">
        <f>'Monkey Bay'!P197</f>
        <v>276</v>
      </c>
      <c r="F197" s="25">
        <f>Namwera!P197</f>
        <v>312</v>
      </c>
      <c r="G197" s="25">
        <f>Nkhudzi!P197</f>
        <v>132</v>
      </c>
      <c r="H197" s="38">
        <f>SUM(D197:G197)</f>
        <v>795</v>
      </c>
    </row>
    <row r="198" spans="1:8" ht="14.4" x14ac:dyDescent="0.3">
      <c r="A198" s="543" t="s">
        <v>205</v>
      </c>
      <c r="B198" s="544"/>
      <c r="C198" s="544"/>
      <c r="D198" s="544"/>
      <c r="E198" s="544"/>
      <c r="F198" s="544"/>
      <c r="G198" s="544"/>
      <c r="H198" s="546"/>
    </row>
    <row r="199" spans="1:8" x14ac:dyDescent="0.3">
      <c r="A199" s="610" t="s">
        <v>54</v>
      </c>
      <c r="B199" s="179" t="s">
        <v>53</v>
      </c>
      <c r="C199" s="11" t="s">
        <v>47</v>
      </c>
      <c r="D199" s="25">
        <f>Mangochi!P199</f>
        <v>0</v>
      </c>
      <c r="E199" s="25">
        <f>'Monkey Bay'!P199</f>
        <v>0</v>
      </c>
      <c r="F199" s="25">
        <f>Namwera!P199</f>
        <v>0</v>
      </c>
      <c r="G199" s="25">
        <f>Nkhudzi!P199</f>
        <v>0</v>
      </c>
      <c r="H199" s="38">
        <f t="shared" ref="H199:H203" si="108">SUM(D199:G199)</f>
        <v>0</v>
      </c>
    </row>
    <row r="200" spans="1:8" x14ac:dyDescent="0.3">
      <c r="A200" s="614"/>
      <c r="B200" s="179" t="s">
        <v>52</v>
      </c>
      <c r="C200" s="11" t="s">
        <v>47</v>
      </c>
      <c r="D200" s="25">
        <f>Mangochi!P200</f>
        <v>0</v>
      </c>
      <c r="E200" s="25">
        <f>'Monkey Bay'!P200</f>
        <v>0</v>
      </c>
      <c r="F200" s="25">
        <f>Namwera!P200</f>
        <v>0</v>
      </c>
      <c r="G200" s="25">
        <f>Nkhudzi!P200</f>
        <v>0</v>
      </c>
      <c r="H200" s="38">
        <f t="shared" si="108"/>
        <v>0</v>
      </c>
    </row>
    <row r="201" spans="1:8" x14ac:dyDescent="0.3">
      <c r="A201" s="614"/>
      <c r="B201" s="179" t="s">
        <v>51</v>
      </c>
      <c r="C201" s="11" t="s">
        <v>47</v>
      </c>
      <c r="D201" s="25">
        <f>Mangochi!P201</f>
        <v>0</v>
      </c>
      <c r="E201" s="25">
        <f>'Monkey Bay'!P201</f>
        <v>0</v>
      </c>
      <c r="F201" s="25">
        <f>Namwera!P201</f>
        <v>0</v>
      </c>
      <c r="G201" s="25">
        <f>Nkhudzi!P201</f>
        <v>0</v>
      </c>
      <c r="H201" s="38">
        <f t="shared" si="108"/>
        <v>0</v>
      </c>
    </row>
    <row r="202" spans="1:8" x14ac:dyDescent="0.3">
      <c r="A202" s="614"/>
      <c r="B202" s="179" t="s">
        <v>50</v>
      </c>
      <c r="C202" s="11" t="s">
        <v>47</v>
      </c>
      <c r="D202" s="25">
        <f>Mangochi!P202</f>
        <v>0</v>
      </c>
      <c r="E202" s="25">
        <f>'Monkey Bay'!P202</f>
        <v>0</v>
      </c>
      <c r="F202" s="25">
        <f>Namwera!P202</f>
        <v>150</v>
      </c>
      <c r="G202" s="25">
        <f>Nkhudzi!P202</f>
        <v>0</v>
      </c>
      <c r="H202" s="38">
        <f t="shared" si="108"/>
        <v>150</v>
      </c>
    </row>
    <row r="203" spans="1:8" x14ac:dyDescent="0.3">
      <c r="A203" s="612"/>
      <c r="B203" s="179" t="s">
        <v>49</v>
      </c>
      <c r="C203" s="11" t="s">
        <v>47</v>
      </c>
      <c r="D203" s="25">
        <f>Mangochi!P203</f>
        <v>0</v>
      </c>
      <c r="E203" s="25">
        <f>'Monkey Bay'!P203</f>
        <v>0</v>
      </c>
      <c r="F203" s="25">
        <f>Namwera!P203</f>
        <v>0</v>
      </c>
      <c r="G203" s="25">
        <f>Nkhudzi!P203</f>
        <v>0</v>
      </c>
      <c r="H203" s="38">
        <f t="shared" si="108"/>
        <v>0</v>
      </c>
    </row>
    <row r="204" spans="1:8" x14ac:dyDescent="0.3">
      <c r="A204" s="80" t="s">
        <v>48</v>
      </c>
      <c r="B204" s="179"/>
      <c r="C204" s="11" t="s">
        <v>47</v>
      </c>
      <c r="D204" s="15">
        <f t="shared" ref="D204:F204" si="109">SUM(D199:D203)</f>
        <v>0</v>
      </c>
      <c r="E204" s="15">
        <f t="shared" si="109"/>
        <v>0</v>
      </c>
      <c r="F204" s="15">
        <f t="shared" si="109"/>
        <v>150</v>
      </c>
      <c r="G204" s="15">
        <f t="shared" ref="G204" si="110">SUM(G199:G203)</f>
        <v>0</v>
      </c>
      <c r="H204" s="105">
        <f>SUM(D204:G204)</f>
        <v>150</v>
      </c>
    </row>
    <row r="205" spans="1:8" s="2" customFormat="1" ht="14.4" x14ac:dyDescent="0.3">
      <c r="A205" s="543" t="s">
        <v>46</v>
      </c>
      <c r="B205" s="544"/>
      <c r="C205" s="544"/>
      <c r="D205" s="544"/>
      <c r="E205" s="544"/>
      <c r="F205" s="544"/>
      <c r="G205" s="544"/>
      <c r="H205" s="546"/>
    </row>
    <row r="206" spans="1:8" x14ac:dyDescent="0.3">
      <c r="A206" s="549" t="s">
        <v>43</v>
      </c>
      <c r="B206" s="550"/>
      <c r="C206" s="11" t="s">
        <v>31</v>
      </c>
      <c r="D206" s="15">
        <f>Mangochi!P206</f>
        <v>138079353</v>
      </c>
      <c r="E206" s="15">
        <f>'Monkey Bay'!P206</f>
        <v>34392603</v>
      </c>
      <c r="F206" s="15">
        <f>Namwera!P206</f>
        <v>0</v>
      </c>
      <c r="G206" s="15">
        <f>Nkhudzi!P206</f>
        <v>0</v>
      </c>
      <c r="H206" s="38">
        <f t="shared" ref="H206:H209" si="111">SUM(D206:G206)</f>
        <v>172471956</v>
      </c>
    </row>
    <row r="207" spans="1:8" x14ac:dyDescent="0.3">
      <c r="A207" s="549" t="s">
        <v>42</v>
      </c>
      <c r="B207" s="550"/>
      <c r="C207" s="11" t="s">
        <v>31</v>
      </c>
      <c r="D207" s="15">
        <f>Mangochi!P207</f>
        <v>0</v>
      </c>
      <c r="E207" s="15">
        <f>'Monkey Bay'!P207</f>
        <v>0</v>
      </c>
      <c r="F207" s="15">
        <f>Namwera!P207</f>
        <v>0</v>
      </c>
      <c r="G207" s="15">
        <f>Nkhudzi!P207</f>
        <v>0</v>
      </c>
      <c r="H207" s="38">
        <f t="shared" si="111"/>
        <v>0</v>
      </c>
    </row>
    <row r="208" spans="1:8" x14ac:dyDescent="0.3">
      <c r="A208" s="547" t="s">
        <v>41</v>
      </c>
      <c r="B208" s="548"/>
      <c r="C208" s="11" t="s">
        <v>31</v>
      </c>
      <c r="D208" s="15">
        <f>Mangochi!P208</f>
        <v>644967.22</v>
      </c>
      <c r="E208" s="15">
        <f>'Monkey Bay'!P208</f>
        <v>0</v>
      </c>
      <c r="F208" s="15">
        <f>Namwera!P208</f>
        <v>0</v>
      </c>
      <c r="G208" s="15">
        <f>Nkhudzi!P208</f>
        <v>0</v>
      </c>
      <c r="H208" s="38">
        <f t="shared" si="111"/>
        <v>644967.22</v>
      </c>
    </row>
    <row r="209" spans="1:8" x14ac:dyDescent="0.3">
      <c r="A209" s="549" t="s">
        <v>40</v>
      </c>
      <c r="B209" s="550"/>
      <c r="C209" s="11" t="s">
        <v>31</v>
      </c>
      <c r="D209" s="15">
        <f>Mangochi!P209</f>
        <v>296984.44</v>
      </c>
      <c r="E209" s="15">
        <f>'Monkey Bay'!P209</f>
        <v>25000</v>
      </c>
      <c r="F209" s="15">
        <f>Namwera!P209</f>
        <v>0</v>
      </c>
      <c r="G209" s="15">
        <f>Nkhudzi!P209</f>
        <v>0</v>
      </c>
      <c r="H209" s="38">
        <f t="shared" si="111"/>
        <v>321984.44</v>
      </c>
    </row>
    <row r="210" spans="1:8" x14ac:dyDescent="0.3">
      <c r="A210" s="618" t="s">
        <v>45</v>
      </c>
      <c r="B210" s="619"/>
      <c r="C210" s="11" t="s">
        <v>31</v>
      </c>
      <c r="D210" s="10">
        <f t="shared" ref="D210:F210" si="112">SUM(D206:D209)</f>
        <v>139021304.66</v>
      </c>
      <c r="E210" s="10">
        <f t="shared" si="112"/>
        <v>34417603</v>
      </c>
      <c r="F210" s="10">
        <f t="shared" si="112"/>
        <v>0</v>
      </c>
      <c r="G210" s="10">
        <f t="shared" ref="G210" si="113">SUM(G206:G209)</f>
        <v>0</v>
      </c>
      <c r="H210" s="38">
        <f>SUM(D210:G210)</f>
        <v>173438907.66</v>
      </c>
    </row>
    <row r="211" spans="1:8" s="2" customFormat="1" ht="14.4" x14ac:dyDescent="0.3">
      <c r="A211" s="543" t="s">
        <v>44</v>
      </c>
      <c r="B211" s="544"/>
      <c r="C211" s="544"/>
      <c r="D211" s="544"/>
      <c r="E211" s="544"/>
      <c r="F211" s="544"/>
      <c r="G211" s="544"/>
      <c r="H211" s="546"/>
    </row>
    <row r="212" spans="1:8" x14ac:dyDescent="0.3">
      <c r="A212" s="549" t="s">
        <v>43</v>
      </c>
      <c r="B212" s="550"/>
      <c r="C212" s="11" t="s">
        <v>31</v>
      </c>
      <c r="D212" s="15">
        <f>Mangochi!P212</f>
        <v>68172134</v>
      </c>
      <c r="E212" s="15">
        <f>'Monkey Bay'!P212</f>
        <v>22723262</v>
      </c>
      <c r="F212" s="15">
        <f>Namwera!P212</f>
        <v>10393423</v>
      </c>
      <c r="G212" s="15">
        <f>Nkhudzi!P212</f>
        <v>60993836</v>
      </c>
      <c r="H212" s="38">
        <f t="shared" ref="H212:H216" si="114">SUM(D212:G212)</f>
        <v>162282655</v>
      </c>
    </row>
    <row r="213" spans="1:8" x14ac:dyDescent="0.3">
      <c r="A213" s="549" t="s">
        <v>42</v>
      </c>
      <c r="B213" s="550"/>
      <c r="C213" s="11" t="s">
        <v>31</v>
      </c>
      <c r="D213" s="15">
        <f>Mangochi!P213</f>
        <v>1956780</v>
      </c>
      <c r="E213" s="15">
        <f>'Monkey Bay'!P213</f>
        <v>476930</v>
      </c>
      <c r="F213" s="15">
        <f>Namwera!P213</f>
        <v>0</v>
      </c>
      <c r="G213" s="15">
        <f>Nkhudzi!P213</f>
        <v>288800</v>
      </c>
      <c r="H213" s="38">
        <f t="shared" si="114"/>
        <v>2722510</v>
      </c>
    </row>
    <row r="214" spans="1:8" x14ac:dyDescent="0.3">
      <c r="A214" s="547" t="s">
        <v>41</v>
      </c>
      <c r="B214" s="548"/>
      <c r="C214" s="11" t="s">
        <v>31</v>
      </c>
      <c r="D214" s="15">
        <f>Mangochi!P214</f>
        <v>20453908</v>
      </c>
      <c r="E214" s="15">
        <f>'Monkey Bay'!P214</f>
        <v>5560835</v>
      </c>
      <c r="F214" s="15">
        <f>Namwera!P214</f>
        <v>131900</v>
      </c>
      <c r="G214" s="15">
        <f>Nkhudzi!P214</f>
        <v>10809220</v>
      </c>
      <c r="H214" s="38">
        <f t="shared" si="114"/>
        <v>36955863</v>
      </c>
    </row>
    <row r="215" spans="1:8" x14ac:dyDescent="0.3">
      <c r="A215" s="549" t="s">
        <v>40</v>
      </c>
      <c r="B215" s="550"/>
      <c r="C215" s="11" t="s">
        <v>31</v>
      </c>
      <c r="D215" s="15">
        <f>Mangochi!P215</f>
        <v>32996257</v>
      </c>
      <c r="E215" s="15">
        <f>'Monkey Bay'!P215</f>
        <v>13920250</v>
      </c>
      <c r="F215" s="15">
        <f>Namwera!P215</f>
        <v>2291200</v>
      </c>
      <c r="G215" s="15">
        <f>Nkhudzi!P215</f>
        <v>2943390</v>
      </c>
      <c r="H215" s="38">
        <f t="shared" si="114"/>
        <v>52151097</v>
      </c>
    </row>
    <row r="216" spans="1:8" x14ac:dyDescent="0.3">
      <c r="A216" s="618" t="s">
        <v>39</v>
      </c>
      <c r="B216" s="619"/>
      <c r="C216" s="11" t="s">
        <v>31</v>
      </c>
      <c r="D216" s="10">
        <f t="shared" ref="D216:F216" si="115">SUM(D212:D215)</f>
        <v>123579079</v>
      </c>
      <c r="E216" s="10">
        <f t="shared" si="115"/>
        <v>42681277</v>
      </c>
      <c r="F216" s="10">
        <f t="shared" si="115"/>
        <v>12816523</v>
      </c>
      <c r="G216" s="10">
        <f t="shared" ref="G216" si="116">SUM(G212:G215)</f>
        <v>75035246</v>
      </c>
      <c r="H216" s="38">
        <f t="shared" si="114"/>
        <v>254112125</v>
      </c>
    </row>
    <row r="217" spans="1:8" s="2" customFormat="1" x14ac:dyDescent="0.3">
      <c r="A217" s="184" t="s">
        <v>38</v>
      </c>
      <c r="B217" s="185"/>
      <c r="C217" s="11" t="s">
        <v>31</v>
      </c>
      <c r="D217" s="10">
        <f>D210+D216</f>
        <v>262600383.66</v>
      </c>
      <c r="E217" s="10">
        <f t="shared" ref="E217:H217" si="117">E210+E216</f>
        <v>77098880</v>
      </c>
      <c r="F217" s="10">
        <f t="shared" si="117"/>
        <v>12816523</v>
      </c>
      <c r="G217" s="10">
        <f t="shared" ref="G217" si="118">G210+G216</f>
        <v>75035246</v>
      </c>
      <c r="H217" s="39">
        <f t="shared" si="117"/>
        <v>427551032.65999997</v>
      </c>
    </row>
    <row r="218" spans="1:8" s="2" customFormat="1" ht="14.4" x14ac:dyDescent="0.3">
      <c r="A218" s="543" t="s">
        <v>37</v>
      </c>
      <c r="B218" s="544"/>
      <c r="C218" s="544"/>
      <c r="D218" s="544"/>
      <c r="E218" s="544"/>
      <c r="F218" s="544"/>
      <c r="G218" s="544"/>
      <c r="H218" s="546"/>
    </row>
    <row r="219" spans="1:8" x14ac:dyDescent="0.3">
      <c r="A219" s="549" t="s">
        <v>35</v>
      </c>
      <c r="B219" s="550"/>
      <c r="C219" s="11" t="s">
        <v>31</v>
      </c>
      <c r="D219" s="15">
        <f>Mangochi!P219</f>
        <v>103871615</v>
      </c>
      <c r="E219" s="15">
        <f>'Monkey Bay'!P219</f>
        <v>32803912</v>
      </c>
      <c r="F219" s="15">
        <f>Namwera!P219</f>
        <v>27149.520000000004</v>
      </c>
      <c r="G219" s="15">
        <f>Nkhudzi!P219</f>
        <v>213268.82</v>
      </c>
      <c r="H219" s="38">
        <f t="shared" ref="H219:H222" si="119">SUM(D219:G219)</f>
        <v>136915945.34</v>
      </c>
    </row>
    <row r="220" spans="1:8" x14ac:dyDescent="0.3">
      <c r="A220" s="549" t="s">
        <v>34</v>
      </c>
      <c r="B220" s="550"/>
      <c r="C220" s="11" t="s">
        <v>31</v>
      </c>
      <c r="D220" s="15">
        <f>Mangochi!P220</f>
        <v>0</v>
      </c>
      <c r="E220" s="15">
        <f>'Monkey Bay'!P220</f>
        <v>0</v>
      </c>
      <c r="F220" s="15">
        <f>Namwera!P220</f>
        <v>0</v>
      </c>
      <c r="G220" s="15">
        <f>Nkhudzi!P220</f>
        <v>0</v>
      </c>
      <c r="H220" s="38">
        <f t="shared" si="119"/>
        <v>0</v>
      </c>
    </row>
    <row r="221" spans="1:8" x14ac:dyDescent="0.3">
      <c r="A221" s="549" t="s">
        <v>33</v>
      </c>
      <c r="B221" s="550"/>
      <c r="C221" s="11" t="s">
        <v>31</v>
      </c>
      <c r="D221" s="15">
        <f>Mangochi!P221</f>
        <v>969483.47</v>
      </c>
      <c r="E221" s="15">
        <f>'Monkey Bay'!P221</f>
        <v>30630014.32</v>
      </c>
      <c r="F221" s="15">
        <f>Namwera!P221</f>
        <v>16821.98</v>
      </c>
      <c r="G221" s="15">
        <f>Nkhudzi!P221</f>
        <v>1337506.21</v>
      </c>
      <c r="H221" s="38">
        <f t="shared" si="119"/>
        <v>32953825.98</v>
      </c>
    </row>
    <row r="222" spans="1:8" x14ac:dyDescent="0.3">
      <c r="A222" s="549" t="s">
        <v>32</v>
      </c>
      <c r="B222" s="550"/>
      <c r="C222" s="11" t="s">
        <v>31</v>
      </c>
      <c r="D222" s="15">
        <f>Mangochi!P222</f>
        <v>629248.61</v>
      </c>
      <c r="E222" s="15">
        <f>'Monkey Bay'!P222</f>
        <v>0</v>
      </c>
      <c r="F222" s="15">
        <f>Namwera!P222</f>
        <v>0</v>
      </c>
      <c r="G222" s="15">
        <f>Nkhudzi!P222</f>
        <v>16821.98</v>
      </c>
      <c r="H222" s="38">
        <f t="shared" si="119"/>
        <v>646070.59</v>
      </c>
    </row>
    <row r="223" spans="1:8" x14ac:dyDescent="0.3">
      <c r="A223" s="618" t="s">
        <v>36</v>
      </c>
      <c r="B223" s="619"/>
      <c r="C223" s="11" t="s">
        <v>31</v>
      </c>
      <c r="D223" s="10">
        <f t="shared" ref="D223:F223" si="120">SUM(D219:D222)</f>
        <v>105470347.08</v>
      </c>
      <c r="E223" s="10">
        <f t="shared" si="120"/>
        <v>63433926.32</v>
      </c>
      <c r="F223" s="10">
        <f t="shared" si="120"/>
        <v>43971.5</v>
      </c>
      <c r="G223" s="10">
        <f t="shared" ref="G223" si="121">SUM(G219:G222)</f>
        <v>1567597.01</v>
      </c>
      <c r="H223" s="38">
        <f>SUM(D223:G223)</f>
        <v>170515841.91</v>
      </c>
    </row>
    <row r="224" spans="1:8" ht="14.4" x14ac:dyDescent="0.3">
      <c r="A224" s="543" t="s">
        <v>213</v>
      </c>
      <c r="B224" s="544"/>
      <c r="C224" s="544"/>
      <c r="D224" s="544"/>
      <c r="E224" s="544"/>
      <c r="F224" s="544"/>
      <c r="G224" s="544"/>
      <c r="H224" s="546"/>
    </row>
    <row r="225" spans="1:8" x14ac:dyDescent="0.3">
      <c r="A225" s="549" t="s">
        <v>35</v>
      </c>
      <c r="B225" s="550"/>
      <c r="C225" s="11" t="s">
        <v>31</v>
      </c>
      <c r="D225" s="15">
        <f>Mangochi!P225</f>
        <v>68244962.879999995</v>
      </c>
      <c r="E225" s="15">
        <f>'Monkey Bay'!P225</f>
        <v>22674753.380000003</v>
      </c>
      <c r="F225" s="15">
        <f>Namwera!P225</f>
        <v>8541326.9200000018</v>
      </c>
      <c r="G225" s="15">
        <f>Nkhudzi!P225</f>
        <v>60592456</v>
      </c>
      <c r="H225" s="38">
        <f t="shared" ref="H225:H230" si="122">SUM(D225:G225)</f>
        <v>160053499.18000001</v>
      </c>
    </row>
    <row r="226" spans="1:8" x14ac:dyDescent="0.3">
      <c r="A226" s="549" t="s">
        <v>34</v>
      </c>
      <c r="B226" s="550"/>
      <c r="C226" s="11" t="s">
        <v>31</v>
      </c>
      <c r="D226" s="15">
        <f>Mangochi!P226</f>
        <v>1956780</v>
      </c>
      <c r="E226" s="15">
        <f>'Monkey Bay'!P226</f>
        <v>476930</v>
      </c>
      <c r="F226" s="15">
        <f>Namwera!P226</f>
        <v>0</v>
      </c>
      <c r="G226" s="15">
        <f>Nkhudzi!P226</f>
        <v>288800</v>
      </c>
      <c r="H226" s="38">
        <f t="shared" si="122"/>
        <v>2722510</v>
      </c>
    </row>
    <row r="227" spans="1:8" x14ac:dyDescent="0.3">
      <c r="A227" s="549" t="s">
        <v>33</v>
      </c>
      <c r="B227" s="550"/>
      <c r="C227" s="11" t="s">
        <v>31</v>
      </c>
      <c r="D227" s="15">
        <f>Mangochi!P227</f>
        <v>32984257</v>
      </c>
      <c r="E227" s="15">
        <f>'Monkey Bay'!P227</f>
        <v>13976950</v>
      </c>
      <c r="F227" s="15">
        <f>Namwera!P227</f>
        <v>2291200</v>
      </c>
      <c r="G227" s="15">
        <f>Nkhudzi!P227</f>
        <v>2943390</v>
      </c>
      <c r="H227" s="38">
        <f t="shared" si="122"/>
        <v>52195797</v>
      </c>
    </row>
    <row r="228" spans="1:8" x14ac:dyDescent="0.3">
      <c r="A228" s="549" t="s">
        <v>32</v>
      </c>
      <c r="B228" s="550"/>
      <c r="C228" s="11" t="s">
        <v>31</v>
      </c>
      <c r="D228" s="15">
        <f>Mangochi!P228</f>
        <v>20486178</v>
      </c>
      <c r="E228" s="15">
        <f>'Monkey Bay'!P228</f>
        <v>5511245</v>
      </c>
      <c r="F228" s="15">
        <f>Namwera!P228</f>
        <v>131900</v>
      </c>
      <c r="G228" s="15">
        <f>Nkhudzi!P228</f>
        <v>10809220</v>
      </c>
      <c r="H228" s="38">
        <f t="shared" si="122"/>
        <v>36938543</v>
      </c>
    </row>
    <row r="229" spans="1:8" x14ac:dyDescent="0.3">
      <c r="A229" s="618" t="s">
        <v>214</v>
      </c>
      <c r="B229" s="619"/>
      <c r="C229" s="11" t="s">
        <v>31</v>
      </c>
      <c r="D229" s="10">
        <f t="shared" ref="D229:F229" si="123">SUM(D225:D228)</f>
        <v>123672177.88</v>
      </c>
      <c r="E229" s="10">
        <f t="shared" si="123"/>
        <v>42639878.380000003</v>
      </c>
      <c r="F229" s="10">
        <f t="shared" si="123"/>
        <v>10964426.920000002</v>
      </c>
      <c r="G229" s="10">
        <f t="shared" ref="G229" si="124">SUM(G225:G228)</f>
        <v>74633866</v>
      </c>
      <c r="H229" s="38">
        <f t="shared" si="122"/>
        <v>251910349.18000001</v>
      </c>
    </row>
    <row r="230" spans="1:8" x14ac:dyDescent="0.3">
      <c r="A230" s="184" t="s">
        <v>215</v>
      </c>
      <c r="B230" s="114"/>
      <c r="C230" s="11" t="s">
        <v>31</v>
      </c>
      <c r="D230" s="12">
        <f>D223+D229</f>
        <v>229142524.95999998</v>
      </c>
      <c r="E230" s="12">
        <f t="shared" ref="E230:F230" si="125">E223+E229</f>
        <v>106073804.7</v>
      </c>
      <c r="F230" s="12">
        <f t="shared" si="125"/>
        <v>11008398.420000002</v>
      </c>
      <c r="G230" s="12">
        <f t="shared" ref="G230" si="126">G223+G229</f>
        <v>76201463.010000005</v>
      </c>
      <c r="H230" s="38">
        <f t="shared" si="122"/>
        <v>422426191.08999997</v>
      </c>
    </row>
    <row r="231" spans="1:8" ht="14.4" x14ac:dyDescent="0.3">
      <c r="A231" s="543" t="s">
        <v>30</v>
      </c>
      <c r="B231" s="544"/>
      <c r="C231" s="544"/>
      <c r="D231" s="544"/>
      <c r="E231" s="544"/>
      <c r="F231" s="544"/>
      <c r="G231" s="544"/>
      <c r="H231" s="546"/>
    </row>
    <row r="232" spans="1:8" x14ac:dyDescent="0.3">
      <c r="A232" s="549" t="s">
        <v>29</v>
      </c>
      <c r="B232" s="550"/>
      <c r="C232" s="11" t="s">
        <v>18</v>
      </c>
      <c r="D232" s="15">
        <f>Mangochi!P232</f>
        <v>4883471</v>
      </c>
      <c r="E232" s="15">
        <f>'Monkey Bay'!P232</f>
        <v>1506712</v>
      </c>
      <c r="F232" s="15">
        <f>Namwera!P232</f>
        <v>3720</v>
      </c>
      <c r="G232" s="15">
        <f>Nkhudzi!P232</f>
        <v>6539.16</v>
      </c>
      <c r="H232" s="38">
        <f t="shared" ref="H232:H236" si="127">SUM(D232:G232)</f>
        <v>6400442.1600000001</v>
      </c>
    </row>
    <row r="233" spans="1:8" x14ac:dyDescent="0.3">
      <c r="A233" s="549" t="s">
        <v>28</v>
      </c>
      <c r="B233" s="550"/>
      <c r="C233" s="11" t="s">
        <v>18</v>
      </c>
      <c r="D233" s="15">
        <f>Mangochi!P233</f>
        <v>0</v>
      </c>
      <c r="E233" s="15">
        <f>'Monkey Bay'!P233</f>
        <v>0</v>
      </c>
      <c r="F233" s="15">
        <f>Namwera!P233</f>
        <v>0</v>
      </c>
      <c r="G233" s="15">
        <f>Nkhudzi!P233</f>
        <v>0</v>
      </c>
      <c r="H233" s="38">
        <f t="shared" si="127"/>
        <v>0</v>
      </c>
    </row>
    <row r="234" spans="1:8" x14ac:dyDescent="0.3">
      <c r="A234" s="549" t="s">
        <v>27</v>
      </c>
      <c r="B234" s="550"/>
      <c r="C234" s="11" t="s">
        <v>18</v>
      </c>
      <c r="D234" s="15">
        <f>Mangochi!P234</f>
        <v>27149.119999999999</v>
      </c>
      <c r="E234" s="15">
        <f>'Monkey Bay'!P234</f>
        <v>67872.800000000003</v>
      </c>
      <c r="F234" s="15">
        <f>Namwera!P234</f>
        <v>6787.28</v>
      </c>
      <c r="G234" s="15">
        <f>Nkhudzi!P234</f>
        <v>20361.84</v>
      </c>
      <c r="H234" s="38">
        <f t="shared" si="127"/>
        <v>122171.04</v>
      </c>
    </row>
    <row r="235" spans="1:8" x14ac:dyDescent="0.3">
      <c r="A235" s="549" t="s">
        <v>26</v>
      </c>
      <c r="B235" s="550"/>
      <c r="C235" s="11" t="s">
        <v>18</v>
      </c>
      <c r="D235" s="15">
        <f>Mangochi!P235</f>
        <v>23186.7</v>
      </c>
      <c r="E235" s="15">
        <f>'Monkey Bay'!P235</f>
        <v>0</v>
      </c>
      <c r="F235" s="15">
        <f>Namwera!P235</f>
        <v>0</v>
      </c>
      <c r="G235" s="15">
        <f>Nkhudzi!P235</f>
        <v>9274.68</v>
      </c>
      <c r="H235" s="38">
        <f t="shared" si="127"/>
        <v>32461.38</v>
      </c>
    </row>
    <row r="236" spans="1:8" x14ac:dyDescent="0.3">
      <c r="A236" s="618" t="s">
        <v>25</v>
      </c>
      <c r="B236" s="619"/>
      <c r="C236" s="11" t="s">
        <v>18</v>
      </c>
      <c r="D236" s="10">
        <f t="shared" ref="D236:F236" si="128">SUM(D232:D235)</f>
        <v>4933806.82</v>
      </c>
      <c r="E236" s="10">
        <f t="shared" si="128"/>
        <v>1574584.8</v>
      </c>
      <c r="F236" s="10">
        <f t="shared" si="128"/>
        <v>10507.279999999999</v>
      </c>
      <c r="G236" s="10">
        <f t="shared" ref="G236" si="129">SUM(G232:G235)</f>
        <v>36175.68</v>
      </c>
      <c r="H236" s="39">
        <f t="shared" si="127"/>
        <v>6555074.5800000001</v>
      </c>
    </row>
    <row r="237" spans="1:8" ht="14.4" x14ac:dyDescent="0.3">
      <c r="A237" s="543" t="s">
        <v>24</v>
      </c>
      <c r="B237" s="544"/>
      <c r="C237" s="544"/>
      <c r="D237" s="544"/>
      <c r="E237" s="544"/>
      <c r="F237" s="544"/>
      <c r="G237" s="544"/>
      <c r="H237" s="546"/>
    </row>
    <row r="238" spans="1:8" x14ac:dyDescent="0.3">
      <c r="A238" s="549" t="s">
        <v>23</v>
      </c>
      <c r="B238" s="550"/>
      <c r="C238" s="11" t="s">
        <v>18</v>
      </c>
      <c r="D238" s="15">
        <f>Mangochi!P238</f>
        <v>8028963</v>
      </c>
      <c r="E238" s="15">
        <f>'Monkey Bay'!P238</f>
        <v>2656675</v>
      </c>
      <c r="F238" s="15">
        <f>Namwera!P238</f>
        <v>5358</v>
      </c>
      <c r="G238" s="15">
        <f>Nkhudzi!P238</f>
        <v>10716</v>
      </c>
      <c r="H238" s="38">
        <f t="shared" ref="H238:H242" si="130">SUM(D238:G238)</f>
        <v>10701712</v>
      </c>
    </row>
    <row r="239" spans="1:8" x14ac:dyDescent="0.3">
      <c r="A239" s="549" t="s">
        <v>22</v>
      </c>
      <c r="B239" s="550"/>
      <c r="C239" s="11" t="s">
        <v>18</v>
      </c>
      <c r="D239" s="15">
        <f>Mangochi!P239</f>
        <v>0</v>
      </c>
      <c r="E239" s="15">
        <f>'Monkey Bay'!P239</f>
        <v>0</v>
      </c>
      <c r="F239" s="15">
        <f>Namwera!P239</f>
        <v>0</v>
      </c>
      <c r="G239" s="15">
        <f>Nkhudzi!P239</f>
        <v>0</v>
      </c>
      <c r="H239" s="38">
        <f t="shared" si="130"/>
        <v>0</v>
      </c>
    </row>
    <row r="240" spans="1:8" x14ac:dyDescent="0.3">
      <c r="A240" s="549" t="s">
        <v>21</v>
      </c>
      <c r="B240" s="550"/>
      <c r="C240" s="11" t="s">
        <v>18</v>
      </c>
      <c r="D240" s="15">
        <f>Mangochi!P240</f>
        <v>7144</v>
      </c>
      <c r="E240" s="15">
        <f>'Monkey Bay'!P240</f>
        <v>17860</v>
      </c>
      <c r="F240" s="15">
        <f>Namwera!P240</f>
        <v>1786</v>
      </c>
      <c r="G240" s="15">
        <f>Nkhudzi!P240</f>
        <v>5358</v>
      </c>
      <c r="H240" s="38">
        <f t="shared" si="130"/>
        <v>32148</v>
      </c>
    </row>
    <row r="241" spans="1:8" x14ac:dyDescent="0.3">
      <c r="A241" s="549" t="s">
        <v>20</v>
      </c>
      <c r="B241" s="550"/>
      <c r="C241" s="11" t="s">
        <v>18</v>
      </c>
      <c r="D241" s="15">
        <f>Mangochi!P241</f>
        <v>4465</v>
      </c>
      <c r="E241" s="15">
        <f>'Monkey Bay'!P241</f>
        <v>0</v>
      </c>
      <c r="F241" s="15">
        <f>Namwera!P241</f>
        <v>0</v>
      </c>
      <c r="G241" s="15">
        <f>Nkhudzi!P241</f>
        <v>1786</v>
      </c>
      <c r="H241" s="38">
        <f t="shared" si="130"/>
        <v>6251</v>
      </c>
    </row>
    <row r="242" spans="1:8" x14ac:dyDescent="0.3">
      <c r="A242" s="618" t="s">
        <v>19</v>
      </c>
      <c r="B242" s="619"/>
      <c r="C242" s="11" t="s">
        <v>18</v>
      </c>
      <c r="D242" s="10">
        <f t="shared" ref="D242:F242" si="131">SUM(D238:D241)</f>
        <v>8040572</v>
      </c>
      <c r="E242" s="10">
        <f t="shared" si="131"/>
        <v>2674535</v>
      </c>
      <c r="F242" s="10">
        <f t="shared" si="131"/>
        <v>7144</v>
      </c>
      <c r="G242" s="10">
        <f t="shared" ref="G242" si="132">SUM(G238:G241)</f>
        <v>17860</v>
      </c>
      <c r="H242" s="39">
        <f t="shared" si="130"/>
        <v>10740111</v>
      </c>
    </row>
    <row r="243" spans="1:8" x14ac:dyDescent="0.3">
      <c r="A243" s="618" t="s">
        <v>216</v>
      </c>
      <c r="B243" s="619"/>
      <c r="C243" s="11" t="s">
        <v>18</v>
      </c>
      <c r="D243" s="10">
        <f>D230+D236+D242</f>
        <v>242116903.77999997</v>
      </c>
      <c r="E243" s="10">
        <f t="shared" ref="E243:F243" si="133">E230+E236+E242</f>
        <v>110322924.5</v>
      </c>
      <c r="F243" s="10">
        <f t="shared" si="133"/>
        <v>11026049.700000001</v>
      </c>
      <c r="G243" s="10">
        <f t="shared" ref="G243" si="134">G230+G236+G242</f>
        <v>76255498.690000013</v>
      </c>
      <c r="H243" s="39">
        <f t="shared" ref="H243" si="135">H216+H223+H236+H242</f>
        <v>441923152.48999995</v>
      </c>
    </row>
    <row r="244" spans="1:8" ht="14.4" x14ac:dyDescent="0.3">
      <c r="A244" s="543" t="s">
        <v>206</v>
      </c>
      <c r="B244" s="544"/>
      <c r="C244" s="544"/>
      <c r="D244" s="544"/>
      <c r="E244" s="544"/>
      <c r="F244" s="544"/>
      <c r="G244" s="544"/>
      <c r="H244" s="546"/>
    </row>
    <row r="245" spans="1:8" x14ac:dyDescent="0.3">
      <c r="A245" s="622" t="s">
        <v>207</v>
      </c>
      <c r="B245" s="623"/>
      <c r="C245" s="11" t="s">
        <v>18</v>
      </c>
      <c r="D245" s="15">
        <f>Mangochi!P245</f>
        <v>0</v>
      </c>
      <c r="E245" s="15">
        <f>'Monkey Bay'!P245</f>
        <v>0</v>
      </c>
      <c r="F245" s="15">
        <f>Namwera!P245</f>
        <v>0</v>
      </c>
      <c r="G245" s="15">
        <f>Nkhudzi!P245</f>
        <v>0</v>
      </c>
      <c r="H245" s="39">
        <f t="shared" ref="H245:H246" si="136">SUM(D245:G245)</f>
        <v>0</v>
      </c>
    </row>
    <row r="246" spans="1:8" x14ac:dyDescent="0.3">
      <c r="A246" s="622" t="s">
        <v>208</v>
      </c>
      <c r="B246" s="623"/>
      <c r="C246" s="11" t="s">
        <v>18</v>
      </c>
      <c r="D246" s="15">
        <f>Mangochi!P246</f>
        <v>0</v>
      </c>
      <c r="E246" s="15">
        <f>'Monkey Bay'!P246</f>
        <v>0</v>
      </c>
      <c r="F246" s="15">
        <f>Namwera!P246</f>
        <v>0</v>
      </c>
      <c r="G246" s="15">
        <f>Nkhudzi!P246</f>
        <v>0</v>
      </c>
      <c r="H246" s="39">
        <f t="shared" si="136"/>
        <v>0</v>
      </c>
    </row>
    <row r="247" spans="1:8" x14ac:dyDescent="0.3">
      <c r="A247" s="624" t="s">
        <v>209</v>
      </c>
      <c r="B247" s="625"/>
      <c r="C247" s="11" t="s">
        <v>18</v>
      </c>
      <c r="D247" s="132">
        <f>D245+D246</f>
        <v>0</v>
      </c>
      <c r="E247" s="132">
        <f t="shared" ref="E247:H247" si="137">E245+E246</f>
        <v>0</v>
      </c>
      <c r="F247" s="132">
        <f t="shared" si="137"/>
        <v>0</v>
      </c>
      <c r="G247" s="132">
        <f t="shared" ref="G247" si="138">G245+G246</f>
        <v>0</v>
      </c>
      <c r="H247" s="150">
        <f t="shared" si="137"/>
        <v>0</v>
      </c>
    </row>
    <row r="248" spans="1:8" ht="14.4" x14ac:dyDescent="0.3">
      <c r="A248" s="543" t="s">
        <v>17</v>
      </c>
      <c r="B248" s="544"/>
      <c r="C248" s="544"/>
      <c r="D248" s="544"/>
      <c r="E248" s="544"/>
      <c r="F248" s="544"/>
      <c r="G248" s="544"/>
      <c r="H248" s="546"/>
    </row>
    <row r="249" spans="1:8" x14ac:dyDescent="0.3">
      <c r="A249" s="567" t="s">
        <v>16</v>
      </c>
      <c r="B249" s="568"/>
      <c r="C249" s="5" t="s">
        <v>6</v>
      </c>
      <c r="D249" s="8">
        <f>D58/D243</f>
        <v>0.41010607460197557</v>
      </c>
      <c r="E249" s="8">
        <f t="shared" ref="E249:H249" si="139">E58/E243</f>
        <v>0.20848957500668863</v>
      </c>
      <c r="F249" s="8">
        <f t="shared" si="139"/>
        <v>1.1339117589865386</v>
      </c>
      <c r="G249" s="8">
        <f t="shared" ref="G249" si="140">G58/G243</f>
        <v>0.84930330604988902</v>
      </c>
      <c r="H249" s="106">
        <f t="shared" si="139"/>
        <v>0.45157490861019278</v>
      </c>
    </row>
    <row r="250" spans="1:8" x14ac:dyDescent="0.3">
      <c r="A250" s="567" t="s">
        <v>210</v>
      </c>
      <c r="B250" s="568"/>
      <c r="C250" s="5" t="s">
        <v>6</v>
      </c>
      <c r="D250" s="28">
        <f>D210/(D223+D245)</f>
        <v>1.3181079659721928</v>
      </c>
      <c r="E250" s="28">
        <f t="shared" ref="E250:H250" si="141">E210/(E223+E245)</f>
        <v>0.54257406086415494</v>
      </c>
      <c r="F250" s="28">
        <f t="shared" si="141"/>
        <v>0</v>
      </c>
      <c r="G250" s="28">
        <f t="shared" ref="G250" si="142">G210/(G223+G245)</f>
        <v>0</v>
      </c>
      <c r="H250" s="103">
        <f t="shared" si="141"/>
        <v>1.0171424878607045</v>
      </c>
    </row>
    <row r="251" spans="1:8" ht="16.2" thickBot="1" x14ac:dyDescent="0.35">
      <c r="A251" s="620" t="s">
        <v>15</v>
      </c>
      <c r="B251" s="621"/>
      <c r="C251" s="5" t="s">
        <v>6</v>
      </c>
      <c r="D251" s="7">
        <f>D210/D223</f>
        <v>1.3181079659721928</v>
      </c>
      <c r="E251" s="7">
        <f t="shared" ref="E251:H251" si="143">E210/E223</f>
        <v>0.54257406086415494</v>
      </c>
      <c r="F251" s="7">
        <f t="shared" si="143"/>
        <v>0</v>
      </c>
      <c r="G251" s="7">
        <f t="shared" ref="G251" si="144">G210/G223</f>
        <v>0</v>
      </c>
      <c r="H251" s="107">
        <f t="shared" si="143"/>
        <v>1.0171424878607045</v>
      </c>
    </row>
    <row r="252" spans="1:8" ht="14.4" x14ac:dyDescent="0.3">
      <c r="A252" s="599" t="s">
        <v>14</v>
      </c>
      <c r="B252" s="600"/>
      <c r="C252" s="600"/>
      <c r="D252" s="600"/>
      <c r="E252" s="600"/>
      <c r="F252" s="600"/>
      <c r="G252" s="600"/>
      <c r="H252" s="601"/>
    </row>
    <row r="253" spans="1:8" s="2" customFormat="1" ht="15" customHeight="1" x14ac:dyDescent="0.3">
      <c r="A253" s="567" t="s">
        <v>13</v>
      </c>
      <c r="B253" s="568"/>
      <c r="C253" s="5" t="s">
        <v>3</v>
      </c>
      <c r="D253" s="25">
        <f>Mangochi!P253</f>
        <v>3664</v>
      </c>
      <c r="E253" s="25">
        <f>'Monkey Bay'!P253</f>
        <v>74</v>
      </c>
      <c r="F253" s="25">
        <f>Namwera!P253</f>
        <v>88</v>
      </c>
      <c r="G253" s="25">
        <f>Nkhudzi!P253</f>
        <v>2973</v>
      </c>
      <c r="H253" s="108">
        <f t="shared" ref="H253:H257" si="145">SUM(D253:G253)</f>
        <v>6799</v>
      </c>
    </row>
    <row r="254" spans="1:8" s="2" customFormat="1" x14ac:dyDescent="0.3">
      <c r="A254" s="567" t="s">
        <v>12</v>
      </c>
      <c r="B254" s="568"/>
      <c r="C254" s="5" t="s">
        <v>3</v>
      </c>
      <c r="D254" s="25">
        <f>Mangochi!P254</f>
        <v>2</v>
      </c>
      <c r="E254" s="25">
        <f>'Monkey Bay'!P254</f>
        <v>1</v>
      </c>
      <c r="F254" s="25">
        <f>Namwera!P254</f>
        <v>2</v>
      </c>
      <c r="G254" s="25">
        <f>Nkhudzi!P254</f>
        <v>3</v>
      </c>
      <c r="H254" s="108">
        <f t="shared" si="145"/>
        <v>8</v>
      </c>
    </row>
    <row r="255" spans="1:8" ht="15.75" customHeight="1" x14ac:dyDescent="0.3">
      <c r="A255" s="567" t="s">
        <v>11</v>
      </c>
      <c r="B255" s="568"/>
      <c r="C255" s="5" t="s">
        <v>3</v>
      </c>
      <c r="D255" s="4">
        <f>D95</f>
        <v>2060</v>
      </c>
      <c r="E255" s="4">
        <f t="shared" ref="E255:F255" si="146">E95</f>
        <v>32</v>
      </c>
      <c r="F255" s="4">
        <f t="shared" si="146"/>
        <v>84</v>
      </c>
      <c r="G255" s="4">
        <f t="shared" ref="G255" si="147">G95</f>
        <v>1127</v>
      </c>
      <c r="H255" s="108">
        <f t="shared" si="145"/>
        <v>3303</v>
      </c>
    </row>
    <row r="256" spans="1:8" x14ac:dyDescent="0.3">
      <c r="A256" s="567" t="s">
        <v>10</v>
      </c>
      <c r="B256" s="568"/>
      <c r="C256" s="5" t="s">
        <v>3</v>
      </c>
      <c r="D256" s="4">
        <f>D91</f>
        <v>253</v>
      </c>
      <c r="E256" s="4">
        <f t="shared" ref="E256:F256" si="148">E91</f>
        <v>57</v>
      </c>
      <c r="F256" s="4">
        <f t="shared" si="148"/>
        <v>17</v>
      </c>
      <c r="G256" s="4">
        <f t="shared" ref="G256" si="149">G91</f>
        <v>60</v>
      </c>
      <c r="H256" s="108">
        <f t="shared" si="145"/>
        <v>387</v>
      </c>
    </row>
    <row r="257" spans="1:8" ht="15.6" customHeight="1" x14ac:dyDescent="0.3">
      <c r="A257" s="567" t="s">
        <v>9</v>
      </c>
      <c r="B257" s="568"/>
      <c r="C257" s="5" t="s">
        <v>3</v>
      </c>
      <c r="D257" s="25">
        <f>Mangochi!P257</f>
        <v>43246</v>
      </c>
      <c r="E257" s="25">
        <f>'Monkey Bay'!P257</f>
        <v>30</v>
      </c>
      <c r="F257" s="25">
        <f>Namwera!P257</f>
        <v>88</v>
      </c>
      <c r="G257" s="25">
        <f>Nkhudzi!P257</f>
        <v>7</v>
      </c>
      <c r="H257" s="108">
        <f t="shared" si="145"/>
        <v>43371</v>
      </c>
    </row>
    <row r="258" spans="1:8" x14ac:dyDescent="0.3">
      <c r="A258" s="618" t="s">
        <v>8</v>
      </c>
      <c r="B258" s="619"/>
      <c r="C258" s="5" t="s">
        <v>3</v>
      </c>
      <c r="D258" s="1">
        <f t="shared" ref="D258:H258" si="150">D257/D256</f>
        <v>170.93280632411069</v>
      </c>
      <c r="E258" s="1">
        <f t="shared" si="150"/>
        <v>0.52631578947368418</v>
      </c>
      <c r="F258" s="1">
        <f t="shared" si="150"/>
        <v>5.1764705882352944</v>
      </c>
      <c r="G258" s="1">
        <f t="shared" ref="G258" si="151">G257/G256</f>
        <v>0.11666666666666667</v>
      </c>
      <c r="H258" s="108">
        <f t="shared" si="150"/>
        <v>112.06976744186046</v>
      </c>
    </row>
    <row r="259" spans="1:8" x14ac:dyDescent="0.3">
      <c r="A259" s="618" t="s">
        <v>7</v>
      </c>
      <c r="B259" s="619"/>
      <c r="C259" s="5" t="s">
        <v>6</v>
      </c>
      <c r="D259" s="1">
        <f t="shared" ref="D259:H259" si="152">D92/D255*100</f>
        <v>0</v>
      </c>
      <c r="E259" s="1">
        <f t="shared" si="152"/>
        <v>0</v>
      </c>
      <c r="F259" s="1">
        <f t="shared" si="152"/>
        <v>0</v>
      </c>
      <c r="G259" s="1">
        <f t="shared" ref="G259" si="153">G92/G255*100</f>
        <v>0</v>
      </c>
      <c r="H259" s="177">
        <f t="shared" si="152"/>
        <v>0</v>
      </c>
    </row>
    <row r="260" spans="1:8" ht="14.4" x14ac:dyDescent="0.3">
      <c r="A260" s="543" t="s">
        <v>5</v>
      </c>
      <c r="B260" s="544"/>
      <c r="C260" s="544"/>
      <c r="D260" s="544"/>
      <c r="E260" s="544"/>
      <c r="F260" s="544"/>
      <c r="G260" s="544"/>
      <c r="H260" s="546"/>
    </row>
    <row r="261" spans="1:8" s="2" customFormat="1" ht="15" customHeight="1" x14ac:dyDescent="0.3">
      <c r="A261" s="567" t="s">
        <v>4</v>
      </c>
      <c r="B261" s="568"/>
      <c r="C261" s="5" t="s">
        <v>3</v>
      </c>
      <c r="D261" s="25">
        <f>Mangochi!P261</f>
        <v>105</v>
      </c>
      <c r="E261" s="25">
        <f>'Monkey Bay'!P261</f>
        <v>77</v>
      </c>
      <c r="F261" s="25">
        <f>Namwera!P261</f>
        <v>89</v>
      </c>
      <c r="G261" s="25">
        <f>Nkhudzi!P261</f>
        <v>10</v>
      </c>
      <c r="H261" s="39">
        <f t="shared" ref="H261:H262" si="154">SUM(D261:G261)</f>
        <v>281</v>
      </c>
    </row>
    <row r="262" spans="1:8" s="2" customFormat="1" ht="15.75" customHeight="1" x14ac:dyDescent="0.3">
      <c r="A262" s="567" t="s">
        <v>2</v>
      </c>
      <c r="B262" s="568"/>
      <c r="C262" s="5" t="s">
        <v>0</v>
      </c>
      <c r="D262" s="25">
        <f>Mangochi!P262</f>
        <v>16</v>
      </c>
      <c r="E262" s="25">
        <f>'Monkey Bay'!P262</f>
        <v>32</v>
      </c>
      <c r="F262" s="25">
        <f>Namwera!P262</f>
        <v>39</v>
      </c>
      <c r="G262" s="25">
        <f>Nkhudzi!P262</f>
        <v>27</v>
      </c>
      <c r="H262" s="39">
        <f t="shared" si="154"/>
        <v>114</v>
      </c>
    </row>
    <row r="263" spans="1:8" ht="16.2" thickBot="1" x14ac:dyDescent="0.35">
      <c r="A263" s="626" t="s">
        <v>1</v>
      </c>
      <c r="B263" s="627"/>
      <c r="C263" s="110" t="s">
        <v>0</v>
      </c>
      <c r="D263" s="111">
        <f>D261/D262</f>
        <v>6.5625</v>
      </c>
      <c r="E263" s="111">
        <f t="shared" ref="E263:H263" si="155">E261/E262</f>
        <v>2.40625</v>
      </c>
      <c r="F263" s="111">
        <f t="shared" si="155"/>
        <v>2.2820512820512819</v>
      </c>
      <c r="G263" s="111">
        <f t="shared" ref="G263" si="156">G261/G262</f>
        <v>0.37037037037037035</v>
      </c>
      <c r="H263" s="507">
        <f t="shared" si="155"/>
        <v>2.4649122807017543</v>
      </c>
    </row>
    <row r="265" spans="1:8" x14ac:dyDescent="0.3">
      <c r="D265" s="513"/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  <ignoredErrors>
    <ignoredError sqref="H62 H193 G32:G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Mangochi</vt:lpstr>
      <vt:lpstr>Monkey Bay</vt:lpstr>
      <vt:lpstr>Namwera</vt:lpstr>
      <vt:lpstr>Nkhudzi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Evelyn Chokhoto</cp:lastModifiedBy>
  <cp:lastPrinted>2022-08-30T11:52:10Z</cp:lastPrinted>
  <dcterms:created xsi:type="dcterms:W3CDTF">2022-06-08T08:26:11Z</dcterms:created>
  <dcterms:modified xsi:type="dcterms:W3CDTF">2026-07-28T09:11:31Z</dcterms:modified>
</cp:coreProperties>
</file>