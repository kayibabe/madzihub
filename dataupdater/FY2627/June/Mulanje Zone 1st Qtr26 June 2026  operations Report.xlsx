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PERATIONS REPORT\"/>
    </mc:Choice>
  </mc:AlternateContent>
  <bookViews>
    <workbookView xWindow="0" yWindow="0" windowWidth="24000" windowHeight="8805" tabRatio="687" firstSheet="1" activeTab="1"/>
  </bookViews>
  <sheets>
    <sheet name="Luchenza" sheetId="2" r:id="rId1"/>
    <sheet name="Mulanje" sheetId="1" r:id="rId2"/>
    <sheet name="Thyolo" sheetId="3" r:id="rId3"/>
    <sheet name="Muloza" sheetId="4" r:id="rId4"/>
    <sheet name="MUST" sheetId="5" r:id="rId5"/>
    <sheet name="Phalombe" sheetId="6" r:id="rId6"/>
    <sheet name="Mikolongwe" sheetId="7" r:id="rId7"/>
    <sheet name="Migowi" sheetId="8" r:id="rId8"/>
    <sheet name="Nkando" sheetId="19" r:id="rId9"/>
    <sheet name="Zone Monthly" sheetId="11" r:id="rId10"/>
    <sheet name="1st QTR" sheetId="12" r:id="rId11"/>
    <sheet name="2nd QTR " sheetId="13" r:id="rId12"/>
    <sheet name="Midyear Summary" sheetId="18" r:id="rId13"/>
    <sheet name="3rd QTR" sheetId="15" r:id="rId14"/>
    <sheet name="4th QTR" sheetId="16" r:id="rId15"/>
    <sheet name="Zone Annual Summary" sheetId="17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3" i="19" l="1"/>
  <c r="F66" i="19"/>
  <c r="F46" i="19"/>
  <c r="G46" i="19"/>
  <c r="H46" i="19"/>
  <c r="I46" i="19"/>
  <c r="J46" i="19"/>
  <c r="K46" i="19"/>
  <c r="L46" i="19"/>
  <c r="M46" i="19"/>
  <c r="N46" i="19"/>
  <c r="O46" i="19"/>
  <c r="F46" i="8"/>
  <c r="G46" i="8"/>
  <c r="H46" i="8"/>
  <c r="I46" i="8"/>
  <c r="J46" i="8"/>
  <c r="K46" i="8"/>
  <c r="L46" i="8"/>
  <c r="M46" i="8"/>
  <c r="N46" i="8"/>
  <c r="O46" i="8"/>
  <c r="E46" i="8"/>
  <c r="F47" i="7"/>
  <c r="F46" i="7"/>
  <c r="G46" i="7"/>
  <c r="H46" i="7"/>
  <c r="I46" i="7"/>
  <c r="J46" i="7"/>
  <c r="K46" i="7"/>
  <c r="L46" i="7"/>
  <c r="M46" i="7"/>
  <c r="N46" i="7"/>
  <c r="O46" i="7"/>
  <c r="E46" i="7"/>
  <c r="F253" i="6" l="1"/>
  <c r="F223" i="6"/>
  <c r="F140" i="6"/>
  <c r="G140" i="6"/>
  <c r="F66" i="6"/>
  <c r="F46" i="6"/>
  <c r="G46" i="6"/>
  <c r="H46" i="6"/>
  <c r="I46" i="6"/>
  <c r="J46" i="6"/>
  <c r="K46" i="6"/>
  <c r="L46" i="6"/>
  <c r="M46" i="6"/>
  <c r="N46" i="6"/>
  <c r="O46" i="6"/>
  <c r="E46" i="6"/>
  <c r="D46" i="6"/>
  <c r="F256" i="5"/>
  <c r="F255" i="5"/>
  <c r="G253" i="5"/>
  <c r="H253" i="5"/>
  <c r="I253" i="5"/>
  <c r="J253" i="5"/>
  <c r="K253" i="5"/>
  <c r="L253" i="5"/>
  <c r="M253" i="5"/>
  <c r="N253" i="5"/>
  <c r="O253" i="5"/>
  <c r="F253" i="5"/>
  <c r="F70" i="5"/>
  <c r="F71" i="5" s="1"/>
  <c r="F66" i="5"/>
  <c r="F46" i="5"/>
  <c r="G46" i="5"/>
  <c r="H46" i="5"/>
  <c r="I46" i="5"/>
  <c r="J46" i="5"/>
  <c r="K46" i="5"/>
  <c r="L46" i="5"/>
  <c r="M46" i="5"/>
  <c r="N46" i="5"/>
  <c r="O46" i="5"/>
  <c r="F253" i="4"/>
  <c r="F71" i="4"/>
  <c r="E71" i="4"/>
  <c r="G66" i="4"/>
  <c r="F66" i="4"/>
  <c r="F46" i="4"/>
  <c r="G46" i="4"/>
  <c r="H46" i="4"/>
  <c r="I46" i="4"/>
  <c r="J46" i="4"/>
  <c r="K46" i="4"/>
  <c r="L46" i="4"/>
  <c r="M46" i="4"/>
  <c r="N46" i="4"/>
  <c r="O46" i="4"/>
  <c r="F255" i="3"/>
  <c r="F253" i="3"/>
  <c r="F223" i="3"/>
  <c r="F140" i="3"/>
  <c r="E46" i="3"/>
  <c r="F46" i="3"/>
  <c r="F253" i="1" l="1"/>
  <c r="F70" i="1"/>
  <c r="F66" i="1"/>
  <c r="F51" i="1"/>
  <c r="G51" i="1"/>
  <c r="H51" i="1"/>
  <c r="I51" i="1"/>
  <c r="J51" i="1"/>
  <c r="K51" i="1"/>
  <c r="L51" i="1"/>
  <c r="M51" i="1"/>
  <c r="N51" i="1"/>
  <c r="O51" i="1"/>
  <c r="E51" i="1"/>
  <c r="F46" i="1"/>
  <c r="G46" i="1"/>
  <c r="H46" i="1"/>
  <c r="I46" i="1"/>
  <c r="J46" i="1"/>
  <c r="K46" i="1"/>
  <c r="L46" i="1"/>
  <c r="M46" i="1"/>
  <c r="N46" i="1"/>
  <c r="O46" i="1"/>
  <c r="E46" i="1"/>
  <c r="F253" i="2"/>
  <c r="F223" i="2"/>
  <c r="F51" i="2" l="1"/>
  <c r="G51" i="2"/>
  <c r="H51" i="2"/>
  <c r="I51" i="2"/>
  <c r="J51" i="2"/>
  <c r="K51" i="2"/>
  <c r="L51" i="2"/>
  <c r="M51" i="2"/>
  <c r="N51" i="2"/>
  <c r="O51" i="2"/>
  <c r="E51" i="2"/>
  <c r="F46" i="2"/>
  <c r="G46" i="2"/>
  <c r="H46" i="2"/>
  <c r="I46" i="2"/>
  <c r="J46" i="2"/>
  <c r="K46" i="2"/>
  <c r="L46" i="2"/>
  <c r="M46" i="2"/>
  <c r="N46" i="2"/>
  <c r="O46" i="2"/>
  <c r="F144" i="2" l="1"/>
  <c r="E66" i="19"/>
  <c r="E46" i="19"/>
  <c r="D46" i="8"/>
  <c r="E223" i="5"/>
  <c r="E70" i="5"/>
  <c r="E66" i="5"/>
  <c r="E46" i="5"/>
  <c r="E70" i="4" l="1"/>
  <c r="E66" i="4"/>
  <c r="E46" i="4"/>
  <c r="D46" i="4"/>
  <c r="E140" i="3"/>
  <c r="D70" i="3"/>
  <c r="E259" i="1"/>
  <c r="E253" i="1"/>
  <c r="E140" i="1"/>
  <c r="E66" i="1"/>
  <c r="D51" i="1"/>
  <c r="D46" i="1"/>
  <c r="E223" i="2" l="1"/>
  <c r="E66" i="2"/>
  <c r="E46" i="2"/>
  <c r="D46" i="2"/>
  <c r="D46" i="19" l="1"/>
  <c r="D46" i="7"/>
  <c r="D46" i="5"/>
  <c r="D46" i="3"/>
  <c r="D51" i="2"/>
  <c r="D45" i="3"/>
  <c r="D251" i="8" l="1"/>
  <c r="D250" i="8"/>
  <c r="D251" i="7"/>
  <c r="D259" i="5" l="1"/>
  <c r="D223" i="5" l="1"/>
  <c r="D259" i="3" l="1"/>
  <c r="D223" i="3" l="1"/>
  <c r="D216" i="3"/>
  <c r="D259" i="2"/>
  <c r="D223" i="2"/>
  <c r="L125" i="17" l="1"/>
  <c r="I108" i="13"/>
  <c r="P9" i="5"/>
  <c r="P38" i="5" s="1"/>
  <c r="P11" i="5"/>
  <c r="P12" i="5"/>
  <c r="P13" i="5"/>
  <c r="P14" i="5"/>
  <c r="D15" i="5"/>
  <c r="E15" i="5"/>
  <c r="F15" i="5"/>
  <c r="G15" i="5"/>
  <c r="H15" i="5"/>
  <c r="I15" i="5"/>
  <c r="J15" i="5"/>
  <c r="J22" i="5" s="1"/>
  <c r="J24" i="5" s="1"/>
  <c r="J25" i="5" s="1"/>
  <c r="K15" i="5"/>
  <c r="L15" i="5"/>
  <c r="M15" i="5"/>
  <c r="N15" i="5"/>
  <c r="O15" i="5"/>
  <c r="P17" i="5"/>
  <c r="P18" i="5"/>
  <c r="P19" i="5"/>
  <c r="P20" i="5"/>
  <c r="D21" i="5"/>
  <c r="D22" i="5" s="1"/>
  <c r="D24" i="5" s="1"/>
  <c r="D25" i="5" s="1"/>
  <c r="E21" i="5"/>
  <c r="E22" i="5" s="1"/>
  <c r="E24" i="5" s="1"/>
  <c r="E25" i="5" s="1"/>
  <c r="F21" i="5"/>
  <c r="G21" i="5"/>
  <c r="H21" i="5"/>
  <c r="I21" i="5"/>
  <c r="I22" i="5" s="1"/>
  <c r="I24" i="5" s="1"/>
  <c r="I25" i="5" s="1"/>
  <c r="J21" i="5"/>
  <c r="K21" i="5"/>
  <c r="K22" i="5" s="1"/>
  <c r="L21" i="5"/>
  <c r="M21" i="5"/>
  <c r="M22" i="5" s="1"/>
  <c r="N21" i="5"/>
  <c r="O21" i="5"/>
  <c r="G22" i="5"/>
  <c r="L22" i="5"/>
  <c r="L24" i="5" s="1"/>
  <c r="L25" i="5" s="1"/>
  <c r="O22" i="5"/>
  <c r="O24" i="5" s="1"/>
  <c r="O25" i="5" s="1"/>
  <c r="G24" i="5"/>
  <c r="G25" i="5" s="1"/>
  <c r="M24" i="5"/>
  <c r="M25" i="5" s="1"/>
  <c r="P29" i="5"/>
  <c r="D30" i="5"/>
  <c r="E30" i="5"/>
  <c r="F30" i="5"/>
  <c r="G30" i="5"/>
  <c r="H30" i="5"/>
  <c r="I30" i="5"/>
  <c r="J30" i="5"/>
  <c r="K30" i="5"/>
  <c r="L30" i="5"/>
  <c r="M30" i="5"/>
  <c r="N30" i="5"/>
  <c r="P31" i="5"/>
  <c r="D32" i="5"/>
  <c r="E32" i="5"/>
  <c r="F32" i="5"/>
  <c r="G32" i="5"/>
  <c r="H32" i="5"/>
  <c r="I32" i="5"/>
  <c r="J32" i="5"/>
  <c r="K32" i="5"/>
  <c r="L32" i="5"/>
  <c r="M32" i="5"/>
  <c r="N32" i="5"/>
  <c r="P33" i="5"/>
  <c r="D34" i="5"/>
  <c r="E34" i="5"/>
  <c r="F34" i="5"/>
  <c r="G34" i="5"/>
  <c r="H34" i="5"/>
  <c r="I34" i="5"/>
  <c r="J34" i="5"/>
  <c r="K34" i="5"/>
  <c r="L34" i="5"/>
  <c r="M34" i="5"/>
  <c r="N34" i="5"/>
  <c r="P37" i="5"/>
  <c r="D38" i="5"/>
  <c r="E38" i="5"/>
  <c r="F38" i="5"/>
  <c r="G38" i="5"/>
  <c r="H38" i="5"/>
  <c r="I38" i="5"/>
  <c r="J38" i="5"/>
  <c r="K38" i="5"/>
  <c r="L38" i="5"/>
  <c r="M38" i="5"/>
  <c r="N38" i="5"/>
  <c r="P39" i="5"/>
  <c r="D40" i="5"/>
  <c r="E40" i="5"/>
  <c r="F40" i="5"/>
  <c r="G40" i="5"/>
  <c r="H40" i="5"/>
  <c r="I40" i="5"/>
  <c r="J40" i="5"/>
  <c r="K40" i="5"/>
  <c r="L40" i="5"/>
  <c r="M40" i="5"/>
  <c r="N40" i="5"/>
  <c r="D41" i="5"/>
  <c r="E41" i="5"/>
  <c r="E42" i="5" s="1"/>
  <c r="F41" i="5"/>
  <c r="G41" i="5"/>
  <c r="H41" i="5"/>
  <c r="I41" i="5"/>
  <c r="J41" i="5"/>
  <c r="J58" i="5" s="1"/>
  <c r="K41" i="5"/>
  <c r="K42" i="5" s="1"/>
  <c r="L41" i="5"/>
  <c r="M41" i="5"/>
  <c r="N41" i="5"/>
  <c r="N42" i="5" s="1"/>
  <c r="O41" i="5"/>
  <c r="O42" i="5" s="1"/>
  <c r="G42" i="5"/>
  <c r="I42" i="5"/>
  <c r="M42" i="5"/>
  <c r="P44" i="5"/>
  <c r="D45" i="5"/>
  <c r="F45" i="5"/>
  <c r="G45" i="5"/>
  <c r="H45" i="5"/>
  <c r="I45" i="5"/>
  <c r="J45" i="5"/>
  <c r="K45" i="5"/>
  <c r="L45" i="5"/>
  <c r="M45" i="5"/>
  <c r="D47" i="5"/>
  <c r="F47" i="5"/>
  <c r="I47" i="5"/>
  <c r="J47" i="5"/>
  <c r="M47" i="5"/>
  <c r="G47" i="5"/>
  <c r="H47" i="5"/>
  <c r="K47" i="5"/>
  <c r="L47" i="5"/>
  <c r="N47" i="5"/>
  <c r="O47" i="5"/>
  <c r="P49" i="5"/>
  <c r="P50" i="5"/>
  <c r="E51" i="5"/>
  <c r="F51" i="5"/>
  <c r="M51" i="5"/>
  <c r="P51" i="5"/>
  <c r="P52" i="5"/>
  <c r="P54" i="5"/>
  <c r="P55" i="5"/>
  <c r="P56" i="5"/>
  <c r="K58" i="5"/>
  <c r="K59" i="5" s="1"/>
  <c r="P61" i="5"/>
  <c r="D62" i="5"/>
  <c r="E62" i="5"/>
  <c r="F62" i="5"/>
  <c r="G62" i="5"/>
  <c r="H62" i="5"/>
  <c r="I62" i="5"/>
  <c r="J62" i="5"/>
  <c r="K62" i="5"/>
  <c r="L62" i="5"/>
  <c r="M62" i="5"/>
  <c r="N62" i="5"/>
  <c r="P63" i="5"/>
  <c r="P66" i="5"/>
  <c r="P67" i="5"/>
  <c r="P68" i="5"/>
  <c r="P69" i="5"/>
  <c r="D71" i="5"/>
  <c r="E71" i="5"/>
  <c r="G66" i="5"/>
  <c r="G71" i="5"/>
  <c r="H66" i="5" s="1"/>
  <c r="H71" i="5" s="1"/>
  <c r="I66" i="5" s="1"/>
  <c r="I71" i="5" s="1"/>
  <c r="J66" i="5" s="1"/>
  <c r="J71" i="5" s="1"/>
  <c r="P72" i="5"/>
  <c r="P73" i="5"/>
  <c r="P74" i="5"/>
  <c r="P75" i="5"/>
  <c r="D76" i="5"/>
  <c r="D77" i="5" s="1"/>
  <c r="E72" i="5" s="1"/>
  <c r="E76" i="5"/>
  <c r="F76" i="5"/>
  <c r="G76" i="5"/>
  <c r="H76" i="5"/>
  <c r="H77" i="5" s="1"/>
  <c r="I72" i="5" s="1"/>
  <c r="I76" i="5"/>
  <c r="J76" i="5"/>
  <c r="K76" i="5"/>
  <c r="K77" i="5" s="1"/>
  <c r="M76" i="5"/>
  <c r="M77" i="5" s="1"/>
  <c r="N76" i="5"/>
  <c r="J77" i="5"/>
  <c r="L77" i="5"/>
  <c r="N77" i="5"/>
  <c r="P78" i="5"/>
  <c r="P79" i="5"/>
  <c r="P83" i="5" s="1"/>
  <c r="P80" i="5"/>
  <c r="P81" i="5"/>
  <c r="D82" i="5"/>
  <c r="E82" i="5"/>
  <c r="F82" i="5"/>
  <c r="G82" i="5"/>
  <c r="H82" i="5"/>
  <c r="I82" i="5"/>
  <c r="J82" i="5"/>
  <c r="K82" i="5"/>
  <c r="M82" i="5"/>
  <c r="N82" i="5"/>
  <c r="P82" i="5"/>
  <c r="D83" i="5"/>
  <c r="E78" i="5" s="1"/>
  <c r="P84" i="5"/>
  <c r="P89" i="5" s="1"/>
  <c r="P85" i="5"/>
  <c r="P86" i="5"/>
  <c r="P87" i="5"/>
  <c r="D88" i="5"/>
  <c r="P88" i="5" s="1"/>
  <c r="E88" i="5"/>
  <c r="F88" i="5"/>
  <c r="G88" i="5"/>
  <c r="H88" i="5"/>
  <c r="I88" i="5"/>
  <c r="J88" i="5"/>
  <c r="K88" i="5"/>
  <c r="L88" i="5"/>
  <c r="M88" i="5"/>
  <c r="N88" i="5"/>
  <c r="D89" i="5"/>
  <c r="E84" i="5" s="1"/>
  <c r="E89" i="5" s="1"/>
  <c r="F84" i="5" s="1"/>
  <c r="F89" i="5" s="1"/>
  <c r="G84" i="5" s="1"/>
  <c r="G89" i="5" s="1"/>
  <c r="H84" i="5" s="1"/>
  <c r="H89" i="5" s="1"/>
  <c r="I89" i="5"/>
  <c r="J89" i="5"/>
  <c r="K89" i="5"/>
  <c r="L89" i="5"/>
  <c r="M89" i="5"/>
  <c r="N89" i="5"/>
  <c r="D90" i="5"/>
  <c r="P90" i="5" s="1"/>
  <c r="D91" i="5"/>
  <c r="E91" i="5"/>
  <c r="F91" i="5"/>
  <c r="G91" i="5"/>
  <c r="H91" i="5"/>
  <c r="I91" i="5"/>
  <c r="J91" i="5"/>
  <c r="J256" i="5" s="1"/>
  <c r="J258" i="5" s="1"/>
  <c r="K91" i="5"/>
  <c r="L91" i="5"/>
  <c r="M91" i="5"/>
  <c r="N91" i="5"/>
  <c r="N256" i="5" s="1"/>
  <c r="N258" i="5" s="1"/>
  <c r="D92" i="5"/>
  <c r="E92" i="5"/>
  <c r="F92" i="5"/>
  <c r="G92" i="5"/>
  <c r="H92" i="5"/>
  <c r="I92" i="5"/>
  <c r="J92" i="5"/>
  <c r="K92" i="5"/>
  <c r="L92" i="5"/>
  <c r="M92" i="5"/>
  <c r="N92" i="5"/>
  <c r="D93" i="5"/>
  <c r="D94" i="5" s="1"/>
  <c r="E93" i="5"/>
  <c r="F93" i="5"/>
  <c r="P93" i="5" s="1"/>
  <c r="G93" i="5"/>
  <c r="H93" i="5"/>
  <c r="I93" i="5"/>
  <c r="J93" i="5"/>
  <c r="K93" i="5"/>
  <c r="L93" i="5"/>
  <c r="M93" i="5"/>
  <c r="N93" i="5"/>
  <c r="E94" i="5"/>
  <c r="F94" i="5"/>
  <c r="G94" i="5"/>
  <c r="H94" i="5"/>
  <c r="I94" i="5"/>
  <c r="J94" i="5"/>
  <c r="K94" i="5"/>
  <c r="L94" i="5"/>
  <c r="M94" i="5"/>
  <c r="N94" i="5"/>
  <c r="P98" i="5"/>
  <c r="P101" i="5"/>
  <c r="P102" i="5"/>
  <c r="P103" i="5"/>
  <c r="P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 s="1"/>
  <c r="P107" i="5"/>
  <c r="P108" i="5"/>
  <c r="P109" i="5"/>
  <c r="P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 s="1"/>
  <c r="P113" i="5"/>
  <c r="P114" i="5"/>
  <c r="P115" i="5"/>
  <c r="P116" i="5"/>
  <c r="D117" i="5"/>
  <c r="E117" i="5"/>
  <c r="F117" i="5"/>
  <c r="G117" i="5"/>
  <c r="G118" i="5" s="1"/>
  <c r="G119" i="5" s="1"/>
  <c r="H117" i="5"/>
  <c r="I117" i="5"/>
  <c r="J117" i="5"/>
  <c r="K117" i="5"/>
  <c r="L117" i="5"/>
  <c r="M117" i="5"/>
  <c r="N117" i="5"/>
  <c r="O117" i="5"/>
  <c r="H118" i="5"/>
  <c r="I118" i="5"/>
  <c r="I119" i="5" s="1"/>
  <c r="L118" i="5"/>
  <c r="P121" i="5"/>
  <c r="P122" i="5"/>
  <c r="P123" i="5" s="1"/>
  <c r="D123" i="5"/>
  <c r="E123" i="5"/>
  <c r="F123" i="5"/>
  <c r="G123" i="5"/>
  <c r="H123" i="5"/>
  <c r="I123" i="5"/>
  <c r="J123" i="5"/>
  <c r="K123" i="5"/>
  <c r="L123" i="5"/>
  <c r="M123" i="5"/>
  <c r="N123" i="5"/>
  <c r="O123" i="5"/>
  <c r="P125" i="5"/>
  <c r="P126" i="5"/>
  <c r="P146" i="5" s="1"/>
  <c r="P127" i="5"/>
  <c r="P128" i="5"/>
  <c r="D129" i="5"/>
  <c r="E129" i="5"/>
  <c r="F129" i="5"/>
  <c r="I129" i="5"/>
  <c r="J129" i="5"/>
  <c r="K129" i="5"/>
  <c r="L129" i="5"/>
  <c r="M129" i="5"/>
  <c r="N129" i="5"/>
  <c r="O129" i="5"/>
  <c r="E130" i="5"/>
  <c r="E145" i="5" s="1"/>
  <c r="E149" i="5" s="1"/>
  <c r="P130" i="5"/>
  <c r="P131" i="5"/>
  <c r="P132" i="5"/>
  <c r="P134" i="5" s="1"/>
  <c r="P133" i="5"/>
  <c r="D134" i="5"/>
  <c r="I134" i="5"/>
  <c r="J134" i="5"/>
  <c r="K134" i="5"/>
  <c r="L134" i="5"/>
  <c r="M134" i="5"/>
  <c r="N134" i="5"/>
  <c r="O134" i="5"/>
  <c r="E135" i="5"/>
  <c r="E139" i="5" s="1"/>
  <c r="P135" i="5"/>
  <c r="P136" i="5"/>
  <c r="P137" i="5"/>
  <c r="P138" i="5"/>
  <c r="D139" i="5"/>
  <c r="F139" i="5"/>
  <c r="G135" i="5" s="1"/>
  <c r="G139" i="5"/>
  <c r="H135" i="5" s="1"/>
  <c r="H139" i="5" s="1"/>
  <c r="I139" i="5"/>
  <c r="J139" i="5"/>
  <c r="K139" i="5"/>
  <c r="L139" i="5"/>
  <c r="M139" i="5"/>
  <c r="N139" i="5"/>
  <c r="O139" i="5"/>
  <c r="P140" i="5"/>
  <c r="P141" i="5"/>
  <c r="P142" i="5"/>
  <c r="P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D145" i="5"/>
  <c r="I145" i="5"/>
  <c r="J145" i="5"/>
  <c r="K145" i="5"/>
  <c r="L145" i="5"/>
  <c r="M145" i="5"/>
  <c r="N145" i="5"/>
  <c r="O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D147" i="5"/>
  <c r="E147" i="5"/>
  <c r="F147" i="5"/>
  <c r="G147" i="5"/>
  <c r="H147" i="5"/>
  <c r="I147" i="5"/>
  <c r="I149" i="5" s="1"/>
  <c r="J147" i="5"/>
  <c r="K147" i="5"/>
  <c r="L147" i="5"/>
  <c r="M147" i="5"/>
  <c r="N147" i="5"/>
  <c r="O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K149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7" i="5"/>
  <c r="P168" i="5"/>
  <c r="P169" i="5"/>
  <c r="P170" i="5"/>
  <c r="P171" i="5"/>
  <c r="P172" i="5"/>
  <c r="P173" i="5"/>
  <c r="P174" i="5"/>
  <c r="P175" i="5"/>
  <c r="P177" i="5"/>
  <c r="P178" i="5"/>
  <c r="P179" i="5"/>
  <c r="P180" i="5"/>
  <c r="P181" i="5"/>
  <c r="P182" i="5"/>
  <c r="P184" i="5"/>
  <c r="P185" i="5"/>
  <c r="P186" i="5"/>
  <c r="P187" i="5"/>
  <c r="P189" i="5"/>
  <c r="P190" i="5"/>
  <c r="P191" i="5"/>
  <c r="P192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4" i="5"/>
  <c r="P195" i="5"/>
  <c r="P196" i="5"/>
  <c r="P197" i="5"/>
  <c r="P199" i="5"/>
  <c r="P200" i="5"/>
  <c r="P201" i="5"/>
  <c r="P202" i="5"/>
  <c r="P203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6" i="5"/>
  <c r="P207" i="5"/>
  <c r="P208" i="5"/>
  <c r="P209" i="5"/>
  <c r="D210" i="5"/>
  <c r="D217" i="5" s="1"/>
  <c r="E210" i="5"/>
  <c r="E251" i="5" s="1"/>
  <c r="F210" i="5"/>
  <c r="G210" i="5"/>
  <c r="H210" i="5"/>
  <c r="I210" i="5"/>
  <c r="I250" i="5" s="1"/>
  <c r="J210" i="5"/>
  <c r="K210" i="5"/>
  <c r="L210" i="5"/>
  <c r="M210" i="5"/>
  <c r="M251" i="5" s="1"/>
  <c r="N210" i="5"/>
  <c r="O210" i="5"/>
  <c r="P212" i="5"/>
  <c r="P213" i="5"/>
  <c r="P214" i="5"/>
  <c r="P215" i="5"/>
  <c r="F216" i="5"/>
  <c r="G216" i="5"/>
  <c r="H216" i="5"/>
  <c r="I216" i="5"/>
  <c r="J216" i="5"/>
  <c r="K216" i="5"/>
  <c r="L216" i="5"/>
  <c r="M216" i="5"/>
  <c r="N216" i="5"/>
  <c r="O216" i="5"/>
  <c r="G217" i="5"/>
  <c r="H217" i="5"/>
  <c r="L217" i="5"/>
  <c r="O217" i="5"/>
  <c r="P219" i="5"/>
  <c r="P220" i="5"/>
  <c r="P221" i="5"/>
  <c r="P222" i="5"/>
  <c r="D251" i="5"/>
  <c r="F223" i="5"/>
  <c r="G223" i="5"/>
  <c r="G230" i="5" s="1"/>
  <c r="G243" i="5" s="1"/>
  <c r="H223" i="5"/>
  <c r="H230" i="5" s="1"/>
  <c r="I223" i="5"/>
  <c r="J223" i="5"/>
  <c r="J230" i="5" s="1"/>
  <c r="K223" i="5"/>
  <c r="K230" i="5" s="1"/>
  <c r="L223" i="5"/>
  <c r="L250" i="5" s="1"/>
  <c r="M223" i="5"/>
  <c r="N223" i="5"/>
  <c r="O223" i="5"/>
  <c r="O230" i="5" s="1"/>
  <c r="P225" i="5"/>
  <c r="P226" i="5"/>
  <c r="P227" i="5"/>
  <c r="P228" i="5"/>
  <c r="P229" i="5"/>
  <c r="E230" i="5"/>
  <c r="I230" i="5"/>
  <c r="I243" i="5" s="1"/>
  <c r="L230" i="5"/>
  <c r="M230" i="5"/>
  <c r="N230" i="5"/>
  <c r="P232" i="5"/>
  <c r="P233" i="5"/>
  <c r="P234" i="5"/>
  <c r="P235" i="5"/>
  <c r="D236" i="5"/>
  <c r="E236" i="5"/>
  <c r="F236" i="5"/>
  <c r="G236" i="5"/>
  <c r="H236" i="5"/>
  <c r="I236" i="5"/>
  <c r="J236" i="5"/>
  <c r="K236" i="5"/>
  <c r="L236" i="5"/>
  <c r="M236" i="5"/>
  <c r="M243" i="5" s="1"/>
  <c r="N236" i="5"/>
  <c r="O236" i="5"/>
  <c r="P238" i="5"/>
  <c r="P239" i="5"/>
  <c r="P240" i="5"/>
  <c r="P241" i="5"/>
  <c r="D242" i="5"/>
  <c r="E242" i="5"/>
  <c r="F242" i="5"/>
  <c r="G242" i="5"/>
  <c r="H242" i="5"/>
  <c r="I242" i="5"/>
  <c r="J242" i="5"/>
  <c r="K242" i="5"/>
  <c r="K243" i="5" s="1"/>
  <c r="K249" i="5" s="1"/>
  <c r="L242" i="5"/>
  <c r="M242" i="5"/>
  <c r="N242" i="5"/>
  <c r="O242" i="5"/>
  <c r="O243" i="5"/>
  <c r="O249" i="5" s="1"/>
  <c r="P245" i="5"/>
  <c r="P247" i="5" s="1"/>
  <c r="P246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D250" i="5"/>
  <c r="H250" i="5"/>
  <c r="G251" i="5"/>
  <c r="H251" i="5"/>
  <c r="L251" i="5"/>
  <c r="P253" i="5"/>
  <c r="P254" i="5"/>
  <c r="D258" i="5"/>
  <c r="E256" i="5"/>
  <c r="E258" i="5" s="1"/>
  <c r="G258" i="5"/>
  <c r="H256" i="5"/>
  <c r="I256" i="5"/>
  <c r="I258" i="5" s="1"/>
  <c r="K256" i="5"/>
  <c r="K258" i="5" s="1"/>
  <c r="L256" i="5"/>
  <c r="M256" i="5"/>
  <c r="M258" i="5" s="1"/>
  <c r="P257" i="5"/>
  <c r="H258" i="5"/>
  <c r="L258" i="5"/>
  <c r="O258" i="5"/>
  <c r="O259" i="5"/>
  <c r="P261" i="5"/>
  <c r="P262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D32" i="2"/>
  <c r="P263" i="5" l="1"/>
  <c r="P236" i="5"/>
  <c r="F250" i="5"/>
  <c r="K66" i="5"/>
  <c r="K71" i="5" s="1"/>
  <c r="L66" i="5" s="1"/>
  <c r="L71" i="5" s="1"/>
  <c r="M66" i="5" s="1"/>
  <c r="P62" i="5"/>
  <c r="P45" i="5"/>
  <c r="P32" i="5"/>
  <c r="E243" i="5"/>
  <c r="P70" i="5"/>
  <c r="E58" i="5"/>
  <c r="P15" i="5"/>
  <c r="P34" i="5"/>
  <c r="P193" i="5"/>
  <c r="D118" i="5"/>
  <c r="D119" i="5" s="1"/>
  <c r="P91" i="5"/>
  <c r="P92" i="5"/>
  <c r="P71" i="5"/>
  <c r="P40" i="5"/>
  <c r="P30" i="5"/>
  <c r="P94" i="5"/>
  <c r="P216" i="5"/>
  <c r="M149" i="5"/>
  <c r="P41" i="5"/>
  <c r="P42" i="5" s="1"/>
  <c r="P242" i="5"/>
  <c r="N243" i="5"/>
  <c r="N250" i="5"/>
  <c r="J243" i="5"/>
  <c r="P223" i="5"/>
  <c r="E134" i="5"/>
  <c r="F130" i="5" s="1"/>
  <c r="P117" i="5"/>
  <c r="P118" i="5" s="1"/>
  <c r="P119" i="5" s="1"/>
  <c r="M118" i="5"/>
  <c r="M119" i="5" s="1"/>
  <c r="E118" i="5"/>
  <c r="E119" i="5" s="1"/>
  <c r="N58" i="5"/>
  <c r="N59" i="5" s="1"/>
  <c r="F42" i="5"/>
  <c r="P21" i="5"/>
  <c r="P22" i="5" s="1"/>
  <c r="P24" i="5" s="1"/>
  <c r="P25" i="5" s="1"/>
  <c r="J149" i="5"/>
  <c r="N22" i="5"/>
  <c r="N24" i="5" s="1"/>
  <c r="N25" i="5" s="1"/>
  <c r="F22" i="5"/>
  <c r="F24" i="5" s="1"/>
  <c r="F25" i="5" s="1"/>
  <c r="K251" i="5"/>
  <c r="M250" i="5"/>
  <c r="D230" i="5"/>
  <c r="D243" i="5" s="1"/>
  <c r="I217" i="5"/>
  <c r="O250" i="5"/>
  <c r="K250" i="5"/>
  <c r="G250" i="5"/>
  <c r="O149" i="5"/>
  <c r="L149" i="5"/>
  <c r="D149" i="5"/>
  <c r="P139" i="5"/>
  <c r="D95" i="5"/>
  <c r="E83" i="5"/>
  <c r="F78" i="5" s="1"/>
  <c r="F83" i="5" s="1"/>
  <c r="G78" i="5" s="1"/>
  <c r="G83" i="5" s="1"/>
  <c r="H78" i="5" s="1"/>
  <c r="H22" i="5"/>
  <c r="H24" i="5" s="1"/>
  <c r="H25" i="5" s="1"/>
  <c r="F258" i="5"/>
  <c r="H243" i="5"/>
  <c r="P204" i="5"/>
  <c r="N149" i="5"/>
  <c r="P148" i="5"/>
  <c r="P147" i="5"/>
  <c r="K118" i="5"/>
  <c r="K119" i="5" s="1"/>
  <c r="L119" i="5"/>
  <c r="H119" i="5"/>
  <c r="P76" i="5"/>
  <c r="P77" i="5" s="1"/>
  <c r="I58" i="5"/>
  <c r="I59" i="5" s="1"/>
  <c r="G58" i="5"/>
  <c r="G60" i="5" s="1"/>
  <c r="F134" i="5"/>
  <c r="G130" i="5" s="1"/>
  <c r="G125" i="5"/>
  <c r="F145" i="5"/>
  <c r="F149" i="5" s="1"/>
  <c r="E59" i="5"/>
  <c r="E249" i="5"/>
  <c r="E60" i="5"/>
  <c r="H83" i="5"/>
  <c r="I78" i="5" s="1"/>
  <c r="I83" i="5" s="1"/>
  <c r="J78" i="5" s="1"/>
  <c r="H90" i="5"/>
  <c r="H95" i="5" s="1"/>
  <c r="H255" i="5" s="1"/>
  <c r="H259" i="5" s="1"/>
  <c r="I77" i="5"/>
  <c r="E90" i="5"/>
  <c r="E95" i="5" s="1"/>
  <c r="E255" i="5" s="1"/>
  <c r="E77" i="5"/>
  <c r="F72" i="5" s="1"/>
  <c r="J59" i="5"/>
  <c r="J60" i="5"/>
  <c r="J249" i="5"/>
  <c r="G249" i="5"/>
  <c r="K60" i="5"/>
  <c r="K24" i="5"/>
  <c r="K25" i="5" s="1"/>
  <c r="O251" i="5"/>
  <c r="I251" i="5"/>
  <c r="N249" i="5"/>
  <c r="M217" i="5"/>
  <c r="N118" i="5"/>
  <c r="N119" i="5" s="1"/>
  <c r="J118" i="5"/>
  <c r="J119" i="5" s="1"/>
  <c r="F118" i="5"/>
  <c r="F119" i="5" s="1"/>
  <c r="M58" i="5"/>
  <c r="E47" i="5"/>
  <c r="P46" i="5"/>
  <c r="P47" i="5" s="1"/>
  <c r="J42" i="5"/>
  <c r="P210" i="5"/>
  <c r="J250" i="5"/>
  <c r="E250" i="5"/>
  <c r="L243" i="5"/>
  <c r="F230" i="5"/>
  <c r="F243" i="5" s="1"/>
  <c r="P145" i="5"/>
  <c r="O118" i="5"/>
  <c r="O119" i="5" s="1"/>
  <c r="N60" i="5"/>
  <c r="I60" i="5"/>
  <c r="F58" i="5"/>
  <c r="L42" i="5"/>
  <c r="L58" i="5"/>
  <c r="H42" i="5"/>
  <c r="H58" i="5"/>
  <c r="D42" i="5"/>
  <c r="D58" i="5"/>
  <c r="K217" i="5"/>
  <c r="E217" i="5"/>
  <c r="N217" i="5"/>
  <c r="N251" i="5"/>
  <c r="J217" i="5"/>
  <c r="J251" i="5"/>
  <c r="F217" i="5"/>
  <c r="F251" i="5"/>
  <c r="P129" i="5"/>
  <c r="P149" i="5" s="1"/>
  <c r="O223" i="1"/>
  <c r="O149" i="1"/>
  <c r="O223" i="2"/>
  <c r="G223" i="2"/>
  <c r="H223" i="2"/>
  <c r="P223" i="2" s="1"/>
  <c r="I223" i="2"/>
  <c r="J223" i="2"/>
  <c r="K223" i="2"/>
  <c r="L223" i="2"/>
  <c r="M223" i="2"/>
  <c r="N223" i="2"/>
  <c r="I249" i="5" l="1"/>
  <c r="P95" i="5"/>
  <c r="G59" i="5"/>
  <c r="P243" i="5"/>
  <c r="P230" i="5"/>
  <c r="P256" i="5"/>
  <c r="P258" i="5" s="1"/>
  <c r="P217" i="5"/>
  <c r="P251" i="5"/>
  <c r="P250" i="5"/>
  <c r="M60" i="5"/>
  <c r="M59" i="5"/>
  <c r="M249" i="5"/>
  <c r="E259" i="5"/>
  <c r="J83" i="5"/>
  <c r="K78" i="5" s="1"/>
  <c r="J90" i="5"/>
  <c r="J95" i="5" s="1"/>
  <c r="J255" i="5" s="1"/>
  <c r="J259" i="5" s="1"/>
  <c r="F249" i="5"/>
  <c r="F60" i="5"/>
  <c r="F59" i="5"/>
  <c r="F90" i="5"/>
  <c r="F95" i="5" s="1"/>
  <c r="F259" i="5" s="1"/>
  <c r="F77" i="5"/>
  <c r="G72" i="5" s="1"/>
  <c r="D59" i="5"/>
  <c r="D60" i="5"/>
  <c r="D249" i="5"/>
  <c r="P58" i="5"/>
  <c r="L59" i="5"/>
  <c r="L60" i="5"/>
  <c r="L249" i="5"/>
  <c r="G129" i="5"/>
  <c r="G145" i="5"/>
  <c r="G149" i="5" s="1"/>
  <c r="H59" i="5"/>
  <c r="H60" i="5"/>
  <c r="H249" i="5"/>
  <c r="I90" i="5"/>
  <c r="I95" i="5" s="1"/>
  <c r="I255" i="5" s="1"/>
  <c r="I259" i="5" s="1"/>
  <c r="M71" i="5"/>
  <c r="N66" i="5" s="1"/>
  <c r="N71" i="5" s="1"/>
  <c r="O66" i="5" s="1"/>
  <c r="H125" i="5"/>
  <c r="G134" i="5"/>
  <c r="H130" i="5" s="1"/>
  <c r="H134" i="5" s="1"/>
  <c r="N70" i="4"/>
  <c r="N70" i="3"/>
  <c r="M193" i="7"/>
  <c r="N193" i="7"/>
  <c r="O193" i="7"/>
  <c r="H145" i="5" l="1"/>
  <c r="H149" i="5" s="1"/>
  <c r="H129" i="5"/>
  <c r="P249" i="5"/>
  <c r="P59" i="5"/>
  <c r="P60" i="5"/>
  <c r="G77" i="5"/>
  <c r="G90" i="5"/>
  <c r="G95" i="5" s="1"/>
  <c r="G259" i="5" s="1"/>
  <c r="K90" i="5"/>
  <c r="K95" i="5" s="1"/>
  <c r="K255" i="5" s="1"/>
  <c r="K259" i="5" s="1"/>
  <c r="K83" i="5"/>
  <c r="L78" i="5" s="1"/>
  <c r="M253" i="4"/>
  <c r="L83" i="5" l="1"/>
  <c r="M78" i="5" s="1"/>
  <c r="L90" i="5"/>
  <c r="L95" i="5" s="1"/>
  <c r="L255" i="5" s="1"/>
  <c r="K253" i="3"/>
  <c r="K70" i="2"/>
  <c r="J144" i="1"/>
  <c r="K140" i="1" s="1"/>
  <c r="K144" i="1" s="1"/>
  <c r="K70" i="1"/>
  <c r="K30" i="1"/>
  <c r="K32" i="1"/>
  <c r="L259" i="5" l="1"/>
  <c r="M83" i="5"/>
  <c r="N78" i="5" s="1"/>
  <c r="M90" i="5"/>
  <c r="M95" i="5" s="1"/>
  <c r="M255" i="5" s="1"/>
  <c r="M259" i="5" s="1"/>
  <c r="J223" i="3"/>
  <c r="P54" i="2"/>
  <c r="P50" i="2"/>
  <c r="P49" i="2"/>
  <c r="P29" i="2"/>
  <c r="P20" i="2"/>
  <c r="P19" i="2"/>
  <c r="P18" i="2"/>
  <c r="P17" i="2"/>
  <c r="P14" i="2"/>
  <c r="P13" i="2"/>
  <c r="P12" i="2"/>
  <c r="P11" i="2"/>
  <c r="P9" i="2"/>
  <c r="N83" i="5" l="1"/>
  <c r="N90" i="5"/>
  <c r="N95" i="5" s="1"/>
  <c r="N255" i="5" s="1"/>
  <c r="N259" i="5" s="1"/>
  <c r="P15" i="2"/>
  <c r="P21" i="2"/>
  <c r="P30" i="2"/>
  <c r="H45" i="7"/>
  <c r="P255" i="5" l="1"/>
  <c r="P259" i="5" s="1"/>
  <c r="G144" i="2"/>
  <c r="J30" i="3"/>
  <c r="F70" i="3"/>
  <c r="K45" i="2"/>
  <c r="K30" i="2"/>
  <c r="J222" i="18" l="1"/>
  <c r="J222" i="12"/>
  <c r="D222" i="11"/>
  <c r="E113" i="11"/>
  <c r="E114" i="11"/>
  <c r="D113" i="11"/>
  <c r="D114" i="11"/>
  <c r="D223" i="7"/>
  <c r="E117" i="7"/>
  <c r="I30" i="4" l="1"/>
  <c r="J30" i="4"/>
  <c r="K30" i="4"/>
  <c r="I45" i="4"/>
  <c r="J45" i="4"/>
  <c r="K45" i="4"/>
  <c r="L45" i="4"/>
  <c r="I45" i="19" l="1"/>
  <c r="I30" i="19"/>
  <c r="K45" i="8"/>
  <c r="J30" i="8"/>
  <c r="K30" i="8"/>
  <c r="I45" i="7"/>
  <c r="J45" i="7"/>
  <c r="I30" i="7"/>
  <c r="J30" i="7"/>
  <c r="P101" i="6"/>
  <c r="N70" i="6"/>
  <c r="M70" i="6"/>
  <c r="L70" i="6"/>
  <c r="K70" i="6"/>
  <c r="J70" i="6"/>
  <c r="I70" i="6"/>
  <c r="G70" i="6"/>
  <c r="F70" i="6"/>
  <c r="E70" i="6"/>
  <c r="I45" i="6"/>
  <c r="K30" i="6"/>
  <c r="I30" i="6"/>
  <c r="H89" i="4"/>
  <c r="M70" i="4"/>
  <c r="L70" i="4"/>
  <c r="K70" i="4"/>
  <c r="J70" i="4"/>
  <c r="I70" i="4"/>
  <c r="G70" i="4"/>
  <c r="F70" i="4"/>
  <c r="J51" i="4"/>
  <c r="K51" i="4"/>
  <c r="I51" i="4"/>
  <c r="M70" i="3"/>
  <c r="L70" i="3"/>
  <c r="K70" i="3"/>
  <c r="J70" i="3"/>
  <c r="I70" i="3"/>
  <c r="G70" i="3"/>
  <c r="E70" i="3"/>
  <c r="I45" i="3"/>
  <c r="L140" i="1"/>
  <c r="P101" i="7"/>
  <c r="P141" i="2"/>
  <c r="N62" i="8" l="1"/>
  <c r="N70" i="1"/>
  <c r="M70" i="19" l="1"/>
  <c r="M223" i="1"/>
  <c r="M70" i="1"/>
  <c r="L134" i="19" l="1"/>
  <c r="L45" i="19"/>
  <c r="L51" i="3"/>
  <c r="L144" i="2" l="1"/>
  <c r="M140" i="2" s="1"/>
  <c r="M144" i="2" s="1"/>
  <c r="N140" i="2" s="1"/>
  <c r="N144" i="2" s="1"/>
  <c r="L70" i="2"/>
  <c r="L45" i="2"/>
  <c r="L223" i="1"/>
  <c r="L70" i="1"/>
  <c r="L30" i="1"/>
  <c r="K223" i="7" l="1"/>
  <c r="J193" i="3" l="1"/>
  <c r="J51" i="3"/>
  <c r="I216" i="2" l="1"/>
  <c r="H51" i="4" l="1"/>
  <c r="G45" i="7" l="1"/>
  <c r="G51" i="4"/>
  <c r="G51" i="3" l="1"/>
  <c r="M36" i="18" l="1"/>
  <c r="L262" i="18"/>
  <c r="L261" i="18"/>
  <c r="L254" i="18"/>
  <c r="L257" i="18"/>
  <c r="L253" i="18"/>
  <c r="L246" i="18"/>
  <c r="L245" i="18"/>
  <c r="L239" i="18"/>
  <c r="L240" i="18"/>
  <c r="L241" i="18"/>
  <c r="L238" i="18"/>
  <c r="L233" i="18"/>
  <c r="L234" i="18"/>
  <c r="L235" i="18"/>
  <c r="L232" i="18"/>
  <c r="L226" i="18"/>
  <c r="L227" i="18"/>
  <c r="L228" i="18"/>
  <c r="L225" i="18"/>
  <c r="L220" i="18"/>
  <c r="L221" i="18"/>
  <c r="L222" i="18"/>
  <c r="L219" i="18"/>
  <c r="L213" i="18"/>
  <c r="L214" i="18"/>
  <c r="L215" i="18"/>
  <c r="L212" i="18"/>
  <c r="L207" i="18"/>
  <c r="L208" i="18"/>
  <c r="L209" i="18"/>
  <c r="L206" i="18"/>
  <c r="L200" i="18"/>
  <c r="L201" i="18"/>
  <c r="L202" i="18"/>
  <c r="L203" i="18"/>
  <c r="L199" i="18"/>
  <c r="L197" i="18"/>
  <c r="L196" i="18"/>
  <c r="L195" i="18"/>
  <c r="L194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7" i="18"/>
  <c r="L178" i="18"/>
  <c r="L179" i="18"/>
  <c r="L180" i="18"/>
  <c r="L181" i="18"/>
  <c r="L182" i="18"/>
  <c r="L184" i="18"/>
  <c r="L185" i="18"/>
  <c r="L186" i="18"/>
  <c r="L187" i="18"/>
  <c r="L189" i="18"/>
  <c r="L190" i="18"/>
  <c r="L191" i="18"/>
  <c r="L192" i="18"/>
  <c r="L153" i="18"/>
  <c r="L140" i="18"/>
  <c r="L135" i="18"/>
  <c r="L130" i="18"/>
  <c r="L127" i="18"/>
  <c r="L128" i="18"/>
  <c r="L131" i="18"/>
  <c r="L132" i="18"/>
  <c r="L133" i="18"/>
  <c r="L136" i="18"/>
  <c r="L137" i="18"/>
  <c r="L138" i="18"/>
  <c r="L141" i="18"/>
  <c r="L142" i="18"/>
  <c r="L143" i="18"/>
  <c r="L126" i="18"/>
  <c r="L125" i="18"/>
  <c r="L122" i="18"/>
  <c r="L121" i="18"/>
  <c r="L114" i="18"/>
  <c r="L115" i="18"/>
  <c r="L116" i="18"/>
  <c r="L113" i="18"/>
  <c r="L108" i="18"/>
  <c r="L109" i="18"/>
  <c r="L110" i="18"/>
  <c r="L107" i="18"/>
  <c r="L102" i="18"/>
  <c r="L103" i="18"/>
  <c r="L104" i="18"/>
  <c r="L101" i="18"/>
  <c r="L98" i="18"/>
  <c r="L84" i="18"/>
  <c r="L78" i="18"/>
  <c r="L72" i="18"/>
  <c r="K262" i="18"/>
  <c r="K261" i="18"/>
  <c r="K257" i="18"/>
  <c r="K254" i="18"/>
  <c r="K253" i="18"/>
  <c r="K246" i="18"/>
  <c r="K245" i="18"/>
  <c r="K241" i="18"/>
  <c r="K240" i="18"/>
  <c r="K239" i="18"/>
  <c r="K238" i="18"/>
  <c r="K235" i="18"/>
  <c r="K234" i="18"/>
  <c r="K233" i="18"/>
  <c r="K232" i="18"/>
  <c r="K228" i="18"/>
  <c r="K227" i="18"/>
  <c r="K226" i="18"/>
  <c r="K225" i="18"/>
  <c r="K222" i="18"/>
  <c r="K221" i="18"/>
  <c r="K220" i="18"/>
  <c r="K219" i="18"/>
  <c r="K215" i="18"/>
  <c r="K214" i="18"/>
  <c r="K213" i="18"/>
  <c r="K212" i="18"/>
  <c r="K209" i="18"/>
  <c r="K208" i="18"/>
  <c r="K207" i="18"/>
  <c r="K206" i="18"/>
  <c r="K203" i="18"/>
  <c r="K202" i="18"/>
  <c r="K201" i="18"/>
  <c r="K200" i="18"/>
  <c r="K199" i="18"/>
  <c r="K197" i="18"/>
  <c r="K196" i="18"/>
  <c r="K195" i="18"/>
  <c r="K194" i="18"/>
  <c r="K192" i="18"/>
  <c r="K191" i="18"/>
  <c r="K190" i="18"/>
  <c r="K189" i="18"/>
  <c r="K187" i="18"/>
  <c r="K186" i="18"/>
  <c r="K185" i="18"/>
  <c r="K184" i="18"/>
  <c r="K182" i="18"/>
  <c r="K181" i="18"/>
  <c r="K180" i="18"/>
  <c r="K179" i="18"/>
  <c r="K178" i="18"/>
  <c r="K177" i="18"/>
  <c r="K175" i="18"/>
  <c r="K174" i="18"/>
  <c r="K173" i="18"/>
  <c r="K172" i="18"/>
  <c r="K171" i="18"/>
  <c r="K170" i="18"/>
  <c r="K169" i="18"/>
  <c r="K168" i="18"/>
  <c r="K167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43" i="18"/>
  <c r="K142" i="18"/>
  <c r="K141" i="18"/>
  <c r="K140" i="18"/>
  <c r="K138" i="18"/>
  <c r="K137" i="18"/>
  <c r="K136" i="18"/>
  <c r="K135" i="18"/>
  <c r="K133" i="18"/>
  <c r="K132" i="18"/>
  <c r="K131" i="18"/>
  <c r="K130" i="18"/>
  <c r="K128" i="18"/>
  <c r="K127" i="18"/>
  <c r="K126" i="18"/>
  <c r="K125" i="18"/>
  <c r="K122" i="18"/>
  <c r="K121" i="18"/>
  <c r="K116" i="18"/>
  <c r="K115" i="18"/>
  <c r="K114" i="18"/>
  <c r="K113" i="18"/>
  <c r="K110" i="18"/>
  <c r="K109" i="18"/>
  <c r="K108" i="18"/>
  <c r="K107" i="18"/>
  <c r="K104" i="18"/>
  <c r="K103" i="18"/>
  <c r="K102" i="18"/>
  <c r="K101" i="18"/>
  <c r="K98" i="18"/>
  <c r="K87" i="18"/>
  <c r="K86" i="18"/>
  <c r="K85" i="18"/>
  <c r="K84" i="18"/>
  <c r="K81" i="18"/>
  <c r="K80" i="18"/>
  <c r="K79" i="18"/>
  <c r="K78" i="18"/>
  <c r="K75" i="18"/>
  <c r="K74" i="18"/>
  <c r="K73" i="18"/>
  <c r="K72" i="18"/>
  <c r="K69" i="18"/>
  <c r="K68" i="18"/>
  <c r="K67" i="18"/>
  <c r="K66" i="18"/>
  <c r="K63" i="18"/>
  <c r="K61" i="18"/>
  <c r="K56" i="18"/>
  <c r="K55" i="18"/>
  <c r="K54" i="18"/>
  <c r="K52" i="18"/>
  <c r="K51" i="18"/>
  <c r="K50" i="18"/>
  <c r="K49" i="18"/>
  <c r="K44" i="18"/>
  <c r="K39" i="18"/>
  <c r="K37" i="18"/>
  <c r="K35" i="18"/>
  <c r="K33" i="18"/>
  <c r="K31" i="18"/>
  <c r="K29" i="18"/>
  <c r="K20" i="18"/>
  <c r="K19" i="18"/>
  <c r="K18" i="18"/>
  <c r="K17" i="18"/>
  <c r="K14" i="18"/>
  <c r="K13" i="18"/>
  <c r="K12" i="18"/>
  <c r="K11" i="18"/>
  <c r="K9" i="18"/>
  <c r="L73" i="18"/>
  <c r="L74" i="18"/>
  <c r="L75" i="18"/>
  <c r="L79" i="18"/>
  <c r="L80" i="18"/>
  <c r="L81" i="18"/>
  <c r="L82" i="18" s="1"/>
  <c r="L85" i="18"/>
  <c r="L86" i="18"/>
  <c r="L87" i="18"/>
  <c r="L69" i="18"/>
  <c r="L68" i="18"/>
  <c r="L67" i="18"/>
  <c r="L63" i="18"/>
  <c r="L61" i="18"/>
  <c r="L55" i="18"/>
  <c r="L56" i="18"/>
  <c r="L54" i="18"/>
  <c r="L50" i="18"/>
  <c r="L51" i="18"/>
  <c r="L52" i="18"/>
  <c r="L49" i="18"/>
  <c r="L44" i="18"/>
  <c r="L33" i="18"/>
  <c r="L35" i="18"/>
  <c r="L37" i="18"/>
  <c r="L39" i="18"/>
  <c r="L31" i="18"/>
  <c r="L29" i="18"/>
  <c r="L18" i="18"/>
  <c r="L19" i="18"/>
  <c r="L20" i="18"/>
  <c r="L17" i="18"/>
  <c r="L12" i="18"/>
  <c r="L13" i="18"/>
  <c r="L14" i="18"/>
  <c r="L11" i="18"/>
  <c r="L9" i="18"/>
  <c r="L262" i="12"/>
  <c r="L261" i="12"/>
  <c r="L257" i="12"/>
  <c r="L254" i="12"/>
  <c r="L253" i="12"/>
  <c r="L246" i="12"/>
  <c r="L245" i="12"/>
  <c r="L239" i="12"/>
  <c r="L240" i="12"/>
  <c r="L241" i="12"/>
  <c r="L238" i="12"/>
  <c r="L233" i="12"/>
  <c r="L234" i="12"/>
  <c r="L235" i="12"/>
  <c r="L232" i="12"/>
  <c r="L226" i="12"/>
  <c r="L227" i="12"/>
  <c r="L228" i="12"/>
  <c r="L225" i="12"/>
  <c r="L220" i="12"/>
  <c r="L221" i="12"/>
  <c r="L222" i="12"/>
  <c r="L219" i="12"/>
  <c r="L213" i="12"/>
  <c r="L214" i="12"/>
  <c r="L215" i="12"/>
  <c r="L212" i="12"/>
  <c r="L207" i="12"/>
  <c r="L208" i="12"/>
  <c r="L209" i="12"/>
  <c r="L206" i="12"/>
  <c r="L203" i="12"/>
  <c r="L202" i="12"/>
  <c r="L201" i="12"/>
  <c r="L200" i="12"/>
  <c r="L199" i="12"/>
  <c r="L197" i="12"/>
  <c r="L195" i="12"/>
  <c r="L194" i="12"/>
  <c r="L192" i="12"/>
  <c r="L191" i="12"/>
  <c r="L190" i="12"/>
  <c r="L189" i="12"/>
  <c r="L187" i="12"/>
  <c r="L186" i="12"/>
  <c r="L185" i="12"/>
  <c r="L184" i="12"/>
  <c r="L182" i="12"/>
  <c r="L181" i="12"/>
  <c r="L180" i="12"/>
  <c r="L179" i="12"/>
  <c r="L178" i="12"/>
  <c r="L177" i="12"/>
  <c r="L175" i="12"/>
  <c r="L174" i="12"/>
  <c r="L173" i="12"/>
  <c r="L172" i="12"/>
  <c r="L171" i="12"/>
  <c r="L170" i="12"/>
  <c r="L169" i="12"/>
  <c r="L168" i="12"/>
  <c r="L167" i="12"/>
  <c r="L165" i="12"/>
  <c r="L164" i="12"/>
  <c r="L163" i="12"/>
  <c r="L162" i="12"/>
  <c r="L161" i="12"/>
  <c r="L160" i="12"/>
  <c r="L159" i="12"/>
  <c r="L196" i="12"/>
  <c r="L158" i="12"/>
  <c r="L157" i="12"/>
  <c r="L156" i="12"/>
  <c r="L155" i="12"/>
  <c r="L154" i="12"/>
  <c r="L153" i="12"/>
  <c r="L143" i="12"/>
  <c r="L142" i="12"/>
  <c r="L141" i="12"/>
  <c r="L140" i="12"/>
  <c r="L138" i="12"/>
  <c r="L137" i="12"/>
  <c r="L136" i="12"/>
  <c r="L135" i="12"/>
  <c r="L133" i="12"/>
  <c r="L132" i="12"/>
  <c r="L131" i="12"/>
  <c r="L130" i="12"/>
  <c r="L128" i="12"/>
  <c r="L127" i="12"/>
  <c r="L126" i="12"/>
  <c r="L125" i="12"/>
  <c r="L122" i="12"/>
  <c r="L121" i="12"/>
  <c r="L116" i="12"/>
  <c r="L115" i="12"/>
  <c r="L114" i="12"/>
  <c r="L113" i="12"/>
  <c r="L110" i="12"/>
  <c r="L109" i="12"/>
  <c r="L108" i="12"/>
  <c r="L107" i="12"/>
  <c r="L104" i="12"/>
  <c r="L103" i="12"/>
  <c r="L102" i="12"/>
  <c r="L101" i="12"/>
  <c r="L98" i="12"/>
  <c r="L87" i="12"/>
  <c r="L86" i="12"/>
  <c r="L85" i="12"/>
  <c r="L84" i="12"/>
  <c r="L81" i="12"/>
  <c r="L82" i="12" s="1"/>
  <c r="L80" i="12"/>
  <c r="L79" i="12"/>
  <c r="L78" i="12"/>
  <c r="L75" i="12"/>
  <c r="L74" i="12"/>
  <c r="L73" i="12"/>
  <c r="L72" i="12"/>
  <c r="L69" i="12"/>
  <c r="L68" i="12"/>
  <c r="L67" i="12"/>
  <c r="L66" i="12"/>
  <c r="L63" i="12"/>
  <c r="L61" i="12"/>
  <c r="K262" i="12"/>
  <c r="K261" i="12"/>
  <c r="K257" i="12"/>
  <c r="K254" i="12"/>
  <c r="K253" i="12"/>
  <c r="K246" i="12"/>
  <c r="K245" i="12"/>
  <c r="K241" i="12"/>
  <c r="K240" i="12"/>
  <c r="K239" i="12"/>
  <c r="K238" i="12"/>
  <c r="K235" i="12"/>
  <c r="K234" i="12"/>
  <c r="K233" i="12"/>
  <c r="K232" i="12"/>
  <c r="K228" i="12"/>
  <c r="K227" i="12"/>
  <c r="K226" i="12"/>
  <c r="K225" i="12"/>
  <c r="K222" i="12"/>
  <c r="K221" i="12"/>
  <c r="K220" i="12"/>
  <c r="K219" i="12"/>
  <c r="K215" i="12"/>
  <c r="K214" i="12"/>
  <c r="K213" i="12"/>
  <c r="K212" i="12"/>
  <c r="K209" i="12"/>
  <c r="K208" i="12"/>
  <c r="K207" i="12"/>
  <c r="K206" i="12"/>
  <c r="K203" i="12"/>
  <c r="K202" i="12"/>
  <c r="K201" i="12"/>
  <c r="K200" i="12"/>
  <c r="K199" i="12"/>
  <c r="K197" i="12"/>
  <c r="K195" i="12"/>
  <c r="K194" i="12"/>
  <c r="K192" i="12"/>
  <c r="K191" i="12"/>
  <c r="K190" i="12"/>
  <c r="K189" i="12"/>
  <c r="K187" i="12"/>
  <c r="K186" i="12"/>
  <c r="K185" i="12"/>
  <c r="K184" i="12"/>
  <c r="K182" i="12"/>
  <c r="K181" i="12"/>
  <c r="K180" i="12"/>
  <c r="K179" i="12"/>
  <c r="K178" i="12"/>
  <c r="K177" i="12"/>
  <c r="K175" i="12"/>
  <c r="K174" i="12"/>
  <c r="K173" i="12"/>
  <c r="K172" i="12"/>
  <c r="K171" i="12"/>
  <c r="K170" i="12"/>
  <c r="K169" i="12"/>
  <c r="K168" i="12"/>
  <c r="K167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43" i="12"/>
  <c r="K142" i="12"/>
  <c r="K141" i="12"/>
  <c r="K140" i="12"/>
  <c r="K138" i="12"/>
  <c r="K137" i="12"/>
  <c r="K136" i="12"/>
  <c r="K135" i="12"/>
  <c r="K133" i="12"/>
  <c r="K132" i="12"/>
  <c r="K131" i="12"/>
  <c r="K130" i="12"/>
  <c r="K128" i="12"/>
  <c r="K127" i="12"/>
  <c r="K126" i="12"/>
  <c r="K125" i="12"/>
  <c r="K122" i="12"/>
  <c r="K121" i="12"/>
  <c r="K116" i="12"/>
  <c r="K115" i="12"/>
  <c r="K114" i="12"/>
  <c r="K113" i="12"/>
  <c r="K110" i="12"/>
  <c r="K109" i="12"/>
  <c r="K108" i="12"/>
  <c r="K107" i="12"/>
  <c r="K104" i="12"/>
  <c r="K103" i="12"/>
  <c r="K102" i="12"/>
  <c r="K101" i="12"/>
  <c r="K98" i="12"/>
  <c r="K87" i="12"/>
  <c r="K86" i="12"/>
  <c r="K85" i="12"/>
  <c r="K84" i="12"/>
  <c r="K81" i="12"/>
  <c r="K80" i="12"/>
  <c r="K79" i="12"/>
  <c r="K78" i="12"/>
  <c r="K75" i="12"/>
  <c r="K74" i="12"/>
  <c r="K73" i="12"/>
  <c r="K72" i="12"/>
  <c r="K69" i="12"/>
  <c r="K68" i="12"/>
  <c r="K67" i="12"/>
  <c r="K66" i="12"/>
  <c r="K63" i="12"/>
  <c r="K61" i="12"/>
  <c r="K56" i="12"/>
  <c r="K55" i="12"/>
  <c r="K54" i="12"/>
  <c r="K52" i="12"/>
  <c r="K51" i="12"/>
  <c r="K50" i="12"/>
  <c r="K49" i="12"/>
  <c r="K44" i="12"/>
  <c r="K39" i="12"/>
  <c r="K37" i="12"/>
  <c r="K35" i="12"/>
  <c r="K33" i="12"/>
  <c r="K31" i="12"/>
  <c r="K29" i="12"/>
  <c r="K20" i="12"/>
  <c r="K19" i="12"/>
  <c r="K18" i="12"/>
  <c r="K17" i="12"/>
  <c r="K14" i="12"/>
  <c r="K13" i="12"/>
  <c r="K12" i="12"/>
  <c r="K11" i="12"/>
  <c r="K9" i="12"/>
  <c r="L247" i="12" l="1"/>
  <c r="L88" i="18"/>
  <c r="L21" i="18"/>
  <c r="L204" i="18"/>
  <c r="L216" i="12"/>
  <c r="L88" i="12"/>
  <c r="L91" i="12"/>
  <c r="L256" i="12" s="1"/>
  <c r="L258" i="12" s="1"/>
  <c r="L247" i="18"/>
  <c r="L139" i="12"/>
  <c r="L145" i="18"/>
  <c r="L139" i="18"/>
  <c r="L123" i="18"/>
  <c r="L76" i="18"/>
  <c r="L77" i="18" s="1"/>
  <c r="L83" i="18"/>
  <c r="L93" i="18"/>
  <c r="L263" i="18"/>
  <c r="L223" i="12"/>
  <c r="L210" i="18"/>
  <c r="L144" i="12"/>
  <c r="L134" i="18"/>
  <c r="L134" i="12"/>
  <c r="L123" i="12"/>
  <c r="L89" i="18"/>
  <c r="L144" i="18"/>
  <c r="L70" i="12"/>
  <c r="L71" i="12" s="1"/>
  <c r="L62" i="18"/>
  <c r="L147" i="18"/>
  <c r="L41" i="18"/>
  <c r="L42" i="18" s="1"/>
  <c r="L111" i="18"/>
  <c r="L229" i="18"/>
  <c r="L242" i="18"/>
  <c r="L92" i="12"/>
  <c r="L210" i="12"/>
  <c r="L236" i="12"/>
  <c r="L70" i="18"/>
  <c r="L129" i="18"/>
  <c r="L105" i="18"/>
  <c r="L117" i="18"/>
  <c r="L236" i="18"/>
  <c r="L148" i="18"/>
  <c r="L92" i="18"/>
  <c r="L15" i="18"/>
  <c r="L223" i="18"/>
  <c r="L216" i="18"/>
  <c r="L193" i="18"/>
  <c r="L146" i="18"/>
  <c r="L34" i="18"/>
  <c r="L91" i="18"/>
  <c r="L256" i="18" s="1"/>
  <c r="L258" i="18" s="1"/>
  <c r="L32" i="18"/>
  <c r="L45" i="18"/>
  <c r="L30" i="18"/>
  <c r="L38" i="18"/>
  <c r="L40" i="18"/>
  <c r="L263" i="12"/>
  <c r="L242" i="12"/>
  <c r="L229" i="12"/>
  <c r="L204" i="12"/>
  <c r="L193" i="12"/>
  <c r="L145" i="12"/>
  <c r="L148" i="12"/>
  <c r="L146" i="12"/>
  <c r="L147" i="12"/>
  <c r="L117" i="12"/>
  <c r="L111" i="12"/>
  <c r="L105" i="12"/>
  <c r="L90" i="12"/>
  <c r="L83" i="12"/>
  <c r="L76" i="12"/>
  <c r="L77" i="12" s="1"/>
  <c r="L93" i="12"/>
  <c r="L89" i="12"/>
  <c r="L129" i="12"/>
  <c r="L22" i="18" l="1"/>
  <c r="L24" i="18" s="1"/>
  <c r="L25" i="18" s="1"/>
  <c r="L230" i="12"/>
  <c r="L243" i="12" s="1"/>
  <c r="L118" i="12"/>
  <c r="L119" i="12" s="1"/>
  <c r="L94" i="12"/>
  <c r="L95" i="12" s="1"/>
  <c r="L255" i="12" s="1"/>
  <c r="L259" i="12" s="1"/>
  <c r="L118" i="18"/>
  <c r="L119" i="18" s="1"/>
  <c r="L230" i="18"/>
  <c r="L243" i="18" s="1"/>
  <c r="L94" i="18"/>
  <c r="L251" i="12"/>
  <c r="L217" i="18"/>
  <c r="L217" i="12"/>
  <c r="L250" i="12"/>
  <c r="L250" i="18"/>
  <c r="L251" i="18"/>
  <c r="L149" i="18"/>
  <c r="L149" i="12"/>
  <c r="L55" i="12" l="1"/>
  <c r="L56" i="12"/>
  <c r="L54" i="12"/>
  <c r="L50" i="12"/>
  <c r="L51" i="12"/>
  <c r="L52" i="12"/>
  <c r="L49" i="12"/>
  <c r="L44" i="12"/>
  <c r="L31" i="12"/>
  <c r="L33" i="12"/>
  <c r="L35" i="12"/>
  <c r="L36" i="12"/>
  <c r="L37" i="12"/>
  <c r="L39" i="12"/>
  <c r="L29" i="12"/>
  <c r="L41" i="12" s="1"/>
  <c r="L18" i="12"/>
  <c r="L19" i="12"/>
  <c r="L20" i="12"/>
  <c r="L17" i="12"/>
  <c r="L12" i="12"/>
  <c r="L13" i="12"/>
  <c r="L14" i="12"/>
  <c r="L11" i="12"/>
  <c r="L9" i="12"/>
  <c r="L62" i="12" s="1"/>
  <c r="E261" i="11"/>
  <c r="F261" i="11"/>
  <c r="G261" i="11"/>
  <c r="H261" i="11"/>
  <c r="I261" i="11"/>
  <c r="J261" i="11"/>
  <c r="K261" i="11"/>
  <c r="L261" i="11"/>
  <c r="M261" i="11"/>
  <c r="N261" i="11"/>
  <c r="O261" i="11"/>
  <c r="E262" i="11"/>
  <c r="F262" i="11"/>
  <c r="G262" i="11"/>
  <c r="H262" i="11"/>
  <c r="I262" i="11"/>
  <c r="J262" i="11"/>
  <c r="K262" i="11"/>
  <c r="L262" i="11"/>
  <c r="M262" i="11"/>
  <c r="N262" i="11"/>
  <c r="O262" i="11"/>
  <c r="D262" i="11"/>
  <c r="D261" i="11"/>
  <c r="E253" i="11"/>
  <c r="F253" i="11"/>
  <c r="G253" i="11"/>
  <c r="H253" i="11"/>
  <c r="I253" i="11"/>
  <c r="J253" i="11"/>
  <c r="K253" i="11"/>
  <c r="L253" i="11"/>
  <c r="M253" i="11"/>
  <c r="N253" i="11"/>
  <c r="O253" i="11"/>
  <c r="E254" i="11"/>
  <c r="F254" i="11"/>
  <c r="G254" i="11"/>
  <c r="H254" i="11"/>
  <c r="I254" i="11"/>
  <c r="J254" i="11"/>
  <c r="K254" i="11"/>
  <c r="L254" i="11"/>
  <c r="M254" i="11"/>
  <c r="N254" i="11"/>
  <c r="O254" i="11"/>
  <c r="E257" i="11"/>
  <c r="F257" i="11"/>
  <c r="G257" i="11"/>
  <c r="H257" i="11"/>
  <c r="I257" i="11"/>
  <c r="J257" i="11"/>
  <c r="K257" i="11"/>
  <c r="L257" i="11"/>
  <c r="M257" i="11"/>
  <c r="N257" i="11"/>
  <c r="O257" i="11"/>
  <c r="D254" i="11"/>
  <c r="D257" i="11"/>
  <c r="D253" i="11"/>
  <c r="F245" i="11"/>
  <c r="G245" i="11"/>
  <c r="H245" i="11"/>
  <c r="J245" i="11"/>
  <c r="K245" i="11"/>
  <c r="L245" i="11"/>
  <c r="M245" i="11"/>
  <c r="N245" i="11"/>
  <c r="O245" i="11"/>
  <c r="E246" i="11"/>
  <c r="F246" i="11"/>
  <c r="G246" i="11"/>
  <c r="H246" i="11"/>
  <c r="I246" i="11"/>
  <c r="J246" i="11"/>
  <c r="K246" i="11"/>
  <c r="L246" i="11"/>
  <c r="M246" i="11"/>
  <c r="N246" i="11"/>
  <c r="O246" i="11"/>
  <c r="E238" i="11"/>
  <c r="F238" i="11"/>
  <c r="G238" i="11"/>
  <c r="H238" i="11"/>
  <c r="I238" i="11"/>
  <c r="J238" i="11"/>
  <c r="K238" i="11"/>
  <c r="L238" i="11"/>
  <c r="M238" i="11"/>
  <c r="N238" i="11"/>
  <c r="O238" i="11"/>
  <c r="E239" i="11"/>
  <c r="F239" i="11"/>
  <c r="G239" i="11"/>
  <c r="H239" i="11"/>
  <c r="I239" i="11"/>
  <c r="J239" i="11"/>
  <c r="K239" i="11"/>
  <c r="L239" i="11"/>
  <c r="M239" i="11"/>
  <c r="N239" i="11"/>
  <c r="O239" i="11"/>
  <c r="E240" i="11"/>
  <c r="F240" i="11"/>
  <c r="G240" i="11"/>
  <c r="H240" i="11"/>
  <c r="I240" i="11"/>
  <c r="J240" i="11"/>
  <c r="K240" i="11"/>
  <c r="L240" i="11"/>
  <c r="M240" i="11"/>
  <c r="N240" i="11"/>
  <c r="O240" i="11"/>
  <c r="E241" i="11"/>
  <c r="F241" i="11"/>
  <c r="G241" i="11"/>
  <c r="H241" i="11"/>
  <c r="I241" i="11"/>
  <c r="J241" i="11"/>
  <c r="K241" i="11"/>
  <c r="L241" i="11"/>
  <c r="M241" i="11"/>
  <c r="N241" i="11"/>
  <c r="O241" i="11"/>
  <c r="D239" i="11"/>
  <c r="D240" i="11"/>
  <c r="D241" i="11"/>
  <c r="D238" i="11"/>
  <c r="E232" i="11"/>
  <c r="F232" i="11"/>
  <c r="G232" i="11"/>
  <c r="H232" i="11"/>
  <c r="I232" i="11"/>
  <c r="J232" i="11"/>
  <c r="K232" i="11"/>
  <c r="L232" i="11"/>
  <c r="M232" i="11"/>
  <c r="N232" i="11"/>
  <c r="O232" i="11"/>
  <c r="E233" i="11"/>
  <c r="F233" i="11"/>
  <c r="G233" i="11"/>
  <c r="H233" i="11"/>
  <c r="I233" i="11"/>
  <c r="J233" i="11"/>
  <c r="K233" i="11"/>
  <c r="L233" i="11"/>
  <c r="M233" i="11"/>
  <c r="N233" i="11"/>
  <c r="O233" i="11"/>
  <c r="E234" i="11"/>
  <c r="F234" i="11"/>
  <c r="G234" i="11"/>
  <c r="H234" i="11"/>
  <c r="I234" i="11"/>
  <c r="J234" i="11"/>
  <c r="K234" i="11"/>
  <c r="L234" i="11"/>
  <c r="M234" i="11"/>
  <c r="N234" i="11"/>
  <c r="O234" i="11"/>
  <c r="E235" i="11"/>
  <c r="F235" i="11"/>
  <c r="G235" i="11"/>
  <c r="H235" i="11"/>
  <c r="I235" i="11"/>
  <c r="J235" i="11"/>
  <c r="K235" i="11"/>
  <c r="L235" i="11"/>
  <c r="M235" i="11"/>
  <c r="N235" i="11"/>
  <c r="O235" i="11"/>
  <c r="D233" i="11"/>
  <c r="D234" i="11"/>
  <c r="D235" i="11"/>
  <c r="D232" i="11"/>
  <c r="E225" i="11"/>
  <c r="F225" i="11"/>
  <c r="G225" i="11"/>
  <c r="H225" i="11"/>
  <c r="I225" i="11"/>
  <c r="J225" i="11"/>
  <c r="K225" i="11"/>
  <c r="L225" i="11"/>
  <c r="M225" i="11"/>
  <c r="N225" i="11"/>
  <c r="O225" i="11"/>
  <c r="E226" i="11"/>
  <c r="F226" i="11"/>
  <c r="G226" i="11"/>
  <c r="H226" i="11"/>
  <c r="I226" i="11"/>
  <c r="J226" i="11"/>
  <c r="K226" i="11"/>
  <c r="L226" i="11"/>
  <c r="M226" i="11"/>
  <c r="N226" i="11"/>
  <c r="O226" i="11"/>
  <c r="E227" i="11"/>
  <c r="F227" i="11"/>
  <c r="G227" i="11"/>
  <c r="H227" i="11"/>
  <c r="I227" i="11"/>
  <c r="J227" i="11"/>
  <c r="K227" i="11"/>
  <c r="L227" i="11"/>
  <c r="M227" i="11"/>
  <c r="N227" i="11"/>
  <c r="O227" i="11"/>
  <c r="E228" i="11"/>
  <c r="F228" i="11"/>
  <c r="G228" i="11"/>
  <c r="H228" i="11"/>
  <c r="I228" i="11"/>
  <c r="J228" i="11"/>
  <c r="K228" i="11"/>
  <c r="L228" i="11"/>
  <c r="M228" i="11"/>
  <c r="N228" i="11"/>
  <c r="O228" i="11"/>
  <c r="D226" i="11"/>
  <c r="D227" i="11"/>
  <c r="D228" i="11"/>
  <c r="D225" i="11"/>
  <c r="E219" i="11"/>
  <c r="F219" i="11"/>
  <c r="G219" i="11"/>
  <c r="H219" i="11"/>
  <c r="I219" i="11"/>
  <c r="J219" i="11"/>
  <c r="K219" i="11"/>
  <c r="L219" i="11"/>
  <c r="M219" i="11"/>
  <c r="N219" i="11"/>
  <c r="O219" i="11"/>
  <c r="E220" i="11"/>
  <c r="F220" i="11"/>
  <c r="G220" i="11"/>
  <c r="H220" i="11"/>
  <c r="I220" i="11"/>
  <c r="J220" i="11"/>
  <c r="K220" i="11"/>
  <c r="L220" i="11"/>
  <c r="M220" i="11"/>
  <c r="N220" i="11"/>
  <c r="O220" i="11"/>
  <c r="E221" i="11"/>
  <c r="F221" i="11"/>
  <c r="G221" i="11"/>
  <c r="H221" i="11"/>
  <c r="I221" i="11"/>
  <c r="J221" i="11"/>
  <c r="K221" i="11"/>
  <c r="L221" i="11"/>
  <c r="M221" i="11"/>
  <c r="N221" i="11"/>
  <c r="O221" i="11"/>
  <c r="E222" i="11"/>
  <c r="F222" i="11"/>
  <c r="G222" i="11"/>
  <c r="H222" i="11"/>
  <c r="I222" i="11"/>
  <c r="J222" i="11"/>
  <c r="K222" i="11"/>
  <c r="L222" i="11"/>
  <c r="M222" i="11"/>
  <c r="N222" i="11"/>
  <c r="O222" i="11"/>
  <c r="D220" i="11"/>
  <c r="D221" i="11"/>
  <c r="D219" i="11"/>
  <c r="E212" i="11"/>
  <c r="F212" i="11"/>
  <c r="G212" i="11"/>
  <c r="H212" i="11"/>
  <c r="I212" i="11"/>
  <c r="J212" i="11"/>
  <c r="K212" i="11"/>
  <c r="L212" i="11"/>
  <c r="M212" i="11"/>
  <c r="N212" i="11"/>
  <c r="O212" i="11"/>
  <c r="E213" i="11"/>
  <c r="F213" i="11"/>
  <c r="G213" i="11"/>
  <c r="H213" i="11"/>
  <c r="I213" i="11"/>
  <c r="J213" i="11"/>
  <c r="K213" i="11"/>
  <c r="L213" i="11"/>
  <c r="M213" i="11"/>
  <c r="N213" i="11"/>
  <c r="O213" i="11"/>
  <c r="E214" i="11"/>
  <c r="F214" i="11"/>
  <c r="G214" i="11"/>
  <c r="H214" i="11"/>
  <c r="I214" i="11"/>
  <c r="J214" i="11"/>
  <c r="K214" i="11"/>
  <c r="L214" i="11"/>
  <c r="M214" i="11"/>
  <c r="N214" i="11"/>
  <c r="O214" i="11"/>
  <c r="E215" i="11"/>
  <c r="F215" i="11"/>
  <c r="G215" i="11"/>
  <c r="H215" i="11"/>
  <c r="I215" i="11"/>
  <c r="J215" i="11"/>
  <c r="K215" i="11"/>
  <c r="L215" i="11"/>
  <c r="M215" i="11"/>
  <c r="N215" i="11"/>
  <c r="O215" i="11"/>
  <c r="D213" i="11"/>
  <c r="D214" i="11"/>
  <c r="D215" i="11"/>
  <c r="D212" i="11"/>
  <c r="E206" i="11"/>
  <c r="F206" i="11"/>
  <c r="G206" i="11"/>
  <c r="H206" i="11"/>
  <c r="I206" i="11"/>
  <c r="J206" i="11"/>
  <c r="K206" i="11"/>
  <c r="L206" i="11"/>
  <c r="M206" i="11"/>
  <c r="N206" i="11"/>
  <c r="O206" i="11"/>
  <c r="E207" i="11"/>
  <c r="F207" i="11"/>
  <c r="G207" i="11"/>
  <c r="H207" i="11"/>
  <c r="I207" i="11"/>
  <c r="J207" i="11"/>
  <c r="K207" i="11"/>
  <c r="L207" i="11"/>
  <c r="M207" i="11"/>
  <c r="N207" i="11"/>
  <c r="O207" i="11"/>
  <c r="E208" i="11"/>
  <c r="F208" i="11"/>
  <c r="G208" i="11"/>
  <c r="H208" i="11"/>
  <c r="I208" i="11"/>
  <c r="J208" i="11"/>
  <c r="K208" i="11"/>
  <c r="L208" i="11"/>
  <c r="M208" i="11"/>
  <c r="N208" i="11"/>
  <c r="O208" i="11"/>
  <c r="E209" i="11"/>
  <c r="F209" i="11"/>
  <c r="G209" i="11"/>
  <c r="H209" i="11"/>
  <c r="I209" i="11"/>
  <c r="J209" i="11"/>
  <c r="K209" i="11"/>
  <c r="L209" i="11"/>
  <c r="M209" i="11"/>
  <c r="N209" i="11"/>
  <c r="O209" i="11"/>
  <c r="D207" i="11"/>
  <c r="D208" i="11"/>
  <c r="D209" i="11"/>
  <c r="D206" i="11"/>
  <c r="E199" i="11"/>
  <c r="F199" i="11"/>
  <c r="G199" i="11"/>
  <c r="H199" i="11"/>
  <c r="I199" i="11"/>
  <c r="J199" i="11"/>
  <c r="K199" i="11"/>
  <c r="L199" i="11"/>
  <c r="M199" i="11"/>
  <c r="N199" i="11"/>
  <c r="O199" i="11"/>
  <c r="E200" i="11"/>
  <c r="F200" i="11"/>
  <c r="G200" i="11"/>
  <c r="H200" i="11"/>
  <c r="I200" i="11"/>
  <c r="J200" i="11"/>
  <c r="K200" i="11"/>
  <c r="L200" i="11"/>
  <c r="M200" i="11"/>
  <c r="N200" i="11"/>
  <c r="O200" i="11"/>
  <c r="E201" i="11"/>
  <c r="F201" i="11"/>
  <c r="G201" i="11"/>
  <c r="H201" i="11"/>
  <c r="I201" i="11"/>
  <c r="J201" i="11"/>
  <c r="K201" i="11"/>
  <c r="L201" i="11"/>
  <c r="M201" i="11"/>
  <c r="N201" i="11"/>
  <c r="O201" i="11"/>
  <c r="E202" i="11"/>
  <c r="F202" i="11"/>
  <c r="G202" i="11"/>
  <c r="H202" i="11"/>
  <c r="I202" i="11"/>
  <c r="J202" i="11"/>
  <c r="K202" i="11"/>
  <c r="L202" i="11"/>
  <c r="M202" i="11"/>
  <c r="N202" i="11"/>
  <c r="O202" i="11"/>
  <c r="E203" i="11"/>
  <c r="F203" i="11"/>
  <c r="G203" i="11"/>
  <c r="H203" i="11"/>
  <c r="I203" i="11"/>
  <c r="J203" i="11"/>
  <c r="K203" i="11"/>
  <c r="L203" i="11"/>
  <c r="M203" i="11"/>
  <c r="N203" i="11"/>
  <c r="O203" i="11"/>
  <c r="D200" i="11"/>
  <c r="D201" i="11"/>
  <c r="D202" i="11"/>
  <c r="D203" i="11"/>
  <c r="D199" i="11"/>
  <c r="E194" i="11"/>
  <c r="F194" i="11"/>
  <c r="G194" i="11"/>
  <c r="H194" i="11"/>
  <c r="I194" i="11"/>
  <c r="J194" i="11"/>
  <c r="K194" i="11"/>
  <c r="L194" i="11"/>
  <c r="M194" i="11"/>
  <c r="N194" i="11"/>
  <c r="O194" i="11"/>
  <c r="E195" i="11"/>
  <c r="F195" i="11"/>
  <c r="G195" i="11"/>
  <c r="H195" i="11"/>
  <c r="I195" i="11"/>
  <c r="J195" i="11"/>
  <c r="K195" i="11"/>
  <c r="L195" i="11"/>
  <c r="M195" i="11"/>
  <c r="N195" i="11"/>
  <c r="O195" i="11"/>
  <c r="E196" i="11"/>
  <c r="F196" i="11"/>
  <c r="H196" i="11"/>
  <c r="I196" i="11"/>
  <c r="J196" i="11"/>
  <c r="K196" i="11"/>
  <c r="L196" i="11"/>
  <c r="M196" i="11"/>
  <c r="N196" i="11"/>
  <c r="O196" i="11"/>
  <c r="E197" i="11"/>
  <c r="F197" i="11"/>
  <c r="G197" i="11"/>
  <c r="H197" i="11"/>
  <c r="I197" i="11"/>
  <c r="J197" i="11"/>
  <c r="K197" i="11"/>
  <c r="L197" i="11"/>
  <c r="M197" i="11"/>
  <c r="N197" i="11"/>
  <c r="O197" i="11"/>
  <c r="D195" i="11"/>
  <c r="D196" i="11"/>
  <c r="D197" i="11"/>
  <c r="D194" i="11"/>
  <c r="E189" i="11"/>
  <c r="F189" i="11"/>
  <c r="G189" i="11"/>
  <c r="H189" i="11"/>
  <c r="I189" i="11"/>
  <c r="J189" i="11"/>
  <c r="K189" i="11"/>
  <c r="L189" i="11"/>
  <c r="M189" i="11"/>
  <c r="N189" i="11"/>
  <c r="O189" i="11"/>
  <c r="E190" i="11"/>
  <c r="F190" i="11"/>
  <c r="G190" i="11"/>
  <c r="H190" i="11"/>
  <c r="I190" i="11"/>
  <c r="J190" i="11"/>
  <c r="K190" i="11"/>
  <c r="L190" i="11"/>
  <c r="M190" i="11"/>
  <c r="N190" i="11"/>
  <c r="O190" i="11"/>
  <c r="E191" i="11"/>
  <c r="F191" i="11"/>
  <c r="G191" i="11"/>
  <c r="H191" i="11"/>
  <c r="I191" i="11"/>
  <c r="J191" i="11"/>
  <c r="K191" i="11"/>
  <c r="L191" i="11"/>
  <c r="M191" i="11"/>
  <c r="N191" i="11"/>
  <c r="O191" i="11"/>
  <c r="E192" i="11"/>
  <c r="F192" i="11"/>
  <c r="G192" i="11"/>
  <c r="H192" i="11"/>
  <c r="I192" i="11"/>
  <c r="J192" i="11"/>
  <c r="K192" i="11"/>
  <c r="L192" i="11"/>
  <c r="M192" i="11"/>
  <c r="N192" i="11"/>
  <c r="O192" i="11"/>
  <c r="D190" i="11"/>
  <c r="D191" i="11"/>
  <c r="D192" i="11"/>
  <c r="D189" i="11"/>
  <c r="E184" i="11"/>
  <c r="F184" i="11"/>
  <c r="G184" i="11"/>
  <c r="H184" i="11"/>
  <c r="I184" i="11"/>
  <c r="J184" i="11"/>
  <c r="K184" i="11"/>
  <c r="L184" i="11"/>
  <c r="M184" i="11"/>
  <c r="N184" i="11"/>
  <c r="O184" i="11"/>
  <c r="E185" i="11"/>
  <c r="F185" i="11"/>
  <c r="G185" i="11"/>
  <c r="H185" i="11"/>
  <c r="I185" i="11"/>
  <c r="J185" i="11"/>
  <c r="K185" i="11"/>
  <c r="L185" i="11"/>
  <c r="M185" i="11"/>
  <c r="N185" i="11"/>
  <c r="O185" i="11"/>
  <c r="E186" i="11"/>
  <c r="F186" i="11"/>
  <c r="G186" i="11"/>
  <c r="H186" i="11"/>
  <c r="I186" i="11"/>
  <c r="J186" i="11"/>
  <c r="K186" i="11"/>
  <c r="L186" i="11"/>
  <c r="M186" i="11"/>
  <c r="N186" i="11"/>
  <c r="O186" i="11"/>
  <c r="E187" i="11"/>
  <c r="F187" i="11"/>
  <c r="G187" i="11"/>
  <c r="H187" i="11"/>
  <c r="I187" i="11"/>
  <c r="J187" i="11"/>
  <c r="K187" i="11"/>
  <c r="L187" i="11"/>
  <c r="M187" i="11"/>
  <c r="N187" i="11"/>
  <c r="O187" i="11"/>
  <c r="D185" i="11"/>
  <c r="D186" i="11"/>
  <c r="D187" i="11"/>
  <c r="D184" i="11"/>
  <c r="E177" i="11"/>
  <c r="F177" i="11"/>
  <c r="G177" i="11"/>
  <c r="H177" i="11"/>
  <c r="I177" i="11"/>
  <c r="J177" i="11"/>
  <c r="K177" i="11"/>
  <c r="L177" i="11"/>
  <c r="M177" i="11"/>
  <c r="N177" i="11"/>
  <c r="O177" i="11"/>
  <c r="E178" i="11"/>
  <c r="F178" i="11"/>
  <c r="G178" i="11"/>
  <c r="H178" i="11"/>
  <c r="I178" i="11"/>
  <c r="J178" i="11"/>
  <c r="K178" i="11"/>
  <c r="L178" i="11"/>
  <c r="M178" i="11"/>
  <c r="N178" i="11"/>
  <c r="O178" i="11"/>
  <c r="E179" i="11"/>
  <c r="F179" i="11"/>
  <c r="G179" i="11"/>
  <c r="H179" i="11"/>
  <c r="I179" i="11"/>
  <c r="J179" i="11"/>
  <c r="K179" i="11"/>
  <c r="L179" i="11"/>
  <c r="M179" i="11"/>
  <c r="N179" i="11"/>
  <c r="O179" i="11"/>
  <c r="E180" i="11"/>
  <c r="F180" i="11"/>
  <c r="G180" i="11"/>
  <c r="H180" i="11"/>
  <c r="I180" i="11"/>
  <c r="J180" i="11"/>
  <c r="K180" i="11"/>
  <c r="L180" i="11"/>
  <c r="M180" i="11"/>
  <c r="N180" i="11"/>
  <c r="O180" i="11"/>
  <c r="E181" i="11"/>
  <c r="F181" i="11"/>
  <c r="G181" i="11"/>
  <c r="H181" i="11"/>
  <c r="I181" i="11"/>
  <c r="J181" i="11"/>
  <c r="K181" i="11"/>
  <c r="L181" i="11"/>
  <c r="M181" i="11"/>
  <c r="N181" i="11"/>
  <c r="O181" i="11"/>
  <c r="E182" i="11"/>
  <c r="F182" i="11"/>
  <c r="G182" i="11"/>
  <c r="H182" i="11"/>
  <c r="I182" i="11"/>
  <c r="J182" i="11"/>
  <c r="K182" i="11"/>
  <c r="L182" i="11"/>
  <c r="M182" i="11"/>
  <c r="N182" i="11"/>
  <c r="O182" i="11"/>
  <c r="D178" i="11"/>
  <c r="D179" i="11"/>
  <c r="D180" i="11"/>
  <c r="D181" i="11"/>
  <c r="D182" i="11"/>
  <c r="D177" i="11"/>
  <c r="E167" i="11"/>
  <c r="F167" i="11"/>
  <c r="G167" i="11"/>
  <c r="H167" i="11"/>
  <c r="I167" i="11"/>
  <c r="J167" i="11"/>
  <c r="K167" i="11"/>
  <c r="L167" i="11"/>
  <c r="M167" i="11"/>
  <c r="N167" i="11"/>
  <c r="O167" i="11"/>
  <c r="E168" i="11"/>
  <c r="F168" i="11"/>
  <c r="G168" i="11"/>
  <c r="H168" i="11"/>
  <c r="I168" i="11"/>
  <c r="J168" i="11"/>
  <c r="K168" i="11"/>
  <c r="L168" i="11"/>
  <c r="M168" i="11"/>
  <c r="N168" i="11"/>
  <c r="O168" i="11"/>
  <c r="E169" i="11"/>
  <c r="F169" i="11"/>
  <c r="G169" i="11"/>
  <c r="H169" i="11"/>
  <c r="I169" i="11"/>
  <c r="J169" i="11"/>
  <c r="K169" i="11"/>
  <c r="L169" i="11"/>
  <c r="M169" i="11"/>
  <c r="N169" i="11"/>
  <c r="O169" i="11"/>
  <c r="E170" i="11"/>
  <c r="F170" i="11"/>
  <c r="G170" i="11"/>
  <c r="H170" i="11"/>
  <c r="I170" i="11"/>
  <c r="J170" i="11"/>
  <c r="K170" i="11"/>
  <c r="L170" i="11"/>
  <c r="M170" i="11"/>
  <c r="N170" i="11"/>
  <c r="O170" i="11"/>
  <c r="E171" i="11"/>
  <c r="F171" i="11"/>
  <c r="G171" i="11"/>
  <c r="H171" i="11"/>
  <c r="I171" i="11"/>
  <c r="J171" i="11"/>
  <c r="K171" i="11"/>
  <c r="L171" i="11"/>
  <c r="M171" i="11"/>
  <c r="N171" i="11"/>
  <c r="O171" i="11"/>
  <c r="E172" i="11"/>
  <c r="F172" i="11"/>
  <c r="G172" i="11"/>
  <c r="H172" i="11"/>
  <c r="I172" i="11"/>
  <c r="J172" i="11"/>
  <c r="K172" i="11"/>
  <c r="L172" i="11"/>
  <c r="M172" i="11"/>
  <c r="N172" i="11"/>
  <c r="O172" i="11"/>
  <c r="E173" i="11"/>
  <c r="F173" i="11"/>
  <c r="G173" i="11"/>
  <c r="H173" i="11"/>
  <c r="I173" i="11"/>
  <c r="J173" i="11"/>
  <c r="K173" i="11"/>
  <c r="L173" i="11"/>
  <c r="M173" i="11"/>
  <c r="N173" i="11"/>
  <c r="O173" i="11"/>
  <c r="E174" i="11"/>
  <c r="F174" i="11"/>
  <c r="G174" i="11"/>
  <c r="H174" i="11"/>
  <c r="I174" i="11"/>
  <c r="J174" i="11"/>
  <c r="K174" i="11"/>
  <c r="L174" i="11"/>
  <c r="M174" i="11"/>
  <c r="N174" i="11"/>
  <c r="O174" i="11"/>
  <c r="E175" i="11"/>
  <c r="F175" i="11"/>
  <c r="G175" i="11"/>
  <c r="H175" i="11"/>
  <c r="I175" i="11"/>
  <c r="J175" i="11"/>
  <c r="K175" i="11"/>
  <c r="L175" i="11"/>
  <c r="M175" i="11"/>
  <c r="N175" i="11"/>
  <c r="O175" i="11"/>
  <c r="D168" i="11"/>
  <c r="D169" i="11"/>
  <c r="D170" i="11"/>
  <c r="D171" i="11"/>
  <c r="D172" i="11"/>
  <c r="D173" i="11"/>
  <c r="D174" i="11"/>
  <c r="D175" i="11"/>
  <c r="D167" i="11"/>
  <c r="E153" i="11"/>
  <c r="F153" i="11"/>
  <c r="G153" i="11"/>
  <c r="H153" i="11"/>
  <c r="I153" i="11"/>
  <c r="J153" i="11"/>
  <c r="K153" i="11"/>
  <c r="L153" i="11"/>
  <c r="M153" i="11"/>
  <c r="N153" i="11"/>
  <c r="O153" i="11"/>
  <c r="E154" i="11"/>
  <c r="F154" i="11"/>
  <c r="G154" i="11"/>
  <c r="H154" i="11"/>
  <c r="I154" i="11"/>
  <c r="J154" i="11"/>
  <c r="K154" i="11"/>
  <c r="L154" i="11"/>
  <c r="M154" i="11"/>
  <c r="N154" i="11"/>
  <c r="O154" i="11"/>
  <c r="E155" i="11"/>
  <c r="F155" i="11"/>
  <c r="G155" i="11"/>
  <c r="H155" i="11"/>
  <c r="I155" i="11"/>
  <c r="J155" i="11"/>
  <c r="K155" i="11"/>
  <c r="L155" i="11"/>
  <c r="M155" i="11"/>
  <c r="N155" i="11"/>
  <c r="O155" i="11"/>
  <c r="E156" i="11"/>
  <c r="F156" i="11"/>
  <c r="G156" i="11"/>
  <c r="H156" i="11"/>
  <c r="I156" i="11"/>
  <c r="J156" i="11"/>
  <c r="K156" i="11"/>
  <c r="L156" i="11"/>
  <c r="M156" i="11"/>
  <c r="N156" i="11"/>
  <c r="O156" i="11"/>
  <c r="E157" i="11"/>
  <c r="F157" i="11"/>
  <c r="G157" i="11"/>
  <c r="H157" i="11"/>
  <c r="I157" i="11"/>
  <c r="J157" i="11"/>
  <c r="K157" i="11"/>
  <c r="L157" i="11"/>
  <c r="M157" i="11"/>
  <c r="N157" i="11"/>
  <c r="O157" i="11"/>
  <c r="E158" i="11"/>
  <c r="F158" i="11"/>
  <c r="G158" i="11"/>
  <c r="H158" i="11"/>
  <c r="I158" i="11"/>
  <c r="J158" i="11"/>
  <c r="K158" i="11"/>
  <c r="L158" i="11"/>
  <c r="M158" i="11"/>
  <c r="N158" i="11"/>
  <c r="O158" i="11"/>
  <c r="E159" i="11"/>
  <c r="F159" i="11"/>
  <c r="G159" i="11"/>
  <c r="H159" i="11"/>
  <c r="I159" i="11"/>
  <c r="J159" i="11"/>
  <c r="K159" i="11"/>
  <c r="L159" i="11"/>
  <c r="M159" i="11"/>
  <c r="N159" i="11"/>
  <c r="O159" i="11"/>
  <c r="E160" i="11"/>
  <c r="F160" i="11"/>
  <c r="G160" i="11"/>
  <c r="H160" i="11"/>
  <c r="I160" i="11"/>
  <c r="J160" i="11"/>
  <c r="K160" i="11"/>
  <c r="L160" i="11"/>
  <c r="M160" i="11"/>
  <c r="N160" i="11"/>
  <c r="O160" i="11"/>
  <c r="E161" i="11"/>
  <c r="F161" i="11"/>
  <c r="G161" i="11"/>
  <c r="H161" i="11"/>
  <c r="I161" i="11"/>
  <c r="J161" i="11"/>
  <c r="K161" i="11"/>
  <c r="L161" i="11"/>
  <c r="M161" i="11"/>
  <c r="N161" i="11"/>
  <c r="O161" i="11"/>
  <c r="E162" i="11"/>
  <c r="F162" i="11"/>
  <c r="G162" i="11"/>
  <c r="H162" i="11"/>
  <c r="I162" i="11"/>
  <c r="J162" i="11"/>
  <c r="K162" i="11"/>
  <c r="L162" i="11"/>
  <c r="M162" i="11"/>
  <c r="N162" i="11"/>
  <c r="O162" i="11"/>
  <c r="E163" i="11"/>
  <c r="F163" i="11"/>
  <c r="G163" i="11"/>
  <c r="H163" i="11"/>
  <c r="I163" i="11"/>
  <c r="J163" i="11"/>
  <c r="K163" i="11"/>
  <c r="L163" i="11"/>
  <c r="M163" i="11"/>
  <c r="N163" i="11"/>
  <c r="O163" i="11"/>
  <c r="E164" i="11"/>
  <c r="F164" i="11"/>
  <c r="G164" i="11"/>
  <c r="H164" i="11"/>
  <c r="I164" i="11"/>
  <c r="J164" i="11"/>
  <c r="K164" i="11"/>
  <c r="L164" i="11"/>
  <c r="M164" i="11"/>
  <c r="N164" i="11"/>
  <c r="O164" i="11"/>
  <c r="E165" i="11"/>
  <c r="F165" i="11"/>
  <c r="G165" i="11"/>
  <c r="H165" i="11"/>
  <c r="I165" i="11"/>
  <c r="J165" i="11"/>
  <c r="K165" i="11"/>
  <c r="L165" i="11"/>
  <c r="M165" i="11"/>
  <c r="N165" i="11"/>
  <c r="O165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53" i="11"/>
  <c r="E141" i="11"/>
  <c r="F141" i="11"/>
  <c r="G141" i="11"/>
  <c r="H141" i="11"/>
  <c r="I141" i="11"/>
  <c r="J141" i="11"/>
  <c r="K141" i="11"/>
  <c r="L141" i="11"/>
  <c r="M141" i="11"/>
  <c r="N141" i="11"/>
  <c r="O141" i="11"/>
  <c r="E142" i="11"/>
  <c r="F142" i="11"/>
  <c r="G142" i="11"/>
  <c r="H142" i="11"/>
  <c r="I142" i="11"/>
  <c r="J142" i="11"/>
  <c r="K142" i="11"/>
  <c r="L142" i="11"/>
  <c r="M142" i="11"/>
  <c r="N142" i="11"/>
  <c r="O142" i="11"/>
  <c r="E143" i="11"/>
  <c r="F143" i="11"/>
  <c r="G143" i="11"/>
  <c r="H143" i="11"/>
  <c r="I143" i="11"/>
  <c r="J143" i="11"/>
  <c r="K143" i="11"/>
  <c r="L143" i="11"/>
  <c r="M143" i="11"/>
  <c r="N143" i="11"/>
  <c r="O143" i="11"/>
  <c r="D141" i="11"/>
  <c r="D142" i="11"/>
  <c r="D143" i="11"/>
  <c r="F135" i="11"/>
  <c r="I135" i="11"/>
  <c r="J135" i="11"/>
  <c r="K135" i="11"/>
  <c r="L135" i="11"/>
  <c r="M135" i="11"/>
  <c r="N135" i="11"/>
  <c r="O135" i="11"/>
  <c r="E136" i="11"/>
  <c r="F136" i="11"/>
  <c r="G136" i="11"/>
  <c r="H136" i="11"/>
  <c r="I136" i="11"/>
  <c r="J136" i="11"/>
  <c r="K136" i="11"/>
  <c r="L136" i="11"/>
  <c r="M136" i="11"/>
  <c r="N136" i="11"/>
  <c r="O136" i="11"/>
  <c r="E137" i="11"/>
  <c r="F137" i="11"/>
  <c r="G137" i="11"/>
  <c r="H137" i="11"/>
  <c r="I137" i="11"/>
  <c r="J137" i="11"/>
  <c r="K137" i="11"/>
  <c r="L137" i="11"/>
  <c r="M137" i="11"/>
  <c r="N137" i="11"/>
  <c r="O137" i="11"/>
  <c r="E138" i="11"/>
  <c r="F138" i="11"/>
  <c r="G138" i="11"/>
  <c r="H138" i="11"/>
  <c r="I138" i="11"/>
  <c r="J138" i="11"/>
  <c r="K138" i="11"/>
  <c r="L138" i="11"/>
  <c r="M138" i="11"/>
  <c r="N138" i="11"/>
  <c r="O138" i="11"/>
  <c r="D136" i="11"/>
  <c r="D137" i="11"/>
  <c r="D138" i="11"/>
  <c r="D135" i="11"/>
  <c r="I130" i="11"/>
  <c r="J130" i="11"/>
  <c r="K130" i="11"/>
  <c r="L130" i="11"/>
  <c r="M130" i="11"/>
  <c r="N130" i="11"/>
  <c r="O130" i="11"/>
  <c r="E131" i="11"/>
  <c r="F131" i="11"/>
  <c r="G131" i="11"/>
  <c r="H131" i="11"/>
  <c r="I131" i="11"/>
  <c r="J131" i="11"/>
  <c r="K131" i="11"/>
  <c r="L131" i="11"/>
  <c r="M131" i="11"/>
  <c r="N131" i="11"/>
  <c r="O131" i="11"/>
  <c r="E132" i="11"/>
  <c r="F132" i="11"/>
  <c r="G132" i="11"/>
  <c r="H132" i="11"/>
  <c r="I132" i="11"/>
  <c r="J132" i="11"/>
  <c r="K132" i="11"/>
  <c r="L132" i="11"/>
  <c r="M132" i="11"/>
  <c r="N132" i="11"/>
  <c r="O132" i="11"/>
  <c r="E133" i="11"/>
  <c r="F133" i="11"/>
  <c r="G133" i="11"/>
  <c r="H133" i="11"/>
  <c r="I133" i="11"/>
  <c r="J133" i="11"/>
  <c r="K133" i="11"/>
  <c r="L133" i="11"/>
  <c r="M133" i="11"/>
  <c r="N133" i="11"/>
  <c r="O133" i="11"/>
  <c r="D131" i="11"/>
  <c r="D132" i="11"/>
  <c r="D133" i="11"/>
  <c r="D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D126" i="11"/>
  <c r="D127" i="11"/>
  <c r="D128" i="11"/>
  <c r="E125" i="11"/>
  <c r="I125" i="11"/>
  <c r="J125" i="11"/>
  <c r="K125" i="11"/>
  <c r="M125" i="11"/>
  <c r="N125" i="11"/>
  <c r="O125" i="11"/>
  <c r="D125" i="11"/>
  <c r="E122" i="11"/>
  <c r="F122" i="11"/>
  <c r="G122" i="11"/>
  <c r="H122" i="11"/>
  <c r="I122" i="11"/>
  <c r="J122" i="11"/>
  <c r="K122" i="11"/>
  <c r="L122" i="11"/>
  <c r="M122" i="11"/>
  <c r="N122" i="11"/>
  <c r="O122" i="11"/>
  <c r="D122" i="11"/>
  <c r="E121" i="11"/>
  <c r="F121" i="11"/>
  <c r="G121" i="11"/>
  <c r="H121" i="11"/>
  <c r="I121" i="11"/>
  <c r="J121" i="11"/>
  <c r="K121" i="11"/>
  <c r="L121" i="11"/>
  <c r="M121" i="11"/>
  <c r="N121" i="11"/>
  <c r="O121" i="11"/>
  <c r="D121" i="11"/>
  <c r="E116" i="11"/>
  <c r="F116" i="11"/>
  <c r="G116" i="11"/>
  <c r="H116" i="11"/>
  <c r="I116" i="11"/>
  <c r="J116" i="11"/>
  <c r="K116" i="11"/>
  <c r="L116" i="11"/>
  <c r="M116" i="11"/>
  <c r="N116" i="11"/>
  <c r="O116" i="11"/>
  <c r="E115" i="11"/>
  <c r="F115" i="11"/>
  <c r="G115" i="11"/>
  <c r="H115" i="11"/>
  <c r="I115" i="11"/>
  <c r="J115" i="11"/>
  <c r="K115" i="11"/>
  <c r="L115" i="11"/>
  <c r="M115" i="11"/>
  <c r="N115" i="11"/>
  <c r="O115" i="11"/>
  <c r="F114" i="11"/>
  <c r="G114" i="11"/>
  <c r="H114" i="11"/>
  <c r="I114" i="11"/>
  <c r="J114" i="11"/>
  <c r="K114" i="11"/>
  <c r="L114" i="11"/>
  <c r="M114" i="11"/>
  <c r="N114" i="11"/>
  <c r="O114" i="11"/>
  <c r="F113" i="11"/>
  <c r="G113" i="11"/>
  <c r="H113" i="11"/>
  <c r="I113" i="11"/>
  <c r="J113" i="11"/>
  <c r="K113" i="11"/>
  <c r="L113" i="11"/>
  <c r="M113" i="11"/>
  <c r="N113" i="11"/>
  <c r="O113" i="11"/>
  <c r="D115" i="11"/>
  <c r="D116" i="11"/>
  <c r="E110" i="11"/>
  <c r="F110" i="11"/>
  <c r="G110" i="11"/>
  <c r="H110" i="11"/>
  <c r="I110" i="11"/>
  <c r="J110" i="11"/>
  <c r="K110" i="11"/>
  <c r="L110" i="11"/>
  <c r="M110" i="11"/>
  <c r="N110" i="11"/>
  <c r="O110" i="11"/>
  <c r="E109" i="11"/>
  <c r="F109" i="11"/>
  <c r="G109" i="11"/>
  <c r="H109" i="11"/>
  <c r="I109" i="11"/>
  <c r="J109" i="11"/>
  <c r="K109" i="11"/>
  <c r="L109" i="11"/>
  <c r="M109" i="11"/>
  <c r="N109" i="11"/>
  <c r="O109" i="11"/>
  <c r="E108" i="11"/>
  <c r="F108" i="11"/>
  <c r="G108" i="11"/>
  <c r="H108" i="11"/>
  <c r="I108" i="11"/>
  <c r="J108" i="11"/>
  <c r="K108" i="11"/>
  <c r="L108" i="11"/>
  <c r="M108" i="11"/>
  <c r="N108" i="11"/>
  <c r="O108" i="11"/>
  <c r="E107" i="11"/>
  <c r="F107" i="11"/>
  <c r="G107" i="11"/>
  <c r="H107" i="11"/>
  <c r="I107" i="11"/>
  <c r="J107" i="11"/>
  <c r="K107" i="11"/>
  <c r="L107" i="11"/>
  <c r="M107" i="11"/>
  <c r="N107" i="11"/>
  <c r="O107" i="11"/>
  <c r="D110" i="11"/>
  <c r="D108" i="11"/>
  <c r="D109" i="11"/>
  <c r="D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D102" i="11"/>
  <c r="D103" i="11"/>
  <c r="D104" i="11"/>
  <c r="D101" i="11"/>
  <c r="E98" i="11"/>
  <c r="F98" i="11"/>
  <c r="G98" i="11"/>
  <c r="H98" i="11"/>
  <c r="J98" i="11"/>
  <c r="L98" i="11"/>
  <c r="M98" i="11"/>
  <c r="N98" i="11"/>
  <c r="O98" i="11"/>
  <c r="D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J72" i="11"/>
  <c r="K72" i="11"/>
  <c r="L72" i="11"/>
  <c r="M72" i="11"/>
  <c r="N72" i="11"/>
  <c r="O72" i="11"/>
  <c r="L70" i="11"/>
  <c r="M70" i="11"/>
  <c r="E69" i="11"/>
  <c r="F69" i="11"/>
  <c r="G69" i="11"/>
  <c r="H69" i="11"/>
  <c r="I69" i="11"/>
  <c r="J69" i="11"/>
  <c r="K69" i="11"/>
  <c r="L69" i="11"/>
  <c r="M69" i="11"/>
  <c r="N69" i="11"/>
  <c r="O69" i="11"/>
  <c r="D72" i="11"/>
  <c r="D73" i="11"/>
  <c r="D74" i="11"/>
  <c r="D75" i="11"/>
  <c r="D78" i="11"/>
  <c r="D79" i="11"/>
  <c r="D80" i="11"/>
  <c r="D81" i="11"/>
  <c r="D84" i="11"/>
  <c r="D85" i="11"/>
  <c r="D86" i="11"/>
  <c r="D87" i="11"/>
  <c r="D69" i="11"/>
  <c r="E68" i="11"/>
  <c r="F68" i="11"/>
  <c r="G68" i="11"/>
  <c r="H68" i="11"/>
  <c r="I68" i="11"/>
  <c r="J68" i="11"/>
  <c r="K68" i="11"/>
  <c r="L68" i="11"/>
  <c r="M68" i="11"/>
  <c r="N68" i="11"/>
  <c r="O68" i="11"/>
  <c r="D68" i="11"/>
  <c r="E67" i="11"/>
  <c r="F67" i="11"/>
  <c r="G67" i="11"/>
  <c r="H67" i="11"/>
  <c r="I67" i="11"/>
  <c r="J67" i="11"/>
  <c r="K67" i="11"/>
  <c r="L67" i="11"/>
  <c r="M67" i="11"/>
  <c r="N67" i="11"/>
  <c r="O67" i="11"/>
  <c r="D67" i="11"/>
  <c r="D66" i="11"/>
  <c r="E63" i="11"/>
  <c r="F63" i="11"/>
  <c r="G63" i="11"/>
  <c r="H63" i="11"/>
  <c r="I63" i="11"/>
  <c r="J63" i="11"/>
  <c r="K63" i="11"/>
  <c r="L63" i="11"/>
  <c r="M63" i="11"/>
  <c r="N63" i="11"/>
  <c r="O63" i="11"/>
  <c r="D63" i="11"/>
  <c r="E61" i="11"/>
  <c r="F61" i="11"/>
  <c r="G61" i="11"/>
  <c r="H61" i="11"/>
  <c r="I61" i="11"/>
  <c r="J61" i="11"/>
  <c r="K61" i="11"/>
  <c r="L61" i="11"/>
  <c r="M61" i="11"/>
  <c r="N61" i="11"/>
  <c r="O61" i="11"/>
  <c r="D61" i="11"/>
  <c r="E56" i="11"/>
  <c r="F56" i="11"/>
  <c r="G56" i="11"/>
  <c r="H56" i="11"/>
  <c r="I56" i="11"/>
  <c r="J56" i="11"/>
  <c r="K56" i="11"/>
  <c r="L56" i="11"/>
  <c r="M56" i="11"/>
  <c r="N56" i="11"/>
  <c r="O56" i="11"/>
  <c r="D56" i="11"/>
  <c r="E55" i="11"/>
  <c r="F55" i="11"/>
  <c r="G55" i="11"/>
  <c r="H55" i="11"/>
  <c r="I55" i="11"/>
  <c r="J55" i="11"/>
  <c r="K55" i="11"/>
  <c r="L55" i="11"/>
  <c r="M55" i="11"/>
  <c r="N55" i="11"/>
  <c r="O55" i="11"/>
  <c r="D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D52" i="11"/>
  <c r="D54" i="11"/>
  <c r="E50" i="11"/>
  <c r="F50" i="11"/>
  <c r="G50" i="11"/>
  <c r="H50" i="11"/>
  <c r="I50" i="11"/>
  <c r="J50" i="11"/>
  <c r="K50" i="11"/>
  <c r="L50" i="11"/>
  <c r="M50" i="11"/>
  <c r="N50" i="11"/>
  <c r="O50" i="11"/>
  <c r="D50" i="11"/>
  <c r="E49" i="11"/>
  <c r="F49" i="11"/>
  <c r="G49" i="11"/>
  <c r="H49" i="11"/>
  <c r="I49" i="11"/>
  <c r="J49" i="11"/>
  <c r="K49" i="11"/>
  <c r="L49" i="11"/>
  <c r="M49" i="11"/>
  <c r="N49" i="11"/>
  <c r="O49" i="11"/>
  <c r="D49" i="11"/>
  <c r="E44" i="11"/>
  <c r="F44" i="11"/>
  <c r="G44" i="11"/>
  <c r="H44" i="11"/>
  <c r="I44" i="11"/>
  <c r="J44" i="11"/>
  <c r="K44" i="11"/>
  <c r="L44" i="11"/>
  <c r="M44" i="11"/>
  <c r="N44" i="11"/>
  <c r="O44" i="11"/>
  <c r="D44" i="11"/>
  <c r="E29" i="11"/>
  <c r="F29" i="11"/>
  <c r="G29" i="11"/>
  <c r="H29" i="11"/>
  <c r="I29" i="11"/>
  <c r="J29" i="11"/>
  <c r="K29" i="11"/>
  <c r="L29" i="11"/>
  <c r="M29" i="11"/>
  <c r="N29" i="11"/>
  <c r="O29" i="11"/>
  <c r="D29" i="11"/>
  <c r="E20" i="11"/>
  <c r="F20" i="11"/>
  <c r="G20" i="11"/>
  <c r="H20" i="11"/>
  <c r="I20" i="11"/>
  <c r="J20" i="11"/>
  <c r="K20" i="11"/>
  <c r="L20" i="11"/>
  <c r="M20" i="11"/>
  <c r="N20" i="11"/>
  <c r="O20" i="11"/>
  <c r="D20" i="11"/>
  <c r="E19" i="11"/>
  <c r="F19" i="11"/>
  <c r="G19" i="11"/>
  <c r="H19" i="11"/>
  <c r="I19" i="11"/>
  <c r="J19" i="11"/>
  <c r="K19" i="11"/>
  <c r="L19" i="11"/>
  <c r="M19" i="11"/>
  <c r="N19" i="11"/>
  <c r="O19" i="11"/>
  <c r="D19" i="11"/>
  <c r="E18" i="11"/>
  <c r="F18" i="11"/>
  <c r="G18" i="11"/>
  <c r="H18" i="11"/>
  <c r="I18" i="11"/>
  <c r="J18" i="11"/>
  <c r="K18" i="11"/>
  <c r="L18" i="11"/>
  <c r="M18" i="11"/>
  <c r="N18" i="11"/>
  <c r="O18" i="11"/>
  <c r="D18" i="11"/>
  <c r="E17" i="11"/>
  <c r="F17" i="11"/>
  <c r="G17" i="11"/>
  <c r="H17" i="11"/>
  <c r="I17" i="11"/>
  <c r="J17" i="11"/>
  <c r="K17" i="11"/>
  <c r="L17" i="11"/>
  <c r="M17" i="11"/>
  <c r="N17" i="11"/>
  <c r="O17" i="11"/>
  <c r="D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14" i="11"/>
  <c r="D13" i="11"/>
  <c r="D12" i="11"/>
  <c r="E11" i="11"/>
  <c r="F11" i="11"/>
  <c r="G11" i="11"/>
  <c r="H11" i="11"/>
  <c r="I11" i="11"/>
  <c r="J11" i="11"/>
  <c r="K11" i="11"/>
  <c r="L11" i="11"/>
  <c r="M11" i="11"/>
  <c r="N11" i="11"/>
  <c r="O11" i="11"/>
  <c r="D11" i="11"/>
  <c r="E9" i="11"/>
  <c r="F9" i="11"/>
  <c r="G9" i="11"/>
  <c r="H9" i="11"/>
  <c r="I9" i="11"/>
  <c r="J9" i="11"/>
  <c r="K9" i="11"/>
  <c r="L9" i="11"/>
  <c r="M9" i="11"/>
  <c r="N9" i="11"/>
  <c r="O9" i="11"/>
  <c r="D9" i="11"/>
  <c r="L45" i="12" l="1"/>
  <c r="L21" i="12"/>
  <c r="L42" i="12"/>
  <c r="D139" i="11"/>
  <c r="D134" i="11"/>
  <c r="D129" i="11"/>
  <c r="F193" i="8"/>
  <c r="E193" i="8"/>
  <c r="D193" i="8"/>
  <c r="F82" i="6"/>
  <c r="D51" i="6"/>
  <c r="F51" i="4"/>
  <c r="D51" i="4"/>
  <c r="F204" i="3"/>
  <c r="E204" i="3"/>
  <c r="D204" i="3"/>
  <c r="F51" i="3"/>
  <c r="E51" i="3"/>
  <c r="D51" i="3"/>
  <c r="D123" i="2"/>
  <c r="K51" i="11"/>
  <c r="L51" i="11"/>
  <c r="N51" i="11"/>
  <c r="E88" i="1"/>
  <c r="F88" i="1"/>
  <c r="G88" i="1"/>
  <c r="H88" i="1"/>
  <c r="I88" i="1"/>
  <c r="J88" i="1"/>
  <c r="K88" i="1"/>
  <c r="L88" i="1"/>
  <c r="M88" i="1"/>
  <c r="N88" i="1"/>
  <c r="D88" i="1"/>
  <c r="D82" i="1"/>
  <c r="E82" i="1"/>
  <c r="F82" i="1"/>
  <c r="G82" i="1"/>
  <c r="H82" i="1"/>
  <c r="J82" i="1"/>
  <c r="K82" i="1"/>
  <c r="L82" i="1"/>
  <c r="L82" i="11" s="1"/>
  <c r="M82" i="1"/>
  <c r="N82" i="1"/>
  <c r="O82" i="11"/>
  <c r="I82" i="1"/>
  <c r="E76" i="1"/>
  <c r="F76" i="1"/>
  <c r="G76" i="1"/>
  <c r="H76" i="1"/>
  <c r="I76" i="1"/>
  <c r="J76" i="1"/>
  <c r="K76" i="1"/>
  <c r="L76" i="1"/>
  <c r="L76" i="11" s="1"/>
  <c r="M76" i="1"/>
  <c r="N76" i="1"/>
  <c r="O76" i="11"/>
  <c r="D76" i="1"/>
  <c r="G70" i="1"/>
  <c r="H70" i="1"/>
  <c r="I70" i="1"/>
  <c r="N70" i="11"/>
  <c r="O70" i="11"/>
  <c r="D70" i="1"/>
  <c r="P51" i="2" l="1"/>
  <c r="M51" i="11"/>
  <c r="F51" i="11"/>
  <c r="E51" i="11"/>
  <c r="D51" i="11"/>
  <c r="O51" i="11"/>
  <c r="J51" i="11"/>
  <c r="I51" i="11"/>
  <c r="H51" i="11"/>
  <c r="G51" i="11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P262" i="19"/>
  <c r="P261" i="19"/>
  <c r="P257" i="19"/>
  <c r="P254" i="19"/>
  <c r="P253" i="19"/>
  <c r="O247" i="19"/>
  <c r="N247" i="19"/>
  <c r="M247" i="19"/>
  <c r="L247" i="19"/>
  <c r="J247" i="19"/>
  <c r="I247" i="19"/>
  <c r="H247" i="19"/>
  <c r="G247" i="19"/>
  <c r="F247" i="19"/>
  <c r="P246" i="19"/>
  <c r="P245" i="19"/>
  <c r="K247" i="19"/>
  <c r="E247" i="19"/>
  <c r="D247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P241" i="19"/>
  <c r="P240" i="19"/>
  <c r="P239" i="19"/>
  <c r="P238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P235" i="19"/>
  <c r="P234" i="19"/>
  <c r="P233" i="19"/>
  <c r="P232" i="19"/>
  <c r="H229" i="11"/>
  <c r="G229" i="11"/>
  <c r="F229" i="11"/>
  <c r="E229" i="11"/>
  <c r="D229" i="11"/>
  <c r="P228" i="19"/>
  <c r="P227" i="19"/>
  <c r="P226" i="19"/>
  <c r="P225" i="19"/>
  <c r="O223" i="19"/>
  <c r="O230" i="19" s="1"/>
  <c r="N223" i="19"/>
  <c r="M223" i="19"/>
  <c r="M230" i="19" s="1"/>
  <c r="L223" i="19"/>
  <c r="K223" i="19"/>
  <c r="K230" i="19" s="1"/>
  <c r="J223" i="19"/>
  <c r="I223" i="19"/>
  <c r="I230" i="19" s="1"/>
  <c r="H223" i="19"/>
  <c r="H230" i="19" s="1"/>
  <c r="G223" i="19"/>
  <c r="G230" i="19" s="1"/>
  <c r="F223" i="19"/>
  <c r="F230" i="19" s="1"/>
  <c r="E223" i="19"/>
  <c r="E230" i="19" s="1"/>
  <c r="D223" i="19"/>
  <c r="P222" i="19"/>
  <c r="P221" i="19"/>
  <c r="P220" i="19"/>
  <c r="P219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P215" i="19"/>
  <c r="P214" i="19"/>
  <c r="P213" i="19"/>
  <c r="P212" i="19"/>
  <c r="O210" i="19"/>
  <c r="O217" i="19" s="1"/>
  <c r="N210" i="19"/>
  <c r="N251" i="19" s="1"/>
  <c r="M210" i="19"/>
  <c r="L210" i="19"/>
  <c r="K210" i="19"/>
  <c r="J210" i="19"/>
  <c r="J250" i="19" s="1"/>
  <c r="I210" i="19"/>
  <c r="I250" i="19" s="1"/>
  <c r="H210" i="19"/>
  <c r="G210" i="19"/>
  <c r="G217" i="19" s="1"/>
  <c r="F210" i="19"/>
  <c r="F251" i="19" s="1"/>
  <c r="E210" i="19"/>
  <c r="D210" i="19"/>
  <c r="P209" i="19"/>
  <c r="P208" i="19"/>
  <c r="P207" i="19"/>
  <c r="P206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P203" i="19"/>
  <c r="P202" i="19"/>
  <c r="P201" i="19"/>
  <c r="P200" i="19"/>
  <c r="P199" i="19"/>
  <c r="P197" i="19"/>
  <c r="P196" i="19"/>
  <c r="P195" i="19"/>
  <c r="P194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P192" i="19"/>
  <c r="P191" i="19"/>
  <c r="P190" i="19"/>
  <c r="P189" i="19"/>
  <c r="P187" i="19"/>
  <c r="P186" i="19"/>
  <c r="P185" i="19"/>
  <c r="P184" i="19"/>
  <c r="P182" i="19"/>
  <c r="P181" i="19"/>
  <c r="P180" i="19"/>
  <c r="P179" i="19"/>
  <c r="P178" i="19"/>
  <c r="P177" i="19"/>
  <c r="P175" i="19"/>
  <c r="P174" i="19"/>
  <c r="P173" i="19"/>
  <c r="P172" i="19"/>
  <c r="P171" i="19"/>
  <c r="P170" i="19"/>
  <c r="P169" i="19"/>
  <c r="P168" i="19"/>
  <c r="P167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O145" i="19"/>
  <c r="N145" i="19"/>
  <c r="M145" i="19"/>
  <c r="M149" i="19" s="1"/>
  <c r="K145" i="19"/>
  <c r="J145" i="19"/>
  <c r="I145" i="19"/>
  <c r="D145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P143" i="19"/>
  <c r="P142" i="19"/>
  <c r="P141" i="19"/>
  <c r="P140" i="19"/>
  <c r="O139" i="19"/>
  <c r="N139" i="19"/>
  <c r="M139" i="19"/>
  <c r="L139" i="19"/>
  <c r="K139" i="19"/>
  <c r="J139" i="19"/>
  <c r="I139" i="19"/>
  <c r="F139" i="19"/>
  <c r="G135" i="19" s="1"/>
  <c r="G139" i="19" s="1"/>
  <c r="H135" i="19" s="1"/>
  <c r="H139" i="19" s="1"/>
  <c r="D139" i="19"/>
  <c r="E139" i="19" s="1"/>
  <c r="P138" i="19"/>
  <c r="P137" i="19"/>
  <c r="P136" i="19"/>
  <c r="P135" i="19"/>
  <c r="O134" i="19"/>
  <c r="N134" i="19"/>
  <c r="M134" i="19"/>
  <c r="K134" i="19"/>
  <c r="J134" i="19"/>
  <c r="I134" i="19"/>
  <c r="D134" i="19"/>
  <c r="P133" i="19"/>
  <c r="P132" i="19"/>
  <c r="P131" i="19"/>
  <c r="P130" i="19"/>
  <c r="O129" i="19"/>
  <c r="N129" i="19"/>
  <c r="M129" i="19"/>
  <c r="K129" i="19"/>
  <c r="L125" i="11" s="1"/>
  <c r="J129" i="19"/>
  <c r="I129" i="19"/>
  <c r="E129" i="19"/>
  <c r="D129" i="19"/>
  <c r="P128" i="19"/>
  <c r="P127" i="19"/>
  <c r="P126" i="19"/>
  <c r="P125" i="19"/>
  <c r="O123" i="19"/>
  <c r="L123" i="19"/>
  <c r="K123" i="19"/>
  <c r="G123" i="19"/>
  <c r="D123" i="19"/>
  <c r="P122" i="19"/>
  <c r="N123" i="19"/>
  <c r="M123" i="19"/>
  <c r="J123" i="19"/>
  <c r="I123" i="19"/>
  <c r="H123" i="19"/>
  <c r="F123" i="19"/>
  <c r="E123" i="19"/>
  <c r="P121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P116" i="19"/>
  <c r="P115" i="19"/>
  <c r="P114" i="19"/>
  <c r="P113" i="19"/>
  <c r="O111" i="19"/>
  <c r="P111" i="19" s="1"/>
  <c r="N111" i="19"/>
  <c r="M111" i="19"/>
  <c r="L111" i="19"/>
  <c r="K111" i="19"/>
  <c r="K118" i="19" s="1"/>
  <c r="J111" i="19"/>
  <c r="I111" i="19"/>
  <c r="I118" i="19" s="1"/>
  <c r="H111" i="19"/>
  <c r="H118" i="19" s="1"/>
  <c r="G111" i="19"/>
  <c r="F111" i="19"/>
  <c r="F118" i="19" s="1"/>
  <c r="E111" i="19"/>
  <c r="D111" i="19"/>
  <c r="D118" i="19" s="1"/>
  <c r="P110" i="19"/>
  <c r="P109" i="19"/>
  <c r="P108" i="19"/>
  <c r="P107" i="19"/>
  <c r="O105" i="19"/>
  <c r="N105" i="19"/>
  <c r="M105" i="19"/>
  <c r="L105" i="19"/>
  <c r="K105" i="19"/>
  <c r="J105" i="19"/>
  <c r="I105" i="19"/>
  <c r="I119" i="19" s="1"/>
  <c r="H105" i="19"/>
  <c r="G105" i="19"/>
  <c r="F105" i="19"/>
  <c r="F119" i="19" s="1"/>
  <c r="E105" i="19"/>
  <c r="D105" i="19"/>
  <c r="P104" i="19"/>
  <c r="P103" i="19"/>
  <c r="P102" i="19"/>
  <c r="P101" i="19"/>
  <c r="P98" i="19"/>
  <c r="N93" i="19"/>
  <c r="M93" i="19"/>
  <c r="L93" i="19"/>
  <c r="K93" i="19"/>
  <c r="J93" i="19"/>
  <c r="I93" i="19"/>
  <c r="H93" i="19"/>
  <c r="G93" i="19"/>
  <c r="F93" i="19"/>
  <c r="E93" i="19"/>
  <c r="D93" i="19"/>
  <c r="N92" i="19"/>
  <c r="M92" i="19"/>
  <c r="L92" i="19"/>
  <c r="K92" i="19"/>
  <c r="J92" i="19"/>
  <c r="I92" i="19"/>
  <c r="H92" i="19"/>
  <c r="G92" i="19"/>
  <c r="F92" i="19"/>
  <c r="E92" i="19"/>
  <c r="D92" i="19"/>
  <c r="N91" i="19"/>
  <c r="N256" i="19" s="1"/>
  <c r="N258" i="19" s="1"/>
  <c r="M91" i="19"/>
  <c r="M256" i="19" s="1"/>
  <c r="M258" i="19" s="1"/>
  <c r="L91" i="19"/>
  <c r="L256" i="19" s="1"/>
  <c r="L258" i="19" s="1"/>
  <c r="K91" i="19"/>
  <c r="K256" i="19" s="1"/>
  <c r="K258" i="19" s="1"/>
  <c r="J91" i="19"/>
  <c r="J256" i="19" s="1"/>
  <c r="J258" i="19" s="1"/>
  <c r="I91" i="19"/>
  <c r="H91" i="19"/>
  <c r="G91" i="19"/>
  <c r="F91" i="19"/>
  <c r="E91" i="19"/>
  <c r="D91" i="19"/>
  <c r="N88" i="19"/>
  <c r="N89" i="19" s="1"/>
  <c r="M88" i="19"/>
  <c r="M89" i="19" s="1"/>
  <c r="L88" i="19"/>
  <c r="L89" i="19" s="1"/>
  <c r="K88" i="19"/>
  <c r="K89" i="19" s="1"/>
  <c r="J88" i="19"/>
  <c r="J89" i="19" s="1"/>
  <c r="I88" i="19"/>
  <c r="I89" i="19" s="1"/>
  <c r="H88" i="19"/>
  <c r="G88" i="19"/>
  <c r="F88" i="19"/>
  <c r="E88" i="19"/>
  <c r="D88" i="19"/>
  <c r="D89" i="19" s="1"/>
  <c r="E84" i="19" s="1"/>
  <c r="P87" i="19"/>
  <c r="P86" i="19"/>
  <c r="P85" i="19"/>
  <c r="P84" i="19"/>
  <c r="N82" i="19"/>
  <c r="M82" i="19"/>
  <c r="K82" i="19"/>
  <c r="J82" i="19"/>
  <c r="I82" i="19"/>
  <c r="H82" i="19"/>
  <c r="G82" i="19"/>
  <c r="F82" i="19"/>
  <c r="E82" i="19"/>
  <c r="D82" i="19"/>
  <c r="D83" i="19" s="1"/>
  <c r="E78" i="19" s="1"/>
  <c r="P81" i="19"/>
  <c r="P82" i="19" s="1"/>
  <c r="P80" i="19"/>
  <c r="P79" i="19"/>
  <c r="P78" i="19"/>
  <c r="L77" i="19"/>
  <c r="N76" i="19"/>
  <c r="N77" i="19" s="1"/>
  <c r="M76" i="19"/>
  <c r="M77" i="19" s="1"/>
  <c r="K76" i="19"/>
  <c r="K77" i="19" s="1"/>
  <c r="J76" i="19"/>
  <c r="J77" i="19" s="1"/>
  <c r="I76" i="19"/>
  <c r="H76" i="19"/>
  <c r="G76" i="19"/>
  <c r="F76" i="19"/>
  <c r="E76" i="19"/>
  <c r="D76" i="19"/>
  <c r="D77" i="19" s="1"/>
  <c r="E72" i="19" s="1"/>
  <c r="E77" i="19" s="1"/>
  <c r="F72" i="19" s="1"/>
  <c r="F77" i="19" s="1"/>
  <c r="G72" i="19" s="1"/>
  <c r="P75" i="19"/>
  <c r="P74" i="19"/>
  <c r="P73" i="19"/>
  <c r="P72" i="19"/>
  <c r="H70" i="19"/>
  <c r="G70" i="19"/>
  <c r="F70" i="19"/>
  <c r="E70" i="19"/>
  <c r="D70" i="19"/>
  <c r="P69" i="19"/>
  <c r="P68" i="19"/>
  <c r="P67" i="19"/>
  <c r="P66" i="19"/>
  <c r="P63" i="19"/>
  <c r="N62" i="19"/>
  <c r="M62" i="19"/>
  <c r="L62" i="19"/>
  <c r="K62" i="19"/>
  <c r="J62" i="19"/>
  <c r="I62" i="19"/>
  <c r="H62" i="19"/>
  <c r="G62" i="19"/>
  <c r="F62" i="19"/>
  <c r="E62" i="19"/>
  <c r="D62" i="19"/>
  <c r="P61" i="19"/>
  <c r="P56" i="19"/>
  <c r="P55" i="19"/>
  <c r="P54" i="19"/>
  <c r="P52" i="19"/>
  <c r="P51" i="19"/>
  <c r="P50" i="19"/>
  <c r="P49" i="19"/>
  <c r="O47" i="19"/>
  <c r="N47" i="19"/>
  <c r="M47" i="19"/>
  <c r="L47" i="19"/>
  <c r="K47" i="19"/>
  <c r="J47" i="19"/>
  <c r="I47" i="19"/>
  <c r="H47" i="19"/>
  <c r="F47" i="19"/>
  <c r="E47" i="19"/>
  <c r="N45" i="19"/>
  <c r="M45" i="19"/>
  <c r="K45" i="19"/>
  <c r="J45" i="19"/>
  <c r="H45" i="19"/>
  <c r="G45" i="19"/>
  <c r="F45" i="19"/>
  <c r="E45" i="19"/>
  <c r="D45" i="19"/>
  <c r="P44" i="19"/>
  <c r="O41" i="19"/>
  <c r="N41" i="19"/>
  <c r="M41" i="19"/>
  <c r="L41" i="19"/>
  <c r="K41" i="19"/>
  <c r="K42" i="19" s="1"/>
  <c r="J41" i="19"/>
  <c r="J42" i="19" s="1"/>
  <c r="I41" i="19"/>
  <c r="I42" i="19" s="1"/>
  <c r="H41" i="19"/>
  <c r="G41" i="19"/>
  <c r="F41" i="19"/>
  <c r="E41" i="19"/>
  <c r="D41" i="19"/>
  <c r="N40" i="19"/>
  <c r="M40" i="19"/>
  <c r="L40" i="19"/>
  <c r="K40" i="19"/>
  <c r="J40" i="19"/>
  <c r="I40" i="19"/>
  <c r="H40" i="19"/>
  <c r="G40" i="19"/>
  <c r="F40" i="19"/>
  <c r="E40" i="19"/>
  <c r="D40" i="19"/>
  <c r="P39" i="19"/>
  <c r="N38" i="19"/>
  <c r="M38" i="19"/>
  <c r="L38" i="19"/>
  <c r="K38" i="19"/>
  <c r="J38" i="19"/>
  <c r="I38" i="19"/>
  <c r="H38" i="19"/>
  <c r="G38" i="19"/>
  <c r="F38" i="19"/>
  <c r="E38" i="19"/>
  <c r="D38" i="19"/>
  <c r="P37" i="19"/>
  <c r="N34" i="19"/>
  <c r="M34" i="19"/>
  <c r="L34" i="19"/>
  <c r="K34" i="19"/>
  <c r="J34" i="19"/>
  <c r="I34" i="19"/>
  <c r="H34" i="19"/>
  <c r="G34" i="19"/>
  <c r="F34" i="19"/>
  <c r="E34" i="19"/>
  <c r="D34" i="19"/>
  <c r="P33" i="19"/>
  <c r="N32" i="19"/>
  <c r="M32" i="19"/>
  <c r="L32" i="19"/>
  <c r="K32" i="19"/>
  <c r="J32" i="19"/>
  <c r="I32" i="19"/>
  <c r="H32" i="19"/>
  <c r="G32" i="19"/>
  <c r="F32" i="19"/>
  <c r="E32" i="19"/>
  <c r="D32" i="19"/>
  <c r="P31" i="19"/>
  <c r="N30" i="19"/>
  <c r="M30" i="19"/>
  <c r="L30" i="19"/>
  <c r="K30" i="19"/>
  <c r="J30" i="19"/>
  <c r="H30" i="19"/>
  <c r="G30" i="19"/>
  <c r="F30" i="19"/>
  <c r="E30" i="19"/>
  <c r="D30" i="19"/>
  <c r="P29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P20" i="19"/>
  <c r="P19" i="19"/>
  <c r="P18" i="19"/>
  <c r="P17" i="19"/>
  <c r="O15" i="19"/>
  <c r="O22" i="19" s="1"/>
  <c r="O24" i="19" s="1"/>
  <c r="O25" i="19" s="1"/>
  <c r="N15" i="19"/>
  <c r="M15" i="19"/>
  <c r="L15" i="19"/>
  <c r="K15" i="19"/>
  <c r="K22" i="19" s="1"/>
  <c r="K24" i="19" s="1"/>
  <c r="K25" i="19" s="1"/>
  <c r="J15" i="19"/>
  <c r="I15" i="19"/>
  <c r="I22" i="19" s="1"/>
  <c r="I24" i="19" s="1"/>
  <c r="I25" i="19" s="1"/>
  <c r="H15" i="19"/>
  <c r="G15" i="19"/>
  <c r="F15" i="19"/>
  <c r="D15" i="19"/>
  <c r="P14" i="19"/>
  <c r="P13" i="19"/>
  <c r="P12" i="19"/>
  <c r="P11" i="19"/>
  <c r="P9" i="19"/>
  <c r="O263" i="8"/>
  <c r="N263" i="8"/>
  <c r="M263" i="8"/>
  <c r="L263" i="8"/>
  <c r="K263" i="8"/>
  <c r="J263" i="8"/>
  <c r="I263" i="8"/>
  <c r="H263" i="8"/>
  <c r="G263" i="8"/>
  <c r="F263" i="8"/>
  <c r="E263" i="8"/>
  <c r="D263" i="8"/>
  <c r="P262" i="8"/>
  <c r="P261" i="8"/>
  <c r="P257" i="8"/>
  <c r="P254" i="8"/>
  <c r="P253" i="8"/>
  <c r="O247" i="8"/>
  <c r="N247" i="8"/>
  <c r="M247" i="8"/>
  <c r="L247" i="8"/>
  <c r="J247" i="8"/>
  <c r="H247" i="8"/>
  <c r="G247" i="8"/>
  <c r="F247" i="8"/>
  <c r="P246" i="8"/>
  <c r="D247" i="8"/>
  <c r="P245" i="8"/>
  <c r="K247" i="8"/>
  <c r="I247" i="8"/>
  <c r="E247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P241" i="8"/>
  <c r="P240" i="8"/>
  <c r="P239" i="8"/>
  <c r="P238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P235" i="8"/>
  <c r="P234" i="8"/>
  <c r="P233" i="8"/>
  <c r="P232" i="8"/>
  <c r="P229" i="8"/>
  <c r="P228" i="8"/>
  <c r="P227" i="8"/>
  <c r="P226" i="8"/>
  <c r="P225" i="8"/>
  <c r="O223" i="8"/>
  <c r="N223" i="8"/>
  <c r="M223" i="8"/>
  <c r="M230" i="8" s="1"/>
  <c r="L223" i="8"/>
  <c r="L230" i="8" s="1"/>
  <c r="K223" i="8"/>
  <c r="K230" i="8" s="1"/>
  <c r="J223" i="8"/>
  <c r="J230" i="8" s="1"/>
  <c r="I223" i="8"/>
  <c r="I230" i="8" s="1"/>
  <c r="H223" i="8"/>
  <c r="H230" i="8" s="1"/>
  <c r="G223" i="8"/>
  <c r="G230" i="8" s="1"/>
  <c r="F223" i="8"/>
  <c r="F230" i="8" s="1"/>
  <c r="E223" i="8"/>
  <c r="E230" i="8" s="1"/>
  <c r="D223" i="8"/>
  <c r="D230" i="8" s="1"/>
  <c r="P222" i="8"/>
  <c r="P221" i="8"/>
  <c r="P220" i="8"/>
  <c r="P219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P215" i="8"/>
  <c r="P214" i="8"/>
  <c r="P213" i="8"/>
  <c r="P212" i="8"/>
  <c r="O210" i="8"/>
  <c r="O217" i="8" s="1"/>
  <c r="N210" i="8"/>
  <c r="M210" i="8"/>
  <c r="M251" i="8" s="1"/>
  <c r="L210" i="8"/>
  <c r="L251" i="8" s="1"/>
  <c r="K210" i="8"/>
  <c r="K250" i="8" s="1"/>
  <c r="J210" i="8"/>
  <c r="I210" i="8"/>
  <c r="H210" i="8"/>
  <c r="G210" i="8"/>
  <c r="G217" i="8" s="1"/>
  <c r="F210" i="8"/>
  <c r="E210" i="8"/>
  <c r="D210" i="8"/>
  <c r="P209" i="8"/>
  <c r="P208" i="8"/>
  <c r="P207" i="8"/>
  <c r="P206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P203" i="8"/>
  <c r="P202" i="8"/>
  <c r="P201" i="8"/>
  <c r="P200" i="8"/>
  <c r="P199" i="8"/>
  <c r="P197" i="8"/>
  <c r="P196" i="8"/>
  <c r="P195" i="8"/>
  <c r="P194" i="8"/>
  <c r="O193" i="8"/>
  <c r="N193" i="8"/>
  <c r="M193" i="8"/>
  <c r="L193" i="8"/>
  <c r="K193" i="8"/>
  <c r="J193" i="8"/>
  <c r="I193" i="8"/>
  <c r="H193" i="8"/>
  <c r="G193" i="8"/>
  <c r="P192" i="8"/>
  <c r="P191" i="8"/>
  <c r="P190" i="8"/>
  <c r="P189" i="8"/>
  <c r="P187" i="8"/>
  <c r="P186" i="8"/>
  <c r="P185" i="8"/>
  <c r="P184" i="8"/>
  <c r="P182" i="8"/>
  <c r="P181" i="8"/>
  <c r="P180" i="8"/>
  <c r="P179" i="8"/>
  <c r="P178" i="8"/>
  <c r="P177" i="8"/>
  <c r="P175" i="8"/>
  <c r="P174" i="8"/>
  <c r="P173" i="8"/>
  <c r="P172" i="8"/>
  <c r="P171" i="8"/>
  <c r="P170" i="8"/>
  <c r="P169" i="8"/>
  <c r="P168" i="8"/>
  <c r="P167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O149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O145" i="8"/>
  <c r="N145" i="8"/>
  <c r="M145" i="8"/>
  <c r="L145" i="8"/>
  <c r="K145" i="8"/>
  <c r="K149" i="8" s="1"/>
  <c r="J145" i="8"/>
  <c r="J149" i="8" s="1"/>
  <c r="I145" i="8"/>
  <c r="I149" i="8" s="1"/>
  <c r="D145" i="8"/>
  <c r="D149" i="8" s="1"/>
  <c r="O144" i="8"/>
  <c r="N144" i="8"/>
  <c r="M144" i="8"/>
  <c r="L144" i="8"/>
  <c r="K144" i="8"/>
  <c r="J144" i="8"/>
  <c r="I144" i="8"/>
  <c r="H144" i="8"/>
  <c r="G144" i="8"/>
  <c r="F144" i="8"/>
  <c r="E144" i="8"/>
  <c r="D144" i="8"/>
  <c r="P143" i="8"/>
  <c r="P142" i="8"/>
  <c r="P141" i="8"/>
  <c r="P140" i="8"/>
  <c r="P144" i="8" s="1"/>
  <c r="O139" i="8"/>
  <c r="N139" i="8"/>
  <c r="M139" i="8"/>
  <c r="L139" i="8"/>
  <c r="K139" i="8"/>
  <c r="J139" i="8"/>
  <c r="I139" i="8"/>
  <c r="F139" i="8"/>
  <c r="G135" i="8" s="1"/>
  <c r="G139" i="8" s="1"/>
  <c r="H135" i="8" s="1"/>
  <c r="H139" i="8" s="1"/>
  <c r="D139" i="8"/>
  <c r="E135" i="8" s="1"/>
  <c r="E139" i="8" s="1"/>
  <c r="P138" i="8"/>
  <c r="P137" i="8"/>
  <c r="P136" i="8"/>
  <c r="P135" i="8"/>
  <c r="O134" i="8"/>
  <c r="N134" i="8"/>
  <c r="M134" i="8"/>
  <c r="L134" i="8"/>
  <c r="K134" i="8"/>
  <c r="J134" i="8"/>
  <c r="I134" i="8"/>
  <c r="D134" i="8"/>
  <c r="E130" i="8" s="1"/>
  <c r="P133" i="8"/>
  <c r="P132" i="8"/>
  <c r="P131" i="8"/>
  <c r="P130" i="8"/>
  <c r="O129" i="8"/>
  <c r="N129" i="8"/>
  <c r="M129" i="8"/>
  <c r="L129" i="8"/>
  <c r="K129" i="8"/>
  <c r="J129" i="8"/>
  <c r="I129" i="8"/>
  <c r="F129" i="8"/>
  <c r="E129" i="8"/>
  <c r="D129" i="8"/>
  <c r="P128" i="8"/>
  <c r="P127" i="8"/>
  <c r="P126" i="8"/>
  <c r="P125" i="8"/>
  <c r="M123" i="8"/>
  <c r="E123" i="8"/>
  <c r="P122" i="8"/>
  <c r="N123" i="8"/>
  <c r="L123" i="8"/>
  <c r="K123" i="8"/>
  <c r="J123" i="8"/>
  <c r="H123" i="8"/>
  <c r="G123" i="8"/>
  <c r="F123" i="8"/>
  <c r="D123" i="8"/>
  <c r="P121" i="8"/>
  <c r="I123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P116" i="8"/>
  <c r="P115" i="8"/>
  <c r="P114" i="8"/>
  <c r="P113" i="8"/>
  <c r="O111" i="8"/>
  <c r="O118" i="8" s="1"/>
  <c r="N111" i="8"/>
  <c r="M111" i="8"/>
  <c r="M118" i="8" s="1"/>
  <c r="L111" i="8"/>
  <c r="K111" i="8"/>
  <c r="K118" i="8" s="1"/>
  <c r="J111" i="8"/>
  <c r="I111" i="8"/>
  <c r="I118" i="8" s="1"/>
  <c r="H111" i="8"/>
  <c r="G111" i="8"/>
  <c r="F111" i="8"/>
  <c r="F118" i="8" s="1"/>
  <c r="E111" i="8"/>
  <c r="D111" i="8"/>
  <c r="D118" i="8" s="1"/>
  <c r="P110" i="8"/>
  <c r="P109" i="8"/>
  <c r="P108" i="8"/>
  <c r="P107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P104" i="8"/>
  <c r="P103" i="8"/>
  <c r="P102" i="8"/>
  <c r="P101" i="8"/>
  <c r="P98" i="8"/>
  <c r="O94" i="8"/>
  <c r="G94" i="8"/>
  <c r="O93" i="8"/>
  <c r="N93" i="8"/>
  <c r="M93" i="8"/>
  <c r="L93" i="8"/>
  <c r="K93" i="8"/>
  <c r="J93" i="8"/>
  <c r="I93" i="8"/>
  <c r="H93" i="8"/>
  <c r="G93" i="8"/>
  <c r="F93" i="8"/>
  <c r="E93" i="8"/>
  <c r="D93" i="8"/>
  <c r="O92" i="8"/>
  <c r="N92" i="8"/>
  <c r="M92" i="8"/>
  <c r="L92" i="8"/>
  <c r="K92" i="8"/>
  <c r="J92" i="8"/>
  <c r="I92" i="8"/>
  <c r="H92" i="8"/>
  <c r="G92" i="8"/>
  <c r="F92" i="8"/>
  <c r="E92" i="8"/>
  <c r="D92" i="8"/>
  <c r="O91" i="8"/>
  <c r="O256" i="8" s="1"/>
  <c r="O258" i="8" s="1"/>
  <c r="N91" i="8"/>
  <c r="N256" i="8" s="1"/>
  <c r="N258" i="8" s="1"/>
  <c r="M91" i="8"/>
  <c r="M256" i="8" s="1"/>
  <c r="M258" i="8" s="1"/>
  <c r="L91" i="8"/>
  <c r="L256" i="8" s="1"/>
  <c r="L258" i="8" s="1"/>
  <c r="K91" i="8"/>
  <c r="K256" i="8" s="1"/>
  <c r="K258" i="8" s="1"/>
  <c r="J91" i="8"/>
  <c r="J256" i="8" s="1"/>
  <c r="J258" i="8" s="1"/>
  <c r="I91" i="8"/>
  <c r="I256" i="8" s="1"/>
  <c r="I258" i="8" s="1"/>
  <c r="H91" i="8"/>
  <c r="H256" i="8" s="1"/>
  <c r="H258" i="8" s="1"/>
  <c r="G91" i="8"/>
  <c r="G256" i="8" s="1"/>
  <c r="G258" i="8" s="1"/>
  <c r="F91" i="8"/>
  <c r="F256" i="8" s="1"/>
  <c r="F258" i="8" s="1"/>
  <c r="E91" i="8"/>
  <c r="E256" i="8" s="1"/>
  <c r="E258" i="8" s="1"/>
  <c r="D91" i="8"/>
  <c r="P91" i="8" s="1"/>
  <c r="O88" i="8"/>
  <c r="O89" i="8" s="1"/>
  <c r="N88" i="8"/>
  <c r="N89" i="8" s="1"/>
  <c r="M88" i="8"/>
  <c r="M89" i="8" s="1"/>
  <c r="L88" i="8"/>
  <c r="L89" i="8" s="1"/>
  <c r="K88" i="8"/>
  <c r="K89" i="8" s="1"/>
  <c r="J88" i="8"/>
  <c r="J89" i="8" s="1"/>
  <c r="I88" i="8"/>
  <c r="I89" i="8" s="1"/>
  <c r="H88" i="8"/>
  <c r="G88" i="8"/>
  <c r="F88" i="8"/>
  <c r="E88" i="8"/>
  <c r="D88" i="8"/>
  <c r="D89" i="8" s="1"/>
  <c r="E84" i="8" s="1"/>
  <c r="E89" i="8" s="1"/>
  <c r="F84" i="8" s="1"/>
  <c r="F89" i="8" s="1"/>
  <c r="G84" i="8" s="1"/>
  <c r="G89" i="8" s="1"/>
  <c r="H84" i="8" s="1"/>
  <c r="H89" i="8" s="1"/>
  <c r="P87" i="8"/>
  <c r="P86" i="8"/>
  <c r="P85" i="8"/>
  <c r="P84" i="8"/>
  <c r="P89" i="8" s="1"/>
  <c r="N82" i="8"/>
  <c r="M82" i="8"/>
  <c r="K82" i="8"/>
  <c r="J82" i="8"/>
  <c r="I82" i="8"/>
  <c r="H82" i="8"/>
  <c r="G82" i="8"/>
  <c r="F82" i="8"/>
  <c r="E82" i="8"/>
  <c r="D82" i="8"/>
  <c r="D83" i="8" s="1"/>
  <c r="E78" i="8" s="1"/>
  <c r="E83" i="8" s="1"/>
  <c r="F78" i="8" s="1"/>
  <c r="F83" i="8" s="1"/>
  <c r="G78" i="8" s="1"/>
  <c r="G83" i="8" s="1"/>
  <c r="H78" i="8" s="1"/>
  <c r="H83" i="8" s="1"/>
  <c r="I78" i="8" s="1"/>
  <c r="I83" i="8" s="1"/>
  <c r="J78" i="8" s="1"/>
  <c r="J83" i="8" s="1"/>
  <c r="K78" i="8" s="1"/>
  <c r="K83" i="8" s="1"/>
  <c r="L78" i="8" s="1"/>
  <c r="L83" i="8" s="1"/>
  <c r="M78" i="8" s="1"/>
  <c r="M83" i="8" s="1"/>
  <c r="N78" i="8" s="1"/>
  <c r="N83" i="8" s="1"/>
  <c r="O78" i="8" s="1"/>
  <c r="O83" i="8" s="1"/>
  <c r="P81" i="8"/>
  <c r="P80" i="8"/>
  <c r="P79" i="8"/>
  <c r="P78" i="8"/>
  <c r="O77" i="8"/>
  <c r="L77" i="8"/>
  <c r="K77" i="8"/>
  <c r="N76" i="8"/>
  <c r="N77" i="8" s="1"/>
  <c r="M76" i="8"/>
  <c r="M77" i="8" s="1"/>
  <c r="K76" i="8"/>
  <c r="J76" i="8"/>
  <c r="J77" i="8" s="1"/>
  <c r="I76" i="8"/>
  <c r="H76" i="8"/>
  <c r="G76" i="8"/>
  <c r="F76" i="8"/>
  <c r="E76" i="8"/>
  <c r="D76" i="8"/>
  <c r="D77" i="8" s="1"/>
  <c r="E72" i="8" s="1"/>
  <c r="E77" i="8" s="1"/>
  <c r="F72" i="8" s="1"/>
  <c r="F77" i="8" s="1"/>
  <c r="G72" i="8" s="1"/>
  <c r="G77" i="8" s="1"/>
  <c r="H72" i="8" s="1"/>
  <c r="H77" i="8" s="1"/>
  <c r="I72" i="8" s="1"/>
  <c r="I77" i="8" s="1"/>
  <c r="P75" i="8"/>
  <c r="P74" i="8"/>
  <c r="P76" i="8" s="1"/>
  <c r="P73" i="8"/>
  <c r="P72" i="8"/>
  <c r="K70" i="8"/>
  <c r="J70" i="8"/>
  <c r="I70" i="8"/>
  <c r="H70" i="8"/>
  <c r="G70" i="8"/>
  <c r="F70" i="8"/>
  <c r="E70" i="8"/>
  <c r="D70" i="8"/>
  <c r="P69" i="8"/>
  <c r="P68" i="8"/>
  <c r="P70" i="8" s="1"/>
  <c r="P67" i="8"/>
  <c r="P66" i="8"/>
  <c r="P71" i="8" s="1"/>
  <c r="P63" i="8"/>
  <c r="M62" i="8"/>
  <c r="L62" i="8"/>
  <c r="K62" i="8"/>
  <c r="J62" i="8"/>
  <c r="I62" i="8"/>
  <c r="H62" i="8"/>
  <c r="G62" i="8"/>
  <c r="F62" i="8"/>
  <c r="E62" i="8"/>
  <c r="D62" i="8"/>
  <c r="P61" i="8"/>
  <c r="P56" i="8"/>
  <c r="P55" i="8"/>
  <c r="P54" i="8"/>
  <c r="P52" i="8"/>
  <c r="P51" i="8"/>
  <c r="P50" i="8"/>
  <c r="P49" i="8"/>
  <c r="N47" i="8"/>
  <c r="M47" i="8"/>
  <c r="L47" i="8"/>
  <c r="K47" i="8"/>
  <c r="J47" i="8"/>
  <c r="I47" i="8"/>
  <c r="H47" i="8"/>
  <c r="F47" i="8"/>
  <c r="E47" i="8"/>
  <c r="N45" i="8"/>
  <c r="M45" i="8"/>
  <c r="L45" i="8"/>
  <c r="J45" i="8"/>
  <c r="I45" i="8"/>
  <c r="H45" i="8"/>
  <c r="G45" i="8"/>
  <c r="F45" i="8"/>
  <c r="E45" i="8"/>
  <c r="D45" i="8"/>
  <c r="P44" i="8"/>
  <c r="O41" i="8"/>
  <c r="N41" i="8"/>
  <c r="M41" i="8"/>
  <c r="L41" i="8"/>
  <c r="K41" i="8"/>
  <c r="J41" i="8"/>
  <c r="J42" i="8" s="1"/>
  <c r="I41" i="8"/>
  <c r="I42" i="8" s="1"/>
  <c r="H41" i="8"/>
  <c r="H42" i="8" s="1"/>
  <c r="G41" i="8"/>
  <c r="F41" i="8"/>
  <c r="E41" i="8"/>
  <c r="D41" i="8"/>
  <c r="D42" i="8" s="1"/>
  <c r="N40" i="8"/>
  <c r="M40" i="8"/>
  <c r="L40" i="8"/>
  <c r="K40" i="8"/>
  <c r="J40" i="8"/>
  <c r="I40" i="8"/>
  <c r="H40" i="8"/>
  <c r="G40" i="8"/>
  <c r="F40" i="8"/>
  <c r="E40" i="8"/>
  <c r="D40" i="8"/>
  <c r="P39" i="8"/>
  <c r="N38" i="8"/>
  <c r="M38" i="8"/>
  <c r="L38" i="8"/>
  <c r="K38" i="8"/>
  <c r="J38" i="8"/>
  <c r="I38" i="8"/>
  <c r="H38" i="8"/>
  <c r="G38" i="8"/>
  <c r="F38" i="8"/>
  <c r="E38" i="8"/>
  <c r="D38" i="8"/>
  <c r="P37" i="8"/>
  <c r="N34" i="8"/>
  <c r="M34" i="8"/>
  <c r="L34" i="8"/>
  <c r="K34" i="8"/>
  <c r="J34" i="8"/>
  <c r="I34" i="8"/>
  <c r="H34" i="8"/>
  <c r="G34" i="8"/>
  <c r="F34" i="8"/>
  <c r="E34" i="8"/>
  <c r="D34" i="8"/>
  <c r="P33" i="8"/>
  <c r="N32" i="8"/>
  <c r="M32" i="8"/>
  <c r="L32" i="8"/>
  <c r="K32" i="8"/>
  <c r="J32" i="8"/>
  <c r="I32" i="8"/>
  <c r="H32" i="8"/>
  <c r="G32" i="8"/>
  <c r="F32" i="8"/>
  <c r="E32" i="8"/>
  <c r="D32" i="8"/>
  <c r="P31" i="8"/>
  <c r="N30" i="8"/>
  <c r="M30" i="8"/>
  <c r="L30" i="8"/>
  <c r="I30" i="8"/>
  <c r="H30" i="8"/>
  <c r="G30" i="8"/>
  <c r="F30" i="8"/>
  <c r="E30" i="8"/>
  <c r="D30" i="8"/>
  <c r="P29" i="8"/>
  <c r="O21" i="8"/>
  <c r="N21" i="8"/>
  <c r="M21" i="8"/>
  <c r="L21" i="8"/>
  <c r="K21" i="8"/>
  <c r="J21" i="8"/>
  <c r="I21" i="8"/>
  <c r="H21" i="8"/>
  <c r="G21" i="8"/>
  <c r="F21" i="8"/>
  <c r="E21" i="8"/>
  <c r="D21" i="8"/>
  <c r="P20" i="8"/>
  <c r="P19" i="8"/>
  <c r="P18" i="8"/>
  <c r="P17" i="8"/>
  <c r="O15" i="8"/>
  <c r="N15" i="8"/>
  <c r="N22" i="8" s="1"/>
  <c r="N24" i="8" s="1"/>
  <c r="N25" i="8" s="1"/>
  <c r="M15" i="8"/>
  <c r="M22" i="8" s="1"/>
  <c r="M24" i="8" s="1"/>
  <c r="M25" i="8" s="1"/>
  <c r="L15" i="8"/>
  <c r="K15" i="8"/>
  <c r="J15" i="8"/>
  <c r="J22" i="8" s="1"/>
  <c r="J24" i="8" s="1"/>
  <c r="J25" i="8" s="1"/>
  <c r="I15" i="8"/>
  <c r="H15" i="8"/>
  <c r="G15" i="8"/>
  <c r="F15" i="8"/>
  <c r="F22" i="8" s="1"/>
  <c r="F24" i="8" s="1"/>
  <c r="F25" i="8" s="1"/>
  <c r="E15" i="8"/>
  <c r="D15" i="8"/>
  <c r="P14" i="8"/>
  <c r="P13" i="8"/>
  <c r="P12" i="8"/>
  <c r="P11" i="8"/>
  <c r="P9" i="8"/>
  <c r="P32" i="8" s="1"/>
  <c r="O263" i="7"/>
  <c r="N263" i="7"/>
  <c r="M263" i="7"/>
  <c r="L263" i="7"/>
  <c r="K263" i="7"/>
  <c r="J263" i="7"/>
  <c r="I263" i="7"/>
  <c r="H263" i="7"/>
  <c r="G263" i="7"/>
  <c r="F263" i="7"/>
  <c r="E263" i="7"/>
  <c r="D263" i="7"/>
  <c r="P262" i="7"/>
  <c r="P261" i="7"/>
  <c r="P257" i="7"/>
  <c r="P254" i="7"/>
  <c r="P253" i="7"/>
  <c r="O247" i="7"/>
  <c r="N247" i="7"/>
  <c r="M247" i="7"/>
  <c r="L247" i="7"/>
  <c r="J247" i="7"/>
  <c r="H247" i="7"/>
  <c r="G247" i="7"/>
  <c r="F247" i="7"/>
  <c r="P246" i="7"/>
  <c r="D247" i="7"/>
  <c r="P245" i="7"/>
  <c r="K247" i="7"/>
  <c r="I247" i="7"/>
  <c r="E247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P241" i="7"/>
  <c r="P240" i="7"/>
  <c r="P239" i="7"/>
  <c r="P238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P235" i="7"/>
  <c r="P234" i="7"/>
  <c r="P233" i="7"/>
  <c r="P232" i="7"/>
  <c r="P229" i="7"/>
  <c r="K229" i="7"/>
  <c r="K230" i="7" s="1"/>
  <c r="P228" i="7"/>
  <c r="P227" i="7"/>
  <c r="P226" i="7"/>
  <c r="P225" i="7"/>
  <c r="O223" i="7"/>
  <c r="O230" i="7" s="1"/>
  <c r="N223" i="7"/>
  <c r="N230" i="7" s="1"/>
  <c r="N243" i="7" s="1"/>
  <c r="M223" i="7"/>
  <c r="M230" i="7" s="1"/>
  <c r="M243" i="7" s="1"/>
  <c r="L223" i="7"/>
  <c r="L230" i="7" s="1"/>
  <c r="J223" i="7"/>
  <c r="J230" i="7" s="1"/>
  <c r="I223" i="7"/>
  <c r="H223" i="7"/>
  <c r="H230" i="7" s="1"/>
  <c r="G223" i="7"/>
  <c r="G230" i="7" s="1"/>
  <c r="F223" i="7"/>
  <c r="F230" i="7" s="1"/>
  <c r="E223" i="7"/>
  <c r="E230" i="7" s="1"/>
  <c r="D230" i="7"/>
  <c r="P222" i="7"/>
  <c r="P221" i="7"/>
  <c r="P220" i="7"/>
  <c r="P219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P215" i="7"/>
  <c r="P214" i="7"/>
  <c r="P213" i="7"/>
  <c r="P212" i="7"/>
  <c r="O210" i="7"/>
  <c r="O217" i="7" s="1"/>
  <c r="N210" i="7"/>
  <c r="M210" i="7"/>
  <c r="L210" i="7"/>
  <c r="K210" i="7"/>
  <c r="K250" i="7" s="1"/>
  <c r="J210" i="7"/>
  <c r="I210" i="7"/>
  <c r="H210" i="7"/>
  <c r="G210" i="7"/>
  <c r="F210" i="7"/>
  <c r="E210" i="7"/>
  <c r="E251" i="7" s="1"/>
  <c r="D210" i="7"/>
  <c r="P209" i="7"/>
  <c r="P208" i="7"/>
  <c r="P207" i="7"/>
  <c r="P206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P203" i="7"/>
  <c r="P202" i="7"/>
  <c r="P201" i="7"/>
  <c r="P200" i="7"/>
  <c r="P199" i="7"/>
  <c r="P197" i="7"/>
  <c r="P196" i="7"/>
  <c r="P195" i="7"/>
  <c r="P194" i="7"/>
  <c r="L193" i="7"/>
  <c r="K193" i="7"/>
  <c r="J193" i="7"/>
  <c r="I193" i="7"/>
  <c r="H193" i="7"/>
  <c r="G193" i="7"/>
  <c r="F193" i="7"/>
  <c r="E193" i="7"/>
  <c r="D193" i="7"/>
  <c r="P192" i="7"/>
  <c r="P191" i="7"/>
  <c r="P190" i="7"/>
  <c r="P189" i="7"/>
  <c r="P187" i="7"/>
  <c r="P186" i="7"/>
  <c r="P185" i="7"/>
  <c r="P184" i="7"/>
  <c r="P182" i="7"/>
  <c r="P181" i="7"/>
  <c r="P180" i="7"/>
  <c r="P179" i="7"/>
  <c r="P178" i="7"/>
  <c r="P177" i="7"/>
  <c r="P175" i="7"/>
  <c r="P174" i="7"/>
  <c r="P173" i="7"/>
  <c r="P172" i="7"/>
  <c r="P171" i="7"/>
  <c r="P170" i="7"/>
  <c r="P169" i="7"/>
  <c r="P168" i="7"/>
  <c r="P167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O145" i="7"/>
  <c r="O149" i="7" s="1"/>
  <c r="N145" i="7"/>
  <c r="N149" i="7" s="1"/>
  <c r="M145" i="7"/>
  <c r="M149" i="7" s="1"/>
  <c r="L145" i="7"/>
  <c r="K145" i="7"/>
  <c r="J145" i="7"/>
  <c r="I145" i="7"/>
  <c r="D145" i="7"/>
  <c r="D149" i="7" s="1"/>
  <c r="O144" i="7"/>
  <c r="N144" i="7"/>
  <c r="M144" i="7"/>
  <c r="L144" i="7"/>
  <c r="K144" i="7"/>
  <c r="J144" i="7"/>
  <c r="I144" i="7"/>
  <c r="H144" i="7"/>
  <c r="G144" i="7"/>
  <c r="F144" i="7"/>
  <c r="E144" i="7"/>
  <c r="D144" i="7"/>
  <c r="P143" i="7"/>
  <c r="P142" i="7"/>
  <c r="P141" i="7"/>
  <c r="P140" i="7"/>
  <c r="O139" i="7"/>
  <c r="N139" i="7"/>
  <c r="M139" i="7"/>
  <c r="L139" i="7"/>
  <c r="K139" i="7"/>
  <c r="J139" i="7"/>
  <c r="I139" i="7"/>
  <c r="F139" i="7"/>
  <c r="G135" i="7" s="1"/>
  <c r="G139" i="7" s="1"/>
  <c r="H135" i="7" s="1"/>
  <c r="H139" i="7" s="1"/>
  <c r="D139" i="7"/>
  <c r="E135" i="7" s="1"/>
  <c r="P138" i="7"/>
  <c r="P137" i="7"/>
  <c r="P136" i="7"/>
  <c r="P135" i="7"/>
  <c r="O134" i="7"/>
  <c r="N134" i="7"/>
  <c r="M134" i="7"/>
  <c r="L134" i="7"/>
  <c r="K134" i="7"/>
  <c r="J134" i="7"/>
  <c r="I134" i="7"/>
  <c r="D134" i="7"/>
  <c r="E130" i="7" s="1"/>
  <c r="E134" i="7" s="1"/>
  <c r="F130" i="7" s="1"/>
  <c r="P133" i="7"/>
  <c r="P132" i="7"/>
  <c r="P131" i="7"/>
  <c r="P130" i="7"/>
  <c r="O129" i="7"/>
  <c r="N129" i="7"/>
  <c r="M129" i="7"/>
  <c r="L129" i="7"/>
  <c r="K129" i="7"/>
  <c r="J129" i="7"/>
  <c r="I129" i="7"/>
  <c r="F129" i="7"/>
  <c r="E129" i="7"/>
  <c r="D129" i="7"/>
  <c r="P128" i="7"/>
  <c r="P127" i="7"/>
  <c r="P126" i="7"/>
  <c r="P125" i="7"/>
  <c r="N123" i="7"/>
  <c r="M123" i="7"/>
  <c r="F123" i="7"/>
  <c r="E123" i="7"/>
  <c r="P122" i="7"/>
  <c r="L123" i="7"/>
  <c r="K123" i="7"/>
  <c r="J123" i="7"/>
  <c r="D123" i="7"/>
  <c r="P121" i="7"/>
  <c r="I123" i="7"/>
  <c r="H123" i="7"/>
  <c r="G123" i="7"/>
  <c r="O117" i="7"/>
  <c r="N117" i="7"/>
  <c r="M117" i="7"/>
  <c r="L117" i="7"/>
  <c r="K117" i="7"/>
  <c r="J117" i="7"/>
  <c r="I117" i="7"/>
  <c r="H117" i="7"/>
  <c r="G117" i="7"/>
  <c r="F117" i="7"/>
  <c r="D117" i="7"/>
  <c r="P116" i="7"/>
  <c r="P115" i="7"/>
  <c r="P114" i="7"/>
  <c r="P113" i="7"/>
  <c r="O111" i="7"/>
  <c r="N111" i="7"/>
  <c r="M111" i="7"/>
  <c r="M118" i="7" s="1"/>
  <c r="L111" i="7"/>
  <c r="K111" i="7"/>
  <c r="J111" i="7"/>
  <c r="I111" i="7"/>
  <c r="I118" i="7" s="1"/>
  <c r="H111" i="7"/>
  <c r="G111" i="7"/>
  <c r="F111" i="7"/>
  <c r="E111" i="7"/>
  <c r="E118" i="7" s="1"/>
  <c r="D111" i="7"/>
  <c r="P110" i="7"/>
  <c r="P109" i="7"/>
  <c r="P108" i="7"/>
  <c r="P107" i="7"/>
  <c r="O105" i="7"/>
  <c r="P105" i="7" s="1"/>
  <c r="N105" i="7"/>
  <c r="M105" i="7"/>
  <c r="L105" i="7"/>
  <c r="K105" i="7"/>
  <c r="J105" i="7"/>
  <c r="I105" i="7"/>
  <c r="H105" i="7"/>
  <c r="G105" i="7"/>
  <c r="F105" i="7"/>
  <c r="E105" i="7"/>
  <c r="D105" i="7"/>
  <c r="P104" i="7"/>
  <c r="P103" i="7"/>
  <c r="P102" i="7"/>
  <c r="P98" i="7"/>
  <c r="O93" i="7"/>
  <c r="N93" i="7"/>
  <c r="M93" i="7"/>
  <c r="L93" i="7"/>
  <c r="K93" i="7"/>
  <c r="J93" i="7"/>
  <c r="I93" i="7"/>
  <c r="H93" i="7"/>
  <c r="G93" i="7"/>
  <c r="F93" i="7"/>
  <c r="E93" i="7"/>
  <c r="D93" i="7"/>
  <c r="O92" i="7"/>
  <c r="O94" i="7" s="1"/>
  <c r="N92" i="7"/>
  <c r="M92" i="7"/>
  <c r="L92" i="7"/>
  <c r="K92" i="7"/>
  <c r="J92" i="7"/>
  <c r="I92" i="7"/>
  <c r="I94" i="7" s="1"/>
  <c r="H92" i="7"/>
  <c r="G92" i="7"/>
  <c r="G94" i="7" s="1"/>
  <c r="F92" i="7"/>
  <c r="E92" i="7"/>
  <c r="D92" i="7"/>
  <c r="O91" i="7"/>
  <c r="O256" i="7" s="1"/>
  <c r="O258" i="7" s="1"/>
  <c r="N91" i="7"/>
  <c r="N256" i="7" s="1"/>
  <c r="N258" i="7" s="1"/>
  <c r="M91" i="7"/>
  <c r="M256" i="7" s="1"/>
  <c r="M258" i="7" s="1"/>
  <c r="L91" i="7"/>
  <c r="L256" i="7" s="1"/>
  <c r="L258" i="7" s="1"/>
  <c r="K91" i="7"/>
  <c r="K256" i="7" s="1"/>
  <c r="K258" i="7" s="1"/>
  <c r="J91" i="7"/>
  <c r="J256" i="7" s="1"/>
  <c r="J258" i="7" s="1"/>
  <c r="I91" i="7"/>
  <c r="I256" i="7" s="1"/>
  <c r="I258" i="7" s="1"/>
  <c r="H91" i="7"/>
  <c r="H256" i="7" s="1"/>
  <c r="H258" i="7" s="1"/>
  <c r="G91" i="7"/>
  <c r="G256" i="7" s="1"/>
  <c r="G258" i="7" s="1"/>
  <c r="F91" i="7"/>
  <c r="E91" i="7"/>
  <c r="E256" i="7" s="1"/>
  <c r="E258" i="7" s="1"/>
  <c r="D91" i="7"/>
  <c r="D256" i="7" s="1"/>
  <c r="D258" i="7" s="1"/>
  <c r="O88" i="7"/>
  <c r="O89" i="7" s="1"/>
  <c r="N88" i="7"/>
  <c r="N89" i="7" s="1"/>
  <c r="M88" i="7"/>
  <c r="M89" i="7" s="1"/>
  <c r="L88" i="7"/>
  <c r="L89" i="7" s="1"/>
  <c r="K88" i="7"/>
  <c r="K89" i="7" s="1"/>
  <c r="J88" i="7"/>
  <c r="J89" i="7" s="1"/>
  <c r="I88" i="7"/>
  <c r="I89" i="7" s="1"/>
  <c r="H88" i="7"/>
  <c r="G88" i="7"/>
  <c r="F88" i="7"/>
  <c r="E88" i="7"/>
  <c r="D88" i="7"/>
  <c r="D89" i="7" s="1"/>
  <c r="E84" i="7" s="1"/>
  <c r="P87" i="7"/>
  <c r="P86" i="7"/>
  <c r="P85" i="7"/>
  <c r="P84" i="7"/>
  <c r="N82" i="7"/>
  <c r="M82" i="7"/>
  <c r="K82" i="7"/>
  <c r="J82" i="7"/>
  <c r="I82" i="7"/>
  <c r="H82" i="7"/>
  <c r="G82" i="7"/>
  <c r="F82" i="7"/>
  <c r="E82" i="7"/>
  <c r="D82" i="7"/>
  <c r="D83" i="7" s="1"/>
  <c r="E78" i="7" s="1"/>
  <c r="P81" i="7"/>
  <c r="P80" i="7"/>
  <c r="P79" i="7"/>
  <c r="P78" i="7"/>
  <c r="O77" i="7"/>
  <c r="L77" i="7"/>
  <c r="N76" i="7"/>
  <c r="N77" i="7" s="1"/>
  <c r="M76" i="7"/>
  <c r="M77" i="7" s="1"/>
  <c r="K76" i="7"/>
  <c r="K77" i="7" s="1"/>
  <c r="J76" i="7"/>
  <c r="J77" i="7" s="1"/>
  <c r="I76" i="7"/>
  <c r="H76" i="7"/>
  <c r="G76" i="7"/>
  <c r="F76" i="7"/>
  <c r="E76" i="7"/>
  <c r="D76" i="7"/>
  <c r="D77" i="7" s="1"/>
  <c r="E72" i="7" s="1"/>
  <c r="E77" i="7" s="1"/>
  <c r="F72" i="7" s="1"/>
  <c r="P75" i="7"/>
  <c r="P74" i="7"/>
  <c r="P73" i="7"/>
  <c r="P72" i="7"/>
  <c r="K70" i="7"/>
  <c r="J70" i="7"/>
  <c r="I70" i="7"/>
  <c r="H70" i="7"/>
  <c r="G70" i="7"/>
  <c r="F70" i="7"/>
  <c r="E70" i="7"/>
  <c r="D70" i="7"/>
  <c r="P69" i="7"/>
  <c r="P68" i="7"/>
  <c r="P67" i="7"/>
  <c r="D71" i="7"/>
  <c r="E66" i="7" s="1"/>
  <c r="P63" i="7"/>
  <c r="N62" i="7"/>
  <c r="M62" i="7"/>
  <c r="L62" i="7"/>
  <c r="K62" i="7"/>
  <c r="J62" i="7"/>
  <c r="I62" i="7"/>
  <c r="H62" i="7"/>
  <c r="G62" i="7"/>
  <c r="F62" i="7"/>
  <c r="E62" i="7"/>
  <c r="D62" i="7"/>
  <c r="P61" i="7"/>
  <c r="P56" i="7"/>
  <c r="P55" i="7"/>
  <c r="P54" i="7"/>
  <c r="P52" i="7"/>
  <c r="P51" i="7"/>
  <c r="P50" i="7"/>
  <c r="P49" i="7"/>
  <c r="N47" i="7"/>
  <c r="M47" i="7"/>
  <c r="L47" i="7"/>
  <c r="K47" i="7"/>
  <c r="J47" i="7"/>
  <c r="I47" i="7"/>
  <c r="H47" i="7"/>
  <c r="G47" i="7"/>
  <c r="E47" i="7"/>
  <c r="N45" i="7"/>
  <c r="M45" i="7"/>
  <c r="L45" i="7"/>
  <c r="K45" i="7"/>
  <c r="F45" i="7"/>
  <c r="E45" i="7"/>
  <c r="D45" i="7"/>
  <c r="P44" i="7"/>
  <c r="O41" i="7"/>
  <c r="N41" i="7"/>
  <c r="M41" i="7"/>
  <c r="L41" i="7"/>
  <c r="L42" i="7" s="1"/>
  <c r="K41" i="7"/>
  <c r="K42" i="7" s="1"/>
  <c r="J41" i="7"/>
  <c r="J42" i="7" s="1"/>
  <c r="I41" i="7"/>
  <c r="H41" i="7"/>
  <c r="H42" i="7" s="1"/>
  <c r="G41" i="7"/>
  <c r="F41" i="7"/>
  <c r="F42" i="7" s="1"/>
  <c r="E41" i="7"/>
  <c r="D41" i="7"/>
  <c r="D42" i="7" s="1"/>
  <c r="N40" i="7"/>
  <c r="M40" i="7"/>
  <c r="L40" i="7"/>
  <c r="K40" i="7"/>
  <c r="J40" i="7"/>
  <c r="I40" i="7"/>
  <c r="H40" i="7"/>
  <c r="G40" i="7"/>
  <c r="F40" i="7"/>
  <c r="E40" i="7"/>
  <c r="D40" i="7"/>
  <c r="P39" i="7"/>
  <c r="N38" i="7"/>
  <c r="M38" i="7"/>
  <c r="L38" i="7"/>
  <c r="K38" i="7"/>
  <c r="J38" i="7"/>
  <c r="I38" i="7"/>
  <c r="H38" i="7"/>
  <c r="G38" i="7"/>
  <c r="F38" i="7"/>
  <c r="E38" i="7"/>
  <c r="D38" i="7"/>
  <c r="P37" i="7"/>
  <c r="N34" i="7"/>
  <c r="M34" i="7"/>
  <c r="L34" i="7"/>
  <c r="K34" i="7"/>
  <c r="J34" i="7"/>
  <c r="I34" i="7"/>
  <c r="H34" i="7"/>
  <c r="G34" i="7"/>
  <c r="F34" i="7"/>
  <c r="E34" i="7"/>
  <c r="D34" i="7"/>
  <c r="P33" i="7"/>
  <c r="N32" i="7"/>
  <c r="M32" i="7"/>
  <c r="L32" i="7"/>
  <c r="K32" i="7"/>
  <c r="J32" i="7"/>
  <c r="I32" i="7"/>
  <c r="H32" i="7"/>
  <c r="G32" i="7"/>
  <c r="F32" i="7"/>
  <c r="E32" i="7"/>
  <c r="D32" i="7"/>
  <c r="P31" i="7"/>
  <c r="N30" i="7"/>
  <c r="M30" i="7"/>
  <c r="L30" i="7"/>
  <c r="K30" i="7"/>
  <c r="H30" i="7"/>
  <c r="G30" i="7"/>
  <c r="F30" i="7"/>
  <c r="E30" i="7"/>
  <c r="D30" i="7"/>
  <c r="P29" i="7"/>
  <c r="O21" i="7"/>
  <c r="N21" i="7"/>
  <c r="M21" i="7"/>
  <c r="L21" i="7"/>
  <c r="K21" i="7"/>
  <c r="J21" i="7"/>
  <c r="I21" i="7"/>
  <c r="H21" i="7"/>
  <c r="G21" i="7"/>
  <c r="F21" i="7"/>
  <c r="E21" i="7"/>
  <c r="D21" i="7"/>
  <c r="P20" i="7"/>
  <c r="P19" i="7"/>
  <c r="P18" i="7"/>
  <c r="P17" i="7"/>
  <c r="O15" i="7"/>
  <c r="N15" i="7"/>
  <c r="N22" i="7" s="1"/>
  <c r="N24" i="7" s="1"/>
  <c r="N25" i="7" s="1"/>
  <c r="M15" i="7"/>
  <c r="L15" i="7"/>
  <c r="K15" i="7"/>
  <c r="K22" i="7" s="1"/>
  <c r="K24" i="7" s="1"/>
  <c r="K25" i="7" s="1"/>
  <c r="J15" i="7"/>
  <c r="J22" i="7" s="1"/>
  <c r="J24" i="7" s="1"/>
  <c r="J25" i="7" s="1"/>
  <c r="I15" i="7"/>
  <c r="H15" i="7"/>
  <c r="G15" i="7"/>
  <c r="F15" i="7"/>
  <c r="F22" i="7" s="1"/>
  <c r="F24" i="7" s="1"/>
  <c r="F25" i="7" s="1"/>
  <c r="E15" i="7"/>
  <c r="D15" i="7"/>
  <c r="D22" i="7" s="1"/>
  <c r="D24" i="7" s="1"/>
  <c r="D25" i="7" s="1"/>
  <c r="P14" i="7"/>
  <c r="P13" i="7"/>
  <c r="P12" i="7"/>
  <c r="P11" i="7"/>
  <c r="P9" i="7"/>
  <c r="O263" i="6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7" i="6"/>
  <c r="P254" i="6"/>
  <c r="P253" i="6"/>
  <c r="O247" i="6"/>
  <c r="N247" i="6"/>
  <c r="M247" i="6"/>
  <c r="L247" i="6"/>
  <c r="K247" i="6"/>
  <c r="J247" i="6"/>
  <c r="I247" i="6"/>
  <c r="H247" i="6"/>
  <c r="G247" i="6"/>
  <c r="F247" i="6"/>
  <c r="P246" i="6"/>
  <c r="P245" i="6"/>
  <c r="E247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J229" i="11"/>
  <c r="I229" i="11"/>
  <c r="P228" i="6"/>
  <c r="P227" i="6"/>
  <c r="P226" i="6"/>
  <c r="P225" i="6"/>
  <c r="O223" i="6"/>
  <c r="O230" i="6" s="1"/>
  <c r="N223" i="6"/>
  <c r="N230" i="6" s="1"/>
  <c r="M223" i="6"/>
  <c r="M230" i="6" s="1"/>
  <c r="L223" i="6"/>
  <c r="K223" i="6"/>
  <c r="J223" i="6"/>
  <c r="I223" i="6"/>
  <c r="I230" i="6" s="1"/>
  <c r="H223" i="6"/>
  <c r="G223" i="6"/>
  <c r="G230" i="6" s="1"/>
  <c r="F230" i="6"/>
  <c r="E223" i="6"/>
  <c r="E230" i="6" s="1"/>
  <c r="D223" i="6"/>
  <c r="P222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50" i="6" s="1"/>
  <c r="N210" i="6"/>
  <c r="M210" i="6"/>
  <c r="M251" i="6" s="1"/>
  <c r="L210" i="6"/>
  <c r="K210" i="6"/>
  <c r="K217" i="6" s="1"/>
  <c r="J210" i="6"/>
  <c r="I210" i="6"/>
  <c r="I250" i="6" s="1"/>
  <c r="H210" i="6"/>
  <c r="H250" i="6" s="1"/>
  <c r="G210" i="6"/>
  <c r="G250" i="6" s="1"/>
  <c r="F210" i="6"/>
  <c r="E210" i="6"/>
  <c r="E251" i="6" s="1"/>
  <c r="D210" i="6"/>
  <c r="P209" i="6"/>
  <c r="P208" i="6"/>
  <c r="P207" i="6"/>
  <c r="P206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P203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N146" i="6"/>
  <c r="M146" i="6"/>
  <c r="L146" i="6"/>
  <c r="K146" i="6"/>
  <c r="J146" i="6"/>
  <c r="I146" i="6"/>
  <c r="H146" i="6"/>
  <c r="G146" i="6"/>
  <c r="F146" i="6"/>
  <c r="E146" i="6"/>
  <c r="D146" i="6"/>
  <c r="D145" i="6"/>
  <c r="G144" i="6"/>
  <c r="H140" i="6" s="1"/>
  <c r="H144" i="6" s="1"/>
  <c r="I140" i="6" s="1"/>
  <c r="D144" i="6"/>
  <c r="P143" i="6"/>
  <c r="P142" i="6"/>
  <c r="P141" i="6"/>
  <c r="P140" i="6"/>
  <c r="N139" i="6"/>
  <c r="M139" i="6"/>
  <c r="L139" i="6"/>
  <c r="K139" i="6"/>
  <c r="J139" i="6"/>
  <c r="I139" i="6"/>
  <c r="F139" i="6"/>
  <c r="G135" i="6" s="1"/>
  <c r="D139" i="6"/>
  <c r="E135" i="6" s="1"/>
  <c r="P138" i="6"/>
  <c r="P137" i="6"/>
  <c r="P136" i="6"/>
  <c r="P135" i="6"/>
  <c r="N134" i="6"/>
  <c r="M134" i="6"/>
  <c r="L134" i="6"/>
  <c r="K134" i="6"/>
  <c r="J134" i="6"/>
  <c r="I134" i="6"/>
  <c r="D134" i="6"/>
  <c r="E130" i="6" s="1"/>
  <c r="P133" i="6"/>
  <c r="P132" i="6"/>
  <c r="P131" i="6"/>
  <c r="P130" i="6"/>
  <c r="N129" i="6"/>
  <c r="M129" i="6"/>
  <c r="L129" i="6"/>
  <c r="K129" i="6"/>
  <c r="J129" i="6"/>
  <c r="I129" i="6"/>
  <c r="F129" i="6"/>
  <c r="E129" i="6"/>
  <c r="D129" i="6"/>
  <c r="P128" i="6"/>
  <c r="P127" i="6"/>
  <c r="P126" i="6"/>
  <c r="P125" i="6"/>
  <c r="O123" i="6"/>
  <c r="L123" i="6"/>
  <c r="K123" i="6"/>
  <c r="G123" i="6"/>
  <c r="D123" i="6"/>
  <c r="P122" i="6"/>
  <c r="M123" i="6"/>
  <c r="J123" i="6"/>
  <c r="I123" i="6"/>
  <c r="H123" i="6"/>
  <c r="E123" i="6"/>
  <c r="P121" i="6"/>
  <c r="N123" i="6"/>
  <c r="F123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P116" i="6"/>
  <c r="P115" i="6"/>
  <c r="P114" i="6"/>
  <c r="P113" i="6"/>
  <c r="O111" i="6"/>
  <c r="P111" i="6" s="1"/>
  <c r="N111" i="6"/>
  <c r="M111" i="6"/>
  <c r="L111" i="6"/>
  <c r="K111" i="6"/>
  <c r="J111" i="6"/>
  <c r="I111" i="6"/>
  <c r="H111" i="6"/>
  <c r="G111" i="6"/>
  <c r="F111" i="6"/>
  <c r="E111" i="6"/>
  <c r="E118" i="6" s="1"/>
  <c r="D111" i="6"/>
  <c r="P110" i="6"/>
  <c r="P109" i="6"/>
  <c r="P108" i="6"/>
  <c r="P107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N93" i="6"/>
  <c r="M93" i="6"/>
  <c r="L93" i="6"/>
  <c r="K93" i="6"/>
  <c r="J93" i="6"/>
  <c r="I93" i="6"/>
  <c r="H93" i="6"/>
  <c r="G93" i="6"/>
  <c r="F93" i="6"/>
  <c r="E93" i="6"/>
  <c r="D93" i="6"/>
  <c r="N92" i="6"/>
  <c r="M92" i="6"/>
  <c r="L92" i="6"/>
  <c r="K92" i="6"/>
  <c r="J92" i="6"/>
  <c r="I92" i="6"/>
  <c r="H92" i="6"/>
  <c r="G92" i="6"/>
  <c r="F92" i="6"/>
  <c r="E92" i="6"/>
  <c r="D92" i="6"/>
  <c r="N91" i="6"/>
  <c r="N256" i="6" s="1"/>
  <c r="M91" i="6"/>
  <c r="M256" i="6" s="1"/>
  <c r="L91" i="6"/>
  <c r="L256" i="6" s="1"/>
  <c r="K91" i="6"/>
  <c r="K256" i="6" s="1"/>
  <c r="J91" i="6"/>
  <c r="J256" i="6" s="1"/>
  <c r="I91" i="6"/>
  <c r="I256" i="6" s="1"/>
  <c r="H91" i="6"/>
  <c r="H256" i="6" s="1"/>
  <c r="G91" i="6"/>
  <c r="F91" i="6"/>
  <c r="E91" i="6"/>
  <c r="D91" i="6"/>
  <c r="N88" i="6"/>
  <c r="M88" i="6"/>
  <c r="L88" i="6"/>
  <c r="K88" i="6"/>
  <c r="J88" i="6"/>
  <c r="J89" i="6" s="1"/>
  <c r="I88" i="6"/>
  <c r="I89" i="6" s="1"/>
  <c r="H88" i="6"/>
  <c r="G88" i="6"/>
  <c r="F88" i="6"/>
  <c r="E88" i="6"/>
  <c r="D88" i="6"/>
  <c r="P87" i="6"/>
  <c r="P86" i="6"/>
  <c r="P85" i="6"/>
  <c r="P84" i="6"/>
  <c r="N82" i="6"/>
  <c r="M82" i="6"/>
  <c r="K82" i="6"/>
  <c r="J82" i="6"/>
  <c r="I82" i="6"/>
  <c r="H82" i="6"/>
  <c r="G82" i="6"/>
  <c r="E82" i="6"/>
  <c r="D82" i="6"/>
  <c r="P81" i="6"/>
  <c r="P80" i="6"/>
  <c r="P79" i="6"/>
  <c r="P78" i="6"/>
  <c r="L77" i="6"/>
  <c r="N76" i="6"/>
  <c r="M76" i="6"/>
  <c r="M77" i="6" s="1"/>
  <c r="K76" i="6"/>
  <c r="J76" i="6"/>
  <c r="I76" i="6"/>
  <c r="H76" i="6"/>
  <c r="G76" i="6"/>
  <c r="F76" i="6"/>
  <c r="E76" i="6"/>
  <c r="D76" i="6"/>
  <c r="P75" i="6"/>
  <c r="P74" i="6"/>
  <c r="P73" i="6"/>
  <c r="P72" i="6"/>
  <c r="P69" i="6"/>
  <c r="P68" i="6"/>
  <c r="P66" i="6"/>
  <c r="P63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7" i="6"/>
  <c r="G47" i="6"/>
  <c r="N45" i="6"/>
  <c r="M45" i="6"/>
  <c r="L45" i="6"/>
  <c r="K45" i="6"/>
  <c r="J45" i="6"/>
  <c r="H45" i="6"/>
  <c r="G45" i="6"/>
  <c r="F45" i="6"/>
  <c r="E45" i="6"/>
  <c r="D45" i="6"/>
  <c r="P44" i="6"/>
  <c r="O41" i="6"/>
  <c r="N41" i="6"/>
  <c r="N42" i="6" s="1"/>
  <c r="M41" i="6"/>
  <c r="L41" i="6"/>
  <c r="K41" i="6"/>
  <c r="J41" i="6"/>
  <c r="I41" i="6"/>
  <c r="I42" i="6" s="1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F40" i="6"/>
  <c r="E40" i="6"/>
  <c r="D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N30" i="6"/>
  <c r="M30" i="6"/>
  <c r="L30" i="6"/>
  <c r="J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K22" i="6" s="1"/>
  <c r="K24" i="6" s="1"/>
  <c r="K25" i="6" s="1"/>
  <c r="J15" i="6"/>
  <c r="I15" i="6"/>
  <c r="H15" i="6"/>
  <c r="G15" i="6"/>
  <c r="F15" i="6"/>
  <c r="E15" i="6"/>
  <c r="D15" i="6"/>
  <c r="P14" i="6"/>
  <c r="P13" i="6"/>
  <c r="P12" i="6"/>
  <c r="P11" i="6"/>
  <c r="P9" i="6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J247" i="4"/>
  <c r="H247" i="4"/>
  <c r="G247" i="4"/>
  <c r="F247" i="4"/>
  <c r="P246" i="4"/>
  <c r="P245" i="4"/>
  <c r="K247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P229" i="4"/>
  <c r="P228" i="4"/>
  <c r="P227" i="4"/>
  <c r="P226" i="4"/>
  <c r="P225" i="4"/>
  <c r="O223" i="4"/>
  <c r="N223" i="4"/>
  <c r="M223" i="4"/>
  <c r="M230" i="4" s="1"/>
  <c r="L223" i="4"/>
  <c r="L230" i="4" s="1"/>
  <c r="K223" i="4"/>
  <c r="K230" i="4" s="1"/>
  <c r="J223" i="4"/>
  <c r="J230" i="4" s="1"/>
  <c r="I223" i="4"/>
  <c r="I230" i="4" s="1"/>
  <c r="H223" i="4"/>
  <c r="H230" i="4" s="1"/>
  <c r="G223" i="4"/>
  <c r="G230" i="4" s="1"/>
  <c r="F223" i="4"/>
  <c r="F230" i="4" s="1"/>
  <c r="E223" i="4"/>
  <c r="E230" i="4" s="1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N210" i="4"/>
  <c r="N251" i="4" s="1"/>
  <c r="M210" i="4"/>
  <c r="M251" i="4" s="1"/>
  <c r="L210" i="4"/>
  <c r="L251" i="4" s="1"/>
  <c r="K210" i="4"/>
  <c r="J210" i="4"/>
  <c r="I210" i="4"/>
  <c r="H210" i="4"/>
  <c r="G210" i="4"/>
  <c r="F210" i="4"/>
  <c r="E210" i="4"/>
  <c r="E251" i="4" s="1"/>
  <c r="D210" i="4"/>
  <c r="D251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N148" i="4"/>
  <c r="M148" i="4"/>
  <c r="L148" i="4"/>
  <c r="K148" i="4"/>
  <c r="J148" i="4"/>
  <c r="I148" i="4"/>
  <c r="H148" i="4"/>
  <c r="G148" i="4"/>
  <c r="F148" i="4"/>
  <c r="E148" i="4"/>
  <c r="D148" i="4"/>
  <c r="N147" i="4"/>
  <c r="M147" i="4"/>
  <c r="L147" i="4"/>
  <c r="K147" i="4"/>
  <c r="J147" i="4"/>
  <c r="I147" i="4"/>
  <c r="H147" i="4"/>
  <c r="G147" i="4"/>
  <c r="F147" i="4"/>
  <c r="E147" i="4"/>
  <c r="D147" i="4"/>
  <c r="N146" i="4"/>
  <c r="M146" i="4"/>
  <c r="L146" i="4"/>
  <c r="K146" i="4"/>
  <c r="J146" i="4"/>
  <c r="I146" i="4"/>
  <c r="H146" i="4"/>
  <c r="G146" i="4"/>
  <c r="F146" i="4"/>
  <c r="E146" i="4"/>
  <c r="D146" i="4"/>
  <c r="N145" i="4"/>
  <c r="M145" i="4"/>
  <c r="L145" i="4"/>
  <c r="K145" i="4"/>
  <c r="K149" i="4" s="1"/>
  <c r="J145" i="4"/>
  <c r="I145" i="4"/>
  <c r="D145" i="4"/>
  <c r="N144" i="4"/>
  <c r="M144" i="4"/>
  <c r="L144" i="4"/>
  <c r="K144" i="4"/>
  <c r="J144" i="4"/>
  <c r="I144" i="4"/>
  <c r="H144" i="4"/>
  <c r="G144" i="4"/>
  <c r="F144" i="4"/>
  <c r="E144" i="4"/>
  <c r="D144" i="4"/>
  <c r="E139" i="4" s="1"/>
  <c r="P143" i="4"/>
  <c r="P142" i="4"/>
  <c r="P141" i="4"/>
  <c r="P140" i="4"/>
  <c r="N139" i="4"/>
  <c r="M139" i="4"/>
  <c r="L139" i="4"/>
  <c r="K139" i="4"/>
  <c r="J139" i="4"/>
  <c r="I139" i="4"/>
  <c r="F139" i="4"/>
  <c r="G135" i="4" s="1"/>
  <c r="G139" i="4" s="1"/>
  <c r="H135" i="4" s="1"/>
  <c r="H139" i="4" s="1"/>
  <c r="D139" i="4"/>
  <c r="E135" i="4" s="1"/>
  <c r="P138" i="4"/>
  <c r="P137" i="4"/>
  <c r="P136" i="4"/>
  <c r="P135" i="4"/>
  <c r="N134" i="4"/>
  <c r="M134" i="4"/>
  <c r="L134" i="4"/>
  <c r="K134" i="4"/>
  <c r="J134" i="4"/>
  <c r="I134" i="4"/>
  <c r="D134" i="4"/>
  <c r="E130" i="4" s="1"/>
  <c r="P133" i="4"/>
  <c r="P132" i="4"/>
  <c r="P131" i="4"/>
  <c r="P130" i="4"/>
  <c r="N129" i="4"/>
  <c r="M129" i="4"/>
  <c r="L129" i="4"/>
  <c r="K129" i="4"/>
  <c r="J129" i="4"/>
  <c r="I129" i="4"/>
  <c r="F129" i="4"/>
  <c r="E129" i="4"/>
  <c r="D129" i="4"/>
  <c r="P128" i="4"/>
  <c r="P127" i="4"/>
  <c r="P126" i="4"/>
  <c r="P125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P116" i="4"/>
  <c r="P115" i="4"/>
  <c r="P114" i="4"/>
  <c r="P113" i="4"/>
  <c r="O111" i="4"/>
  <c r="O118" i="4" s="1"/>
  <c r="N111" i="4"/>
  <c r="N118" i="4" s="1"/>
  <c r="M111" i="4"/>
  <c r="L111" i="4"/>
  <c r="K111" i="4"/>
  <c r="J111" i="4"/>
  <c r="J118" i="4" s="1"/>
  <c r="I111" i="4"/>
  <c r="H111" i="4"/>
  <c r="G111" i="4"/>
  <c r="G118" i="4" s="1"/>
  <c r="F111" i="4"/>
  <c r="E111" i="4"/>
  <c r="E118" i="4" s="1"/>
  <c r="D111" i="4"/>
  <c r="P110" i="4"/>
  <c r="P109" i="4"/>
  <c r="P108" i="4"/>
  <c r="P107" i="4"/>
  <c r="O105" i="4"/>
  <c r="O119" i="4" s="1"/>
  <c r="N105" i="4"/>
  <c r="M105" i="4"/>
  <c r="L105" i="4"/>
  <c r="K105" i="4"/>
  <c r="J105" i="4"/>
  <c r="J119" i="4" s="1"/>
  <c r="I105" i="4"/>
  <c r="H105" i="4"/>
  <c r="G105" i="4"/>
  <c r="G119" i="4" s="1"/>
  <c r="F105" i="4"/>
  <c r="E105" i="4"/>
  <c r="D105" i="4"/>
  <c r="P104" i="4"/>
  <c r="P103" i="4"/>
  <c r="P102" i="4"/>
  <c r="P101" i="4"/>
  <c r="N93" i="4"/>
  <c r="M93" i="4"/>
  <c r="L93" i="4"/>
  <c r="K93" i="4"/>
  <c r="K98" i="4" s="1"/>
  <c r="K98" i="11" s="1"/>
  <c r="J93" i="4"/>
  <c r="I93" i="4"/>
  <c r="I98" i="4" s="1"/>
  <c r="I98" i="11" s="1"/>
  <c r="H93" i="4"/>
  <c r="G93" i="4"/>
  <c r="F93" i="4"/>
  <c r="E93" i="4"/>
  <c r="D93" i="4"/>
  <c r="N92" i="4"/>
  <c r="M92" i="4"/>
  <c r="L92" i="4"/>
  <c r="K92" i="4"/>
  <c r="J92" i="4"/>
  <c r="I92" i="4"/>
  <c r="H92" i="4"/>
  <c r="G92" i="4"/>
  <c r="F92" i="4"/>
  <c r="E92" i="4"/>
  <c r="D92" i="4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D91" i="4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G88" i="4"/>
  <c r="F88" i="4"/>
  <c r="E88" i="4"/>
  <c r="D88" i="4"/>
  <c r="D89" i="4" s="1"/>
  <c r="E84" i="4" s="1"/>
  <c r="P87" i="4"/>
  <c r="P86" i="4"/>
  <c r="P85" i="4"/>
  <c r="P84" i="4"/>
  <c r="N82" i="4"/>
  <c r="M82" i="4"/>
  <c r="K82" i="4"/>
  <c r="J82" i="4"/>
  <c r="I82" i="4"/>
  <c r="F82" i="4"/>
  <c r="E82" i="4"/>
  <c r="D82" i="4"/>
  <c r="D83" i="4" s="1"/>
  <c r="E78" i="4" s="1"/>
  <c r="P81" i="4"/>
  <c r="P80" i="4"/>
  <c r="P79" i="4"/>
  <c r="P78" i="4"/>
  <c r="L77" i="4"/>
  <c r="N76" i="4"/>
  <c r="N77" i="4" s="1"/>
  <c r="M76" i="4"/>
  <c r="M77" i="4" s="1"/>
  <c r="K76" i="4"/>
  <c r="K77" i="4" s="1"/>
  <c r="J77" i="4"/>
  <c r="H76" i="4"/>
  <c r="G76" i="4"/>
  <c r="F76" i="4"/>
  <c r="E76" i="4"/>
  <c r="D76" i="4"/>
  <c r="D77" i="4" s="1"/>
  <c r="E72" i="4" s="1"/>
  <c r="P75" i="4"/>
  <c r="P74" i="4"/>
  <c r="P73" i="4"/>
  <c r="P72" i="4"/>
  <c r="D70" i="4"/>
  <c r="P69" i="4"/>
  <c r="P68" i="4"/>
  <c r="P67" i="4"/>
  <c r="P66" i="4"/>
  <c r="P63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7" i="4"/>
  <c r="N47" i="4"/>
  <c r="M47" i="4"/>
  <c r="L47" i="4"/>
  <c r="K47" i="4"/>
  <c r="J47" i="4"/>
  <c r="I47" i="4"/>
  <c r="H47" i="4"/>
  <c r="G47" i="4"/>
  <c r="F47" i="4"/>
  <c r="E47" i="4"/>
  <c r="N45" i="4"/>
  <c r="M45" i="4"/>
  <c r="H45" i="4"/>
  <c r="G45" i="4"/>
  <c r="F45" i="4"/>
  <c r="E45" i="4"/>
  <c r="D45" i="4"/>
  <c r="P44" i="4"/>
  <c r="N41" i="4"/>
  <c r="M41" i="4"/>
  <c r="L41" i="4"/>
  <c r="K41" i="4"/>
  <c r="J41" i="4"/>
  <c r="J42" i="4" s="1"/>
  <c r="I41" i="4"/>
  <c r="I42" i="4" s="1"/>
  <c r="H41" i="4"/>
  <c r="G41" i="4"/>
  <c r="F41" i="4"/>
  <c r="E41" i="4"/>
  <c r="D41" i="4"/>
  <c r="N40" i="4"/>
  <c r="M40" i="4"/>
  <c r="L40" i="4"/>
  <c r="K40" i="4"/>
  <c r="J40" i="4"/>
  <c r="I40" i="4"/>
  <c r="H40" i="4"/>
  <c r="G40" i="4"/>
  <c r="F40" i="4"/>
  <c r="E40" i="4"/>
  <c r="D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N30" i="4"/>
  <c r="M30" i="4"/>
  <c r="L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O22" i="4" s="1"/>
  <c r="O24" i="4" s="1"/>
  <c r="O25" i="4" s="1"/>
  <c r="N15" i="4"/>
  <c r="M15" i="4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J247" i="3"/>
  <c r="I247" i="3"/>
  <c r="H247" i="3"/>
  <c r="G247" i="3"/>
  <c r="F247" i="3"/>
  <c r="P246" i="3"/>
  <c r="P245" i="3"/>
  <c r="K247" i="3"/>
  <c r="E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P229" i="3"/>
  <c r="P228" i="3"/>
  <c r="P227" i="3"/>
  <c r="P226" i="3"/>
  <c r="P225" i="3"/>
  <c r="O223" i="3"/>
  <c r="O230" i="3" s="1"/>
  <c r="N223" i="3"/>
  <c r="M223" i="3"/>
  <c r="M230" i="3" s="1"/>
  <c r="L223" i="3"/>
  <c r="L230" i="3" s="1"/>
  <c r="K223" i="3"/>
  <c r="I223" i="3"/>
  <c r="I230" i="3" s="1"/>
  <c r="H223" i="3"/>
  <c r="H230" i="3" s="1"/>
  <c r="G223" i="3"/>
  <c r="G230" i="3" s="1"/>
  <c r="F230" i="3"/>
  <c r="E223" i="3"/>
  <c r="E230" i="3" s="1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P215" i="3"/>
  <c r="P214" i="3"/>
  <c r="P213" i="3"/>
  <c r="P212" i="3"/>
  <c r="O210" i="3"/>
  <c r="N210" i="3"/>
  <c r="M210" i="3"/>
  <c r="L210" i="3"/>
  <c r="K210" i="3"/>
  <c r="J210" i="3"/>
  <c r="J250" i="3" s="1"/>
  <c r="I210" i="3"/>
  <c r="H210" i="3"/>
  <c r="H251" i="3" s="1"/>
  <c r="G210" i="3"/>
  <c r="G217" i="3" s="1"/>
  <c r="F210" i="3"/>
  <c r="F251" i="3" s="1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N148" i="3"/>
  <c r="M148" i="3"/>
  <c r="L148" i="3"/>
  <c r="K148" i="3"/>
  <c r="J148" i="3"/>
  <c r="I148" i="3"/>
  <c r="H148" i="3"/>
  <c r="G148" i="3"/>
  <c r="F148" i="3"/>
  <c r="E148" i="3"/>
  <c r="D148" i="3"/>
  <c r="N147" i="3"/>
  <c r="M147" i="3"/>
  <c r="L147" i="3"/>
  <c r="K147" i="3"/>
  <c r="J147" i="3"/>
  <c r="I147" i="3"/>
  <c r="H147" i="3"/>
  <c r="G147" i="3"/>
  <c r="F147" i="3"/>
  <c r="E147" i="3"/>
  <c r="D147" i="3"/>
  <c r="N146" i="3"/>
  <c r="M146" i="3"/>
  <c r="L146" i="3"/>
  <c r="K146" i="3"/>
  <c r="J146" i="3"/>
  <c r="I146" i="3"/>
  <c r="H146" i="3"/>
  <c r="G146" i="3"/>
  <c r="F146" i="3"/>
  <c r="E146" i="3"/>
  <c r="D146" i="3"/>
  <c r="J145" i="3"/>
  <c r="J144" i="3"/>
  <c r="K140" i="3" s="1"/>
  <c r="K145" i="3" s="1"/>
  <c r="P143" i="3"/>
  <c r="P142" i="3"/>
  <c r="P141" i="3"/>
  <c r="N139" i="3"/>
  <c r="M139" i="3"/>
  <c r="L139" i="3"/>
  <c r="K139" i="3"/>
  <c r="J139" i="3"/>
  <c r="I139" i="3"/>
  <c r="F139" i="3"/>
  <c r="G135" i="3" s="1"/>
  <c r="G139" i="3" s="1"/>
  <c r="H135" i="3" s="1"/>
  <c r="H139" i="3" s="1"/>
  <c r="D139" i="3"/>
  <c r="E135" i="3" s="1"/>
  <c r="E139" i="3" s="1"/>
  <c r="P138" i="3"/>
  <c r="P137" i="3"/>
  <c r="P136" i="3"/>
  <c r="P135" i="3"/>
  <c r="N134" i="3"/>
  <c r="M134" i="3"/>
  <c r="L134" i="3"/>
  <c r="K134" i="3"/>
  <c r="J134" i="3"/>
  <c r="I134" i="3"/>
  <c r="D134" i="3"/>
  <c r="E130" i="3" s="1"/>
  <c r="P133" i="3"/>
  <c r="P132" i="3"/>
  <c r="P131" i="3"/>
  <c r="P130" i="3"/>
  <c r="N129" i="3"/>
  <c r="M129" i="3"/>
  <c r="L129" i="3"/>
  <c r="K129" i="3"/>
  <c r="J129" i="3"/>
  <c r="I129" i="3"/>
  <c r="F129" i="3"/>
  <c r="E129" i="3"/>
  <c r="D129" i="3"/>
  <c r="P128" i="3"/>
  <c r="P127" i="3"/>
  <c r="P126" i="3"/>
  <c r="P125" i="3"/>
  <c r="O123" i="3"/>
  <c r="L123" i="3"/>
  <c r="H123" i="3"/>
  <c r="G123" i="3"/>
  <c r="D123" i="3"/>
  <c r="P122" i="3"/>
  <c r="N123" i="3"/>
  <c r="M123" i="3"/>
  <c r="K123" i="3"/>
  <c r="J123" i="3"/>
  <c r="I123" i="3"/>
  <c r="F123" i="3"/>
  <c r="E123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N118" i="3" s="1"/>
  <c r="M111" i="3"/>
  <c r="L111" i="3"/>
  <c r="K111" i="3"/>
  <c r="J111" i="3"/>
  <c r="J118" i="3" s="1"/>
  <c r="I111" i="3"/>
  <c r="H111" i="3"/>
  <c r="H118" i="3" s="1"/>
  <c r="G111" i="3"/>
  <c r="F111" i="3"/>
  <c r="F118" i="3" s="1"/>
  <c r="E111" i="3"/>
  <c r="D111" i="3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N93" i="3"/>
  <c r="M93" i="3"/>
  <c r="L93" i="3"/>
  <c r="K93" i="3"/>
  <c r="J93" i="3"/>
  <c r="I93" i="3"/>
  <c r="H93" i="3"/>
  <c r="G93" i="3"/>
  <c r="F93" i="3"/>
  <c r="E93" i="3"/>
  <c r="D93" i="3"/>
  <c r="N92" i="3"/>
  <c r="M92" i="3"/>
  <c r="L92" i="3"/>
  <c r="K92" i="3"/>
  <c r="J92" i="3"/>
  <c r="I92" i="3"/>
  <c r="H92" i="3"/>
  <c r="G92" i="3"/>
  <c r="F92" i="3"/>
  <c r="E92" i="3"/>
  <c r="D92" i="3"/>
  <c r="N91" i="3"/>
  <c r="N256" i="3" s="1"/>
  <c r="N258" i="3" s="1"/>
  <c r="M91" i="3"/>
  <c r="L91" i="3"/>
  <c r="L256" i="3" s="1"/>
  <c r="L258" i="3" s="1"/>
  <c r="K91" i="3"/>
  <c r="K256" i="3" s="1"/>
  <c r="K258" i="3" s="1"/>
  <c r="J91" i="3"/>
  <c r="I91" i="3"/>
  <c r="H91" i="3"/>
  <c r="G91" i="3"/>
  <c r="G256" i="3" s="1"/>
  <c r="G258" i="3" s="1"/>
  <c r="F91" i="3"/>
  <c r="E91" i="3"/>
  <c r="D91" i="3"/>
  <c r="N88" i="3"/>
  <c r="N89" i="3" s="1"/>
  <c r="M88" i="3"/>
  <c r="M89" i="3" s="1"/>
  <c r="L88" i="3"/>
  <c r="L89" i="3" s="1"/>
  <c r="K88" i="3"/>
  <c r="K89" i="3" s="1"/>
  <c r="J88" i="3"/>
  <c r="J89" i="3" s="1"/>
  <c r="I88" i="3"/>
  <c r="I89" i="3" s="1"/>
  <c r="H88" i="3"/>
  <c r="G88" i="3"/>
  <c r="F88" i="3"/>
  <c r="E88" i="3"/>
  <c r="D88" i="3"/>
  <c r="D89" i="3" s="1"/>
  <c r="E84" i="3" s="1"/>
  <c r="P87" i="3"/>
  <c r="P86" i="3"/>
  <c r="P85" i="3"/>
  <c r="P84" i="3"/>
  <c r="N82" i="3"/>
  <c r="M82" i="3"/>
  <c r="K82" i="3"/>
  <c r="J82" i="3"/>
  <c r="I82" i="3"/>
  <c r="H82" i="3"/>
  <c r="G82" i="3"/>
  <c r="F82" i="3"/>
  <c r="E82" i="3"/>
  <c r="D82" i="3"/>
  <c r="D83" i="3" s="1"/>
  <c r="E78" i="3" s="1"/>
  <c r="P81" i="3"/>
  <c r="P80" i="3"/>
  <c r="P79" i="3"/>
  <c r="P78" i="3"/>
  <c r="L77" i="3"/>
  <c r="N76" i="3"/>
  <c r="N77" i="3" s="1"/>
  <c r="M76" i="3"/>
  <c r="M77" i="3" s="1"/>
  <c r="K76" i="3"/>
  <c r="K77" i="3" s="1"/>
  <c r="J76" i="3"/>
  <c r="J77" i="3" s="1"/>
  <c r="I76" i="3"/>
  <c r="H76" i="3"/>
  <c r="G76" i="3"/>
  <c r="F76" i="3"/>
  <c r="E76" i="3"/>
  <c r="D76" i="3"/>
  <c r="D77" i="3" s="1"/>
  <c r="E72" i="3" s="1"/>
  <c r="P75" i="3"/>
  <c r="P74" i="3"/>
  <c r="P73" i="3"/>
  <c r="P72" i="3"/>
  <c r="D71" i="3"/>
  <c r="E66" i="3" s="1"/>
  <c r="E71" i="3" s="1"/>
  <c r="P69" i="3"/>
  <c r="P68" i="3"/>
  <c r="P67" i="3"/>
  <c r="P66" i="3"/>
  <c r="P63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7" i="3"/>
  <c r="E47" i="3"/>
  <c r="D47" i="3"/>
  <c r="N45" i="3"/>
  <c r="M45" i="3"/>
  <c r="L45" i="3"/>
  <c r="K45" i="3"/>
  <c r="J45" i="3"/>
  <c r="H45" i="3"/>
  <c r="G45" i="3"/>
  <c r="F45" i="3"/>
  <c r="E45" i="3"/>
  <c r="P44" i="3"/>
  <c r="O41" i="3"/>
  <c r="N41" i="3"/>
  <c r="N42" i="3" s="1"/>
  <c r="M41" i="3"/>
  <c r="L41" i="3"/>
  <c r="K41" i="3"/>
  <c r="J41" i="3"/>
  <c r="J42" i="3" s="1"/>
  <c r="I41" i="3"/>
  <c r="I42" i="3" s="1"/>
  <c r="H41" i="3"/>
  <c r="H42" i="3" s="1"/>
  <c r="G41" i="3"/>
  <c r="F41" i="3"/>
  <c r="E41" i="3"/>
  <c r="D41" i="3"/>
  <c r="N40" i="3"/>
  <c r="M40" i="3"/>
  <c r="L40" i="3"/>
  <c r="K40" i="3"/>
  <c r="J40" i="3"/>
  <c r="I40" i="3"/>
  <c r="H40" i="3"/>
  <c r="G40" i="3"/>
  <c r="F40" i="3"/>
  <c r="E40" i="3"/>
  <c r="D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N30" i="3"/>
  <c r="M30" i="3"/>
  <c r="L30" i="3"/>
  <c r="K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N36" i="3" s="1"/>
  <c r="M15" i="3"/>
  <c r="M36" i="3" s="1"/>
  <c r="L15" i="3"/>
  <c r="L36" i="3" s="1"/>
  <c r="K15" i="3"/>
  <c r="K36" i="3" s="1"/>
  <c r="J15" i="3"/>
  <c r="J36" i="3" s="1"/>
  <c r="I15" i="3"/>
  <c r="I36" i="3" s="1"/>
  <c r="H15" i="3"/>
  <c r="H36" i="3" s="1"/>
  <c r="G15" i="3"/>
  <c r="F15" i="3"/>
  <c r="F36" i="3" s="1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J247" i="2"/>
  <c r="H247" i="2"/>
  <c r="G247" i="2"/>
  <c r="F247" i="2"/>
  <c r="P246" i="2"/>
  <c r="P245" i="2"/>
  <c r="K247" i="2"/>
  <c r="I247" i="2"/>
  <c r="E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P228" i="2"/>
  <c r="P227" i="2"/>
  <c r="P226" i="2"/>
  <c r="P225" i="2"/>
  <c r="N230" i="2"/>
  <c r="L230" i="2"/>
  <c r="J230" i="2"/>
  <c r="I230" i="2"/>
  <c r="H230" i="2"/>
  <c r="G230" i="2"/>
  <c r="F230" i="2"/>
  <c r="E230" i="2"/>
  <c r="D230" i="2"/>
  <c r="P222" i="2"/>
  <c r="P221" i="2"/>
  <c r="P220" i="2"/>
  <c r="P219" i="2"/>
  <c r="O216" i="2"/>
  <c r="N216" i="2"/>
  <c r="M216" i="2"/>
  <c r="L216" i="2"/>
  <c r="K216" i="2"/>
  <c r="J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J210" i="2"/>
  <c r="I210" i="2"/>
  <c r="H210" i="2"/>
  <c r="H217" i="2" s="1"/>
  <c r="G210" i="2"/>
  <c r="F210" i="2"/>
  <c r="E210" i="2"/>
  <c r="D210" i="2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N148" i="2"/>
  <c r="M148" i="2"/>
  <c r="L148" i="2"/>
  <c r="K148" i="2"/>
  <c r="J148" i="2"/>
  <c r="H148" i="2"/>
  <c r="G148" i="2"/>
  <c r="F148" i="2"/>
  <c r="E148" i="2"/>
  <c r="D148" i="2"/>
  <c r="N147" i="2"/>
  <c r="M147" i="2"/>
  <c r="L147" i="2"/>
  <c r="K147" i="2"/>
  <c r="J147" i="2"/>
  <c r="I147" i="2"/>
  <c r="H147" i="2"/>
  <c r="G147" i="2"/>
  <c r="F147" i="2"/>
  <c r="E147" i="2"/>
  <c r="D147" i="2"/>
  <c r="N146" i="2"/>
  <c r="M146" i="2"/>
  <c r="L146" i="2"/>
  <c r="K146" i="2"/>
  <c r="J146" i="2"/>
  <c r="I146" i="2"/>
  <c r="H146" i="2"/>
  <c r="G146" i="2"/>
  <c r="F146" i="2"/>
  <c r="E146" i="2"/>
  <c r="D146" i="2"/>
  <c r="N145" i="2"/>
  <c r="M145" i="2"/>
  <c r="L145" i="2"/>
  <c r="K145" i="2"/>
  <c r="J145" i="2"/>
  <c r="I145" i="2"/>
  <c r="D145" i="2"/>
  <c r="K144" i="2"/>
  <c r="J144" i="2"/>
  <c r="K140" i="2" s="1"/>
  <c r="I144" i="2"/>
  <c r="H144" i="2"/>
  <c r="D144" i="2"/>
  <c r="E140" i="2" s="1"/>
  <c r="E144" i="2" s="1"/>
  <c r="F140" i="2" s="1"/>
  <c r="P143" i="2"/>
  <c r="P142" i="2"/>
  <c r="P140" i="2"/>
  <c r="L139" i="2"/>
  <c r="K139" i="2"/>
  <c r="J139" i="2"/>
  <c r="I139" i="2"/>
  <c r="F139" i="2"/>
  <c r="G135" i="2" s="1"/>
  <c r="G139" i="2" s="1"/>
  <c r="H135" i="2" s="1"/>
  <c r="H139" i="2" s="1"/>
  <c r="D139" i="2"/>
  <c r="E135" i="2" s="1"/>
  <c r="E139" i="2" s="1"/>
  <c r="P138" i="2"/>
  <c r="P137" i="2"/>
  <c r="P136" i="2"/>
  <c r="P135" i="2"/>
  <c r="N134" i="2"/>
  <c r="M134" i="2"/>
  <c r="L134" i="2"/>
  <c r="K134" i="2"/>
  <c r="J134" i="2"/>
  <c r="I134" i="2"/>
  <c r="D134" i="2"/>
  <c r="E130" i="2" s="1"/>
  <c r="P133" i="2"/>
  <c r="P132" i="2"/>
  <c r="P131" i="2"/>
  <c r="P130" i="2"/>
  <c r="N129" i="2"/>
  <c r="M129" i="2"/>
  <c r="L129" i="2"/>
  <c r="K129" i="2"/>
  <c r="J129" i="2"/>
  <c r="I129" i="2"/>
  <c r="F129" i="2"/>
  <c r="E129" i="2"/>
  <c r="D129" i="2"/>
  <c r="P128" i="2"/>
  <c r="P127" i="2"/>
  <c r="P126" i="2"/>
  <c r="P125" i="2"/>
  <c r="N123" i="2"/>
  <c r="M123" i="2"/>
  <c r="F123" i="2"/>
  <c r="E123" i="2"/>
  <c r="P122" i="2"/>
  <c r="L123" i="2"/>
  <c r="K123" i="2"/>
  <c r="J123" i="2"/>
  <c r="I123" i="2"/>
  <c r="H123" i="2"/>
  <c r="G123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N111" i="2"/>
  <c r="M111" i="2"/>
  <c r="M118" i="2" s="1"/>
  <c r="L111" i="2"/>
  <c r="K111" i="2"/>
  <c r="K118" i="2" s="1"/>
  <c r="J111" i="2"/>
  <c r="J118" i="2" s="1"/>
  <c r="I111" i="2"/>
  <c r="I118" i="2" s="1"/>
  <c r="H111" i="2"/>
  <c r="G111" i="2"/>
  <c r="F111" i="2"/>
  <c r="E111" i="2"/>
  <c r="E118" i="2" s="1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N93" i="2"/>
  <c r="M93" i="2"/>
  <c r="L93" i="2"/>
  <c r="K93" i="2"/>
  <c r="J93" i="2"/>
  <c r="I93" i="2"/>
  <c r="H93" i="2"/>
  <c r="G93" i="2"/>
  <c r="F93" i="2"/>
  <c r="E93" i="2"/>
  <c r="D93" i="2"/>
  <c r="N92" i="2"/>
  <c r="M92" i="2"/>
  <c r="L92" i="2"/>
  <c r="K92" i="2"/>
  <c r="J92" i="2"/>
  <c r="I92" i="2"/>
  <c r="H92" i="2"/>
  <c r="G92" i="2"/>
  <c r="F92" i="2"/>
  <c r="E92" i="2"/>
  <c r="D92" i="2"/>
  <c r="O258" i="2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H91" i="2"/>
  <c r="H256" i="2" s="1"/>
  <c r="H258" i="2" s="1"/>
  <c r="G91" i="2"/>
  <c r="G256" i="2" s="1"/>
  <c r="G258" i="2" s="1"/>
  <c r="F91" i="2"/>
  <c r="E91" i="2"/>
  <c r="D91" i="2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G88" i="2"/>
  <c r="F88" i="2"/>
  <c r="E88" i="2"/>
  <c r="D88" i="2"/>
  <c r="D89" i="2" s="1"/>
  <c r="E84" i="2" s="1"/>
  <c r="P87" i="2"/>
  <c r="P86" i="2"/>
  <c r="P85" i="2"/>
  <c r="P84" i="2"/>
  <c r="N82" i="2"/>
  <c r="M82" i="2"/>
  <c r="K82" i="2"/>
  <c r="J82" i="2"/>
  <c r="I82" i="2"/>
  <c r="H82" i="2"/>
  <c r="G82" i="2"/>
  <c r="F82" i="2"/>
  <c r="E82" i="2"/>
  <c r="D82" i="2"/>
  <c r="D83" i="2" s="1"/>
  <c r="E78" i="2" s="1"/>
  <c r="P81" i="2"/>
  <c r="P80" i="2"/>
  <c r="P79" i="2"/>
  <c r="P78" i="2"/>
  <c r="L77" i="2"/>
  <c r="N76" i="2"/>
  <c r="N77" i="2" s="1"/>
  <c r="M76" i="2"/>
  <c r="M77" i="2" s="1"/>
  <c r="K76" i="2"/>
  <c r="K77" i="2" s="1"/>
  <c r="J76" i="2"/>
  <c r="J77" i="2" s="1"/>
  <c r="I76" i="2"/>
  <c r="H76" i="2"/>
  <c r="G76" i="2"/>
  <c r="F76" i="2"/>
  <c r="E76" i="2"/>
  <c r="D76" i="2"/>
  <c r="D77" i="2" s="1"/>
  <c r="P75" i="2"/>
  <c r="P74" i="2"/>
  <c r="P73" i="2"/>
  <c r="P72" i="2"/>
  <c r="J70" i="2"/>
  <c r="F70" i="2"/>
  <c r="E70" i="2"/>
  <c r="D70" i="2"/>
  <c r="P69" i="2"/>
  <c r="P68" i="2"/>
  <c r="P67" i="2"/>
  <c r="P66" i="2"/>
  <c r="P63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2" i="2"/>
  <c r="N47" i="2"/>
  <c r="M47" i="2"/>
  <c r="L47" i="2"/>
  <c r="K47" i="2"/>
  <c r="J47" i="2"/>
  <c r="I47" i="2"/>
  <c r="H47" i="2"/>
  <c r="G47" i="2"/>
  <c r="F47" i="2"/>
  <c r="E47" i="2"/>
  <c r="P46" i="2"/>
  <c r="N45" i="2"/>
  <c r="M45" i="2"/>
  <c r="J45" i="2"/>
  <c r="I45" i="2"/>
  <c r="H45" i="2"/>
  <c r="G45" i="2"/>
  <c r="F45" i="2"/>
  <c r="E45" i="2"/>
  <c r="D45" i="2"/>
  <c r="P44" i="2"/>
  <c r="O41" i="2"/>
  <c r="O42" i="2" s="1"/>
  <c r="N41" i="2"/>
  <c r="M41" i="2"/>
  <c r="L41" i="2"/>
  <c r="K41" i="2"/>
  <c r="J41" i="2"/>
  <c r="I41" i="2"/>
  <c r="I42" i="2" s="1"/>
  <c r="H41" i="2"/>
  <c r="H42" i="2" s="1"/>
  <c r="G41" i="2"/>
  <c r="F41" i="2"/>
  <c r="E41" i="2"/>
  <c r="D41" i="2"/>
  <c r="N40" i="2"/>
  <c r="M40" i="2"/>
  <c r="L40" i="2"/>
  <c r="K40" i="2"/>
  <c r="J40" i="2"/>
  <c r="I40" i="2"/>
  <c r="H40" i="2"/>
  <c r="G40" i="2"/>
  <c r="F40" i="2"/>
  <c r="E40" i="2"/>
  <c r="D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P31" i="2"/>
  <c r="N30" i="2"/>
  <c r="M30" i="2"/>
  <c r="L30" i="2"/>
  <c r="J30" i="2"/>
  <c r="I30" i="2"/>
  <c r="H30" i="2"/>
  <c r="G30" i="2"/>
  <c r="F30" i="2"/>
  <c r="E30" i="2"/>
  <c r="D30" i="2"/>
  <c r="O21" i="2"/>
  <c r="N21" i="2"/>
  <c r="M21" i="2"/>
  <c r="L21" i="2"/>
  <c r="K21" i="2"/>
  <c r="J21" i="2"/>
  <c r="I21" i="2"/>
  <c r="H21" i="2"/>
  <c r="G21" i="2"/>
  <c r="F21" i="2"/>
  <c r="E21" i="2"/>
  <c r="D21" i="2"/>
  <c r="O15" i="2"/>
  <c r="N15" i="2"/>
  <c r="M15" i="2"/>
  <c r="L15" i="2"/>
  <c r="K15" i="2"/>
  <c r="J15" i="2"/>
  <c r="I15" i="2"/>
  <c r="I22" i="2" s="1"/>
  <c r="I24" i="2" s="1"/>
  <c r="I25" i="2" s="1"/>
  <c r="H15" i="2"/>
  <c r="G15" i="2"/>
  <c r="F15" i="2"/>
  <c r="E15" i="2"/>
  <c r="D15" i="2"/>
  <c r="D22" i="2" s="1"/>
  <c r="D24" i="2" s="1"/>
  <c r="D25" i="2" s="1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D242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E148" i="1"/>
  <c r="F148" i="1"/>
  <c r="G148" i="1"/>
  <c r="H148" i="1"/>
  <c r="I148" i="1"/>
  <c r="J148" i="1"/>
  <c r="K148" i="1"/>
  <c r="L148" i="1"/>
  <c r="M148" i="1"/>
  <c r="N148" i="1"/>
  <c r="E147" i="1"/>
  <c r="F147" i="1"/>
  <c r="G147" i="1"/>
  <c r="H147" i="1"/>
  <c r="I147" i="1"/>
  <c r="J147" i="1"/>
  <c r="K147" i="1"/>
  <c r="L147" i="1"/>
  <c r="M147" i="1"/>
  <c r="N147" i="1"/>
  <c r="E146" i="1"/>
  <c r="F146" i="1"/>
  <c r="G146" i="1"/>
  <c r="H146" i="1"/>
  <c r="I146" i="1"/>
  <c r="J146" i="1"/>
  <c r="K146" i="1"/>
  <c r="L146" i="1"/>
  <c r="M146" i="1"/>
  <c r="N146" i="1"/>
  <c r="I145" i="1"/>
  <c r="J145" i="1"/>
  <c r="K145" i="1"/>
  <c r="L145" i="1"/>
  <c r="D148" i="1"/>
  <c r="D147" i="1"/>
  <c r="D146" i="1"/>
  <c r="D145" i="1"/>
  <c r="I144" i="1"/>
  <c r="L144" i="1"/>
  <c r="D144" i="1"/>
  <c r="I139" i="1"/>
  <c r="J139" i="1"/>
  <c r="K139" i="1"/>
  <c r="L139" i="1"/>
  <c r="M139" i="1"/>
  <c r="N139" i="1"/>
  <c r="D139" i="1"/>
  <c r="I134" i="1"/>
  <c r="J134" i="1"/>
  <c r="K134" i="1"/>
  <c r="L134" i="1"/>
  <c r="M134" i="1"/>
  <c r="N134" i="1"/>
  <c r="D134" i="1"/>
  <c r="E129" i="1"/>
  <c r="F129" i="1"/>
  <c r="I129" i="1"/>
  <c r="J129" i="1"/>
  <c r="K129" i="1"/>
  <c r="L129" i="1"/>
  <c r="M129" i="1"/>
  <c r="N129" i="1"/>
  <c r="D129" i="1"/>
  <c r="O123" i="1"/>
  <c r="E93" i="1"/>
  <c r="F93" i="1"/>
  <c r="G93" i="1"/>
  <c r="H93" i="1"/>
  <c r="I93" i="1"/>
  <c r="J93" i="1"/>
  <c r="K93" i="1"/>
  <c r="L93" i="1"/>
  <c r="M93" i="1"/>
  <c r="N93" i="1"/>
  <c r="E92" i="1"/>
  <c r="F92" i="1"/>
  <c r="G92" i="1"/>
  <c r="H92" i="1"/>
  <c r="I92" i="1"/>
  <c r="J92" i="1"/>
  <c r="K92" i="1"/>
  <c r="L92" i="1"/>
  <c r="M92" i="1"/>
  <c r="N92" i="1"/>
  <c r="E91" i="1"/>
  <c r="E256" i="1" s="1"/>
  <c r="F91" i="1"/>
  <c r="F256" i="1" s="1"/>
  <c r="G91" i="1"/>
  <c r="G256" i="1" s="1"/>
  <c r="H91" i="1"/>
  <c r="I91" i="1"/>
  <c r="J91" i="1"/>
  <c r="K91" i="1"/>
  <c r="L91" i="1"/>
  <c r="M91" i="1"/>
  <c r="N91" i="1"/>
  <c r="D93" i="1"/>
  <c r="D92" i="1"/>
  <c r="D91" i="1"/>
  <c r="D90" i="1"/>
  <c r="I89" i="1"/>
  <c r="J89" i="1"/>
  <c r="K89" i="1"/>
  <c r="L89" i="1"/>
  <c r="M89" i="1"/>
  <c r="N89" i="1"/>
  <c r="J77" i="1"/>
  <c r="K77" i="1"/>
  <c r="L77" i="1"/>
  <c r="M77" i="1"/>
  <c r="N77" i="1"/>
  <c r="D77" i="1"/>
  <c r="I145" i="6" l="1"/>
  <c r="I144" i="6"/>
  <c r="J140" i="6" s="1"/>
  <c r="E140" i="6"/>
  <c r="E144" i="6" s="1"/>
  <c r="F144" i="6" s="1"/>
  <c r="L34" i="12"/>
  <c r="L94" i="19"/>
  <c r="E83" i="19"/>
  <c r="F78" i="19" s="1"/>
  <c r="F83" i="19" s="1"/>
  <c r="G78" i="19" s="1"/>
  <c r="E94" i="19"/>
  <c r="F94" i="19"/>
  <c r="D94" i="8"/>
  <c r="F94" i="8"/>
  <c r="N94" i="8"/>
  <c r="P134" i="8"/>
  <c r="P149" i="8" s="1"/>
  <c r="L94" i="8"/>
  <c r="E94" i="8"/>
  <c r="M94" i="8"/>
  <c r="P117" i="8"/>
  <c r="P148" i="8"/>
  <c r="E83" i="7"/>
  <c r="F78" i="7" s="1"/>
  <c r="F83" i="7" s="1"/>
  <c r="G78" i="7" s="1"/>
  <c r="G83" i="7" s="1"/>
  <c r="H78" i="7" s="1"/>
  <c r="E94" i="7"/>
  <c r="M94" i="7"/>
  <c r="P76" i="7"/>
  <c r="P77" i="7" s="1"/>
  <c r="H118" i="7"/>
  <c r="F94" i="6"/>
  <c r="I149" i="4"/>
  <c r="E83" i="3"/>
  <c r="F78" i="3" s="1"/>
  <c r="E77" i="3"/>
  <c r="F72" i="3" s="1"/>
  <c r="F77" i="3" s="1"/>
  <c r="G72" i="3" s="1"/>
  <c r="G77" i="3" s="1"/>
  <c r="H72" i="3" s="1"/>
  <c r="H77" i="3" s="1"/>
  <c r="I72" i="3" s="1"/>
  <c r="I77" i="3" s="1"/>
  <c r="P139" i="4"/>
  <c r="M256" i="3"/>
  <c r="M258" i="3" s="1"/>
  <c r="N94" i="3"/>
  <c r="N118" i="19"/>
  <c r="N119" i="19" s="1"/>
  <c r="N118" i="8"/>
  <c r="N119" i="8" s="1"/>
  <c r="P193" i="7"/>
  <c r="N118" i="7"/>
  <c r="N251" i="3"/>
  <c r="N256" i="1"/>
  <c r="N258" i="1" s="1"/>
  <c r="L256" i="1"/>
  <c r="L258" i="1" s="1"/>
  <c r="M256" i="1"/>
  <c r="M258" i="1" s="1"/>
  <c r="K256" i="1"/>
  <c r="K258" i="1" s="1"/>
  <c r="J256" i="1"/>
  <c r="J258" i="1" s="1"/>
  <c r="H256" i="1"/>
  <c r="H258" i="1" s="1"/>
  <c r="M251" i="3"/>
  <c r="E89" i="3"/>
  <c r="F84" i="3" s="1"/>
  <c r="F89" i="3" s="1"/>
  <c r="G84" i="3" s="1"/>
  <c r="G89" i="3" s="1"/>
  <c r="H84" i="3" s="1"/>
  <c r="H89" i="3" s="1"/>
  <c r="O22" i="3"/>
  <c r="O24" i="3" s="1"/>
  <c r="O25" i="3" s="1"/>
  <c r="P147" i="3"/>
  <c r="P89" i="3"/>
  <c r="I94" i="3"/>
  <c r="P117" i="3"/>
  <c r="G243" i="3"/>
  <c r="L250" i="6"/>
  <c r="L149" i="4"/>
  <c r="J58" i="6"/>
  <c r="P76" i="4"/>
  <c r="G256" i="4"/>
  <c r="G258" i="4" s="1"/>
  <c r="P247" i="4"/>
  <c r="M58" i="4"/>
  <c r="M59" i="4" s="1"/>
  <c r="J42" i="2"/>
  <c r="P41" i="2"/>
  <c r="P42" i="2" s="1"/>
  <c r="P129" i="6"/>
  <c r="K58" i="6"/>
  <c r="I94" i="6"/>
  <c r="P89" i="6"/>
  <c r="P204" i="3"/>
  <c r="I22" i="3"/>
  <c r="I24" i="3" s="1"/>
  <c r="I25" i="3" s="1"/>
  <c r="I250" i="2"/>
  <c r="H118" i="8"/>
  <c r="H118" i="4"/>
  <c r="H119" i="4" s="1"/>
  <c r="H243" i="3"/>
  <c r="G22" i="19"/>
  <c r="G24" i="19" s="1"/>
  <c r="G25" i="19" s="1"/>
  <c r="G118" i="8"/>
  <c r="G119" i="8" s="1"/>
  <c r="F256" i="6"/>
  <c r="F258" i="6" s="1"/>
  <c r="G256" i="6"/>
  <c r="G258" i="6" s="1"/>
  <c r="G217" i="7"/>
  <c r="G118" i="7"/>
  <c r="G22" i="4"/>
  <c r="G24" i="4" s="1"/>
  <c r="G25" i="4" s="1"/>
  <c r="F251" i="4"/>
  <c r="E118" i="19"/>
  <c r="E119" i="19" s="1"/>
  <c r="L30" i="12"/>
  <c r="L40" i="12"/>
  <c r="O119" i="8"/>
  <c r="E256" i="6"/>
  <c r="E258" i="6" s="1"/>
  <c r="E256" i="4"/>
  <c r="E258" i="4" s="1"/>
  <c r="E58" i="4"/>
  <c r="E59" i="4" s="1"/>
  <c r="D119" i="8"/>
  <c r="D118" i="2"/>
  <c r="L32" i="12"/>
  <c r="L38" i="12"/>
  <c r="N94" i="19"/>
  <c r="K149" i="19"/>
  <c r="D119" i="19"/>
  <c r="L250" i="19"/>
  <c r="N149" i="19"/>
  <c r="M243" i="19"/>
  <c r="H243" i="19"/>
  <c r="G243" i="19"/>
  <c r="L118" i="19"/>
  <c r="L119" i="19" s="1"/>
  <c r="K119" i="19"/>
  <c r="H58" i="19"/>
  <c r="D58" i="19"/>
  <c r="D59" i="19" s="1"/>
  <c r="P263" i="8"/>
  <c r="I243" i="8"/>
  <c r="J118" i="8"/>
  <c r="J119" i="8" s="1"/>
  <c r="N58" i="8"/>
  <c r="N59" i="8" s="1"/>
  <c r="M58" i="8"/>
  <c r="M60" i="8" s="1"/>
  <c r="L58" i="8"/>
  <c r="K58" i="8"/>
  <c r="K249" i="8" s="1"/>
  <c r="F58" i="8"/>
  <c r="F60" i="8" s="1"/>
  <c r="F251" i="7"/>
  <c r="D118" i="7"/>
  <c r="D119" i="7" s="1"/>
  <c r="K118" i="7"/>
  <c r="I243" i="6"/>
  <c r="F243" i="6"/>
  <c r="L217" i="6"/>
  <c r="P70" i="6"/>
  <c r="N94" i="6"/>
  <c r="M58" i="6"/>
  <c r="M59" i="6" s="1"/>
  <c r="E58" i="6"/>
  <c r="E59" i="6" s="1"/>
  <c r="I250" i="4"/>
  <c r="H250" i="4"/>
  <c r="O217" i="4"/>
  <c r="G217" i="4"/>
  <c r="N119" i="4"/>
  <c r="M149" i="4"/>
  <c r="M118" i="4"/>
  <c r="K118" i="4"/>
  <c r="K119" i="4" s="1"/>
  <c r="I118" i="4"/>
  <c r="I119" i="4" s="1"/>
  <c r="F118" i="4"/>
  <c r="F119" i="4" s="1"/>
  <c r="D118" i="4"/>
  <c r="D119" i="4" s="1"/>
  <c r="D58" i="4"/>
  <c r="D59" i="4" s="1"/>
  <c r="L243" i="3"/>
  <c r="M243" i="3"/>
  <c r="E243" i="3"/>
  <c r="I250" i="3"/>
  <c r="E251" i="3"/>
  <c r="D251" i="3"/>
  <c r="L217" i="3"/>
  <c r="J149" i="3"/>
  <c r="O118" i="3"/>
  <c r="O119" i="3" s="1"/>
  <c r="D118" i="3"/>
  <c r="D119" i="3" s="1"/>
  <c r="J94" i="3"/>
  <c r="L58" i="3"/>
  <c r="D58" i="3"/>
  <c r="D59" i="3" s="1"/>
  <c r="I256" i="1"/>
  <c r="I258" i="1" s="1"/>
  <c r="M140" i="1"/>
  <c r="M144" i="1" s="1"/>
  <c r="L15" i="12"/>
  <c r="L22" i="12" s="1"/>
  <c r="L24" i="12" s="1"/>
  <c r="L25" i="12" s="1"/>
  <c r="L22" i="7"/>
  <c r="L24" i="7" s="1"/>
  <c r="L25" i="7" s="1"/>
  <c r="N118" i="2"/>
  <c r="H118" i="2"/>
  <c r="H119" i="2" s="1"/>
  <c r="G118" i="2"/>
  <c r="G119" i="2" s="1"/>
  <c r="F118" i="2"/>
  <c r="F119" i="2" s="1"/>
  <c r="J22" i="2"/>
  <c r="J24" i="2" s="1"/>
  <c r="J25" i="2" s="1"/>
  <c r="E22" i="2"/>
  <c r="E24" i="2" s="1"/>
  <c r="E25" i="2" s="1"/>
  <c r="O243" i="19"/>
  <c r="P117" i="19"/>
  <c r="L251" i="7"/>
  <c r="O243" i="7"/>
  <c r="O118" i="7"/>
  <c r="O118" i="6"/>
  <c r="O119" i="6" s="1"/>
  <c r="O243" i="3"/>
  <c r="O217" i="3"/>
  <c r="N94" i="1"/>
  <c r="L94" i="1"/>
  <c r="I149" i="1"/>
  <c r="P144" i="2"/>
  <c r="F58" i="2"/>
  <c r="F59" i="2" s="1"/>
  <c r="E89" i="2"/>
  <c r="F84" i="2" s="1"/>
  <c r="F89" i="2" s="1"/>
  <c r="G84" i="2" s="1"/>
  <c r="G89" i="2" s="1"/>
  <c r="H84" i="2" s="1"/>
  <c r="H89" i="2" s="1"/>
  <c r="F243" i="2"/>
  <c r="G243" i="2"/>
  <c r="O230" i="2"/>
  <c r="O243" i="2" s="1"/>
  <c r="E145" i="2"/>
  <c r="E149" i="2" s="1"/>
  <c r="O119" i="2"/>
  <c r="N243" i="6"/>
  <c r="N118" i="6"/>
  <c r="N119" i="6" s="1"/>
  <c r="N251" i="8"/>
  <c r="G94" i="1"/>
  <c r="H94" i="1"/>
  <c r="K94" i="1"/>
  <c r="J94" i="1"/>
  <c r="I94" i="1"/>
  <c r="N243" i="2"/>
  <c r="N58" i="2"/>
  <c r="E145" i="8"/>
  <c r="E149" i="8" s="1"/>
  <c r="E134" i="8"/>
  <c r="F130" i="8" s="1"/>
  <c r="E258" i="1"/>
  <c r="D22" i="3"/>
  <c r="D24" i="3" s="1"/>
  <c r="D25" i="3" s="1"/>
  <c r="D36" i="3"/>
  <c r="L149" i="1"/>
  <c r="J250" i="2"/>
  <c r="J250" i="8"/>
  <c r="O118" i="19"/>
  <c r="O119" i="19" s="1"/>
  <c r="L129" i="19"/>
  <c r="L145" i="19"/>
  <c r="L149" i="19" s="1"/>
  <c r="D149" i="1"/>
  <c r="K149" i="1"/>
  <c r="N22" i="3"/>
  <c r="N24" i="3" s="1"/>
  <c r="N25" i="3" s="1"/>
  <c r="P139" i="3"/>
  <c r="K144" i="3"/>
  <c r="L140" i="3" s="1"/>
  <c r="K243" i="4"/>
  <c r="D245" i="11"/>
  <c r="D246" i="11"/>
  <c r="P82" i="6"/>
  <c r="P83" i="6" s="1"/>
  <c r="P134" i="6"/>
  <c r="E58" i="7"/>
  <c r="E59" i="7" s="1"/>
  <c r="M58" i="7"/>
  <c r="M249" i="7" s="1"/>
  <c r="F77" i="7"/>
  <c r="G72" i="7" s="1"/>
  <c r="P89" i="7"/>
  <c r="E119" i="7"/>
  <c r="G22" i="8"/>
  <c r="G24" i="8" s="1"/>
  <c r="G25" i="8" s="1"/>
  <c r="O22" i="8"/>
  <c r="O24" i="8" s="1"/>
  <c r="O25" i="8" s="1"/>
  <c r="P88" i="8"/>
  <c r="K243" i="8"/>
  <c r="K251" i="19"/>
  <c r="J149" i="1"/>
  <c r="P40" i="3"/>
  <c r="G22" i="3"/>
  <c r="G24" i="3" s="1"/>
  <c r="G25" i="3" s="1"/>
  <c r="G36" i="3"/>
  <c r="N58" i="3"/>
  <c r="N59" i="3" s="1"/>
  <c r="P76" i="3"/>
  <c r="P77" i="3" s="1"/>
  <c r="D94" i="3"/>
  <c r="L94" i="3"/>
  <c r="F243" i="3"/>
  <c r="N230" i="3"/>
  <c r="N243" i="3" s="1"/>
  <c r="H250" i="3"/>
  <c r="K58" i="4"/>
  <c r="E89" i="4"/>
  <c r="F84" i="4" s="1"/>
  <c r="F89" i="4" s="1"/>
  <c r="G84" i="4" s="1"/>
  <c r="G89" i="4" s="1"/>
  <c r="H84" i="4" s="1"/>
  <c r="L243" i="4"/>
  <c r="H70" i="11"/>
  <c r="M94" i="6"/>
  <c r="J250" i="6"/>
  <c r="N58" i="7"/>
  <c r="N59" i="7" s="1"/>
  <c r="P82" i="7"/>
  <c r="N119" i="7"/>
  <c r="P15" i="8"/>
  <c r="P139" i="8"/>
  <c r="K58" i="19"/>
  <c r="K60" i="19" s="1"/>
  <c r="L46" i="12"/>
  <c r="P76" i="19"/>
  <c r="P77" i="19" s="1"/>
  <c r="E89" i="19"/>
  <c r="F84" i="19" s="1"/>
  <c r="F89" i="19" s="1"/>
  <c r="G84" i="19" s="1"/>
  <c r="G89" i="19" s="1"/>
  <c r="H84" i="19" s="1"/>
  <c r="H89" i="19" s="1"/>
  <c r="E256" i="19"/>
  <c r="E258" i="19" s="1"/>
  <c r="M94" i="19"/>
  <c r="P148" i="19"/>
  <c r="P204" i="19"/>
  <c r="L251" i="19"/>
  <c r="J251" i="19"/>
  <c r="E22" i="3"/>
  <c r="E24" i="3" s="1"/>
  <c r="E25" i="3" s="1"/>
  <c r="E36" i="3"/>
  <c r="N251" i="7"/>
  <c r="G118" i="19"/>
  <c r="G119" i="19" s="1"/>
  <c r="F243" i="7"/>
  <c r="P82" i="8"/>
  <c r="N149" i="4"/>
  <c r="D94" i="1"/>
  <c r="D95" i="1" s="1"/>
  <c r="G70" i="11"/>
  <c r="N251" i="2"/>
  <c r="P82" i="3"/>
  <c r="P83" i="3" s="1"/>
  <c r="F256" i="3"/>
  <c r="F258" i="3" s="1"/>
  <c r="N230" i="4"/>
  <c r="N243" i="4" s="1"/>
  <c r="O22" i="6"/>
  <c r="O24" i="6" s="1"/>
  <c r="O25" i="6" s="1"/>
  <c r="P147" i="7"/>
  <c r="K149" i="7"/>
  <c r="I94" i="8"/>
  <c r="P129" i="8"/>
  <c r="P193" i="8"/>
  <c r="M58" i="19"/>
  <c r="G83" i="19"/>
  <c r="H78" i="19" s="1"/>
  <c r="H83" i="19" s="1"/>
  <c r="I78" i="19" s="1"/>
  <c r="I83" i="19" s="1"/>
  <c r="J78" i="19" s="1"/>
  <c r="J83" i="19" s="1"/>
  <c r="K78" i="19" s="1"/>
  <c r="K83" i="19" s="1"/>
  <c r="L78" i="19" s="1"/>
  <c r="L83" i="19" s="1"/>
  <c r="M78" i="19" s="1"/>
  <c r="M83" i="19" s="1"/>
  <c r="N78" i="19" s="1"/>
  <c r="N83" i="19" s="1"/>
  <c r="M94" i="1"/>
  <c r="I94" i="2"/>
  <c r="O42" i="3"/>
  <c r="F83" i="3"/>
  <c r="G78" i="3" s="1"/>
  <c r="G83" i="3" s="1"/>
  <c r="H78" i="3" s="1"/>
  <c r="H83" i="3" s="1"/>
  <c r="I78" i="3" s="1"/>
  <c r="I83" i="3" s="1"/>
  <c r="J78" i="3" s="1"/>
  <c r="J83" i="3" s="1"/>
  <c r="K78" i="3" s="1"/>
  <c r="K83" i="3" s="1"/>
  <c r="L78" i="3" s="1"/>
  <c r="L83" i="3" s="1"/>
  <c r="M78" i="3" s="1"/>
  <c r="M83" i="3" s="1"/>
  <c r="N78" i="3" s="1"/>
  <c r="N83" i="3" s="1"/>
  <c r="G94" i="3"/>
  <c r="D149" i="4"/>
  <c r="G243" i="4"/>
  <c r="O230" i="4"/>
  <c r="O243" i="4" s="1"/>
  <c r="O249" i="4" s="1"/>
  <c r="E247" i="4"/>
  <c r="E245" i="11"/>
  <c r="O149" i="6"/>
  <c r="P247" i="6"/>
  <c r="I58" i="7"/>
  <c r="I59" i="7" s="1"/>
  <c r="L149" i="7"/>
  <c r="K46" i="12"/>
  <c r="P83" i="8"/>
  <c r="J94" i="8"/>
  <c r="P146" i="8"/>
  <c r="N149" i="8"/>
  <c r="G243" i="8"/>
  <c r="O230" i="8"/>
  <c r="O243" i="8" s="1"/>
  <c r="O249" i="8" s="1"/>
  <c r="P236" i="8"/>
  <c r="P242" i="8"/>
  <c r="D256" i="8"/>
  <c r="D258" i="8" s="1"/>
  <c r="N22" i="19"/>
  <c r="N24" i="19" s="1"/>
  <c r="N25" i="19" s="1"/>
  <c r="F58" i="19"/>
  <c r="F59" i="19" s="1"/>
  <c r="N58" i="19"/>
  <c r="N59" i="19" s="1"/>
  <c r="H256" i="19"/>
  <c r="H258" i="19" s="1"/>
  <c r="H94" i="19"/>
  <c r="K149" i="3"/>
  <c r="E119" i="4"/>
  <c r="J243" i="4"/>
  <c r="E94" i="3"/>
  <c r="O149" i="3"/>
  <c r="P32" i="7"/>
  <c r="H94" i="7"/>
  <c r="H94" i="8"/>
  <c r="L149" i="8"/>
  <c r="P83" i="19"/>
  <c r="F256" i="19"/>
  <c r="F258" i="19" s="1"/>
  <c r="O149" i="19"/>
  <c r="K250" i="19"/>
  <c r="F82" i="11"/>
  <c r="F251" i="2"/>
  <c r="P77" i="4"/>
  <c r="F243" i="4"/>
  <c r="P70" i="7"/>
  <c r="M149" i="8"/>
  <c r="N230" i="8"/>
  <c r="N243" i="8" s="1"/>
  <c r="E58" i="19"/>
  <c r="G77" i="19"/>
  <c r="H72" i="19" s="1"/>
  <c r="H77" i="19" s="1"/>
  <c r="I72" i="19" s="1"/>
  <c r="I77" i="19" s="1"/>
  <c r="G256" i="19"/>
  <c r="G258" i="19" s="1"/>
  <c r="G94" i="19"/>
  <c r="F129" i="19"/>
  <c r="F125" i="11"/>
  <c r="L230" i="19"/>
  <c r="L243" i="19" s="1"/>
  <c r="F258" i="1"/>
  <c r="D58" i="2"/>
  <c r="D60" i="2" s="1"/>
  <c r="I243" i="2"/>
  <c r="H94" i="3"/>
  <c r="N119" i="3"/>
  <c r="P129" i="3"/>
  <c r="K250" i="3"/>
  <c r="I247" i="4"/>
  <c r="I245" i="11"/>
  <c r="K118" i="6"/>
  <c r="K119" i="6" s="1"/>
  <c r="P46" i="7"/>
  <c r="P47" i="7" s="1"/>
  <c r="K94" i="7"/>
  <c r="D217" i="7"/>
  <c r="K94" i="8"/>
  <c r="P105" i="8"/>
  <c r="P147" i="8"/>
  <c r="P204" i="8"/>
  <c r="P89" i="19"/>
  <c r="I94" i="19"/>
  <c r="K217" i="19"/>
  <c r="N230" i="19"/>
  <c r="N243" i="19" s="1"/>
  <c r="M217" i="3"/>
  <c r="M118" i="3"/>
  <c r="M119" i="3" s="1"/>
  <c r="M94" i="3"/>
  <c r="M58" i="3"/>
  <c r="M59" i="3" s="1"/>
  <c r="M22" i="3"/>
  <c r="M24" i="3" s="1"/>
  <c r="M25" i="3" s="1"/>
  <c r="M251" i="19"/>
  <c r="M118" i="19"/>
  <c r="M119" i="19" s="1"/>
  <c r="M22" i="19"/>
  <c r="M24" i="19" s="1"/>
  <c r="M25" i="19" s="1"/>
  <c r="M243" i="8"/>
  <c r="M250" i="8"/>
  <c r="M119" i="8"/>
  <c r="O22" i="7"/>
  <c r="O24" i="7" s="1"/>
  <c r="O25" i="7" s="1"/>
  <c r="E89" i="7"/>
  <c r="F84" i="7" s="1"/>
  <c r="F89" i="7" s="1"/>
  <c r="G84" i="7" s="1"/>
  <c r="G89" i="7" s="1"/>
  <c r="H84" i="7" s="1"/>
  <c r="H89" i="7" s="1"/>
  <c r="D94" i="7"/>
  <c r="L94" i="7"/>
  <c r="G119" i="7"/>
  <c r="O119" i="7"/>
  <c r="P15" i="7"/>
  <c r="P88" i="7"/>
  <c r="P117" i="7"/>
  <c r="P144" i="7"/>
  <c r="F94" i="7"/>
  <c r="N94" i="7"/>
  <c r="P148" i="7"/>
  <c r="I149" i="7"/>
  <c r="H83" i="7"/>
  <c r="I78" i="7" s="1"/>
  <c r="I83" i="7" s="1"/>
  <c r="J78" i="7" s="1"/>
  <c r="J83" i="7" s="1"/>
  <c r="K78" i="7" s="1"/>
  <c r="K83" i="7" s="1"/>
  <c r="L78" i="7" s="1"/>
  <c r="L83" i="7" s="1"/>
  <c r="M78" i="7" s="1"/>
  <c r="M83" i="7" s="1"/>
  <c r="N78" i="7" s="1"/>
  <c r="N83" i="7" s="1"/>
  <c r="O78" i="7" s="1"/>
  <c r="O83" i="7" s="1"/>
  <c r="J149" i="7"/>
  <c r="P204" i="7"/>
  <c r="L217" i="7"/>
  <c r="N42" i="7"/>
  <c r="G77" i="7"/>
  <c r="H72" i="7" s="1"/>
  <c r="H77" i="7" s="1"/>
  <c r="I72" i="7" s="1"/>
  <c r="I77" i="7" s="1"/>
  <c r="P83" i="7"/>
  <c r="P139" i="7"/>
  <c r="D58" i="7"/>
  <c r="D60" i="7" s="1"/>
  <c r="O42" i="7"/>
  <c r="L118" i="7"/>
  <c r="L119" i="7" s="1"/>
  <c r="P146" i="7"/>
  <c r="J217" i="7"/>
  <c r="I251" i="7"/>
  <c r="P236" i="7"/>
  <c r="P242" i="7"/>
  <c r="E22" i="7"/>
  <c r="E24" i="7" s="1"/>
  <c r="E25" i="7" s="1"/>
  <c r="M22" i="7"/>
  <c r="M24" i="7" s="1"/>
  <c r="M25" i="7" s="1"/>
  <c r="P134" i="7"/>
  <c r="M250" i="7"/>
  <c r="N250" i="7"/>
  <c r="M251" i="7"/>
  <c r="M119" i="7"/>
  <c r="M42" i="7"/>
  <c r="M118" i="6"/>
  <c r="M119" i="6" s="1"/>
  <c r="M42" i="6"/>
  <c r="M22" i="6"/>
  <c r="M24" i="6" s="1"/>
  <c r="M25" i="6" s="1"/>
  <c r="M243" i="4"/>
  <c r="M249" i="4" s="1"/>
  <c r="M119" i="4"/>
  <c r="M58" i="2"/>
  <c r="M59" i="2" s="1"/>
  <c r="M22" i="2"/>
  <c r="M24" i="2" s="1"/>
  <c r="M25" i="2" s="1"/>
  <c r="L58" i="19"/>
  <c r="L22" i="19"/>
  <c r="L24" i="19" s="1"/>
  <c r="L25" i="19" s="1"/>
  <c r="L243" i="8"/>
  <c r="L249" i="8" s="1"/>
  <c r="L118" i="8"/>
  <c r="L119" i="8" s="1"/>
  <c r="L42" i="8"/>
  <c r="L22" i="8"/>
  <c r="L24" i="8" s="1"/>
  <c r="L25" i="8" s="1"/>
  <c r="L243" i="7"/>
  <c r="L58" i="7"/>
  <c r="L22" i="6"/>
  <c r="L24" i="6" s="1"/>
  <c r="L25" i="6" s="1"/>
  <c r="L118" i="4"/>
  <c r="L119" i="4" s="1"/>
  <c r="L58" i="4"/>
  <c r="L251" i="3"/>
  <c r="L250" i="3"/>
  <c r="L118" i="3"/>
  <c r="L119" i="3" s="1"/>
  <c r="E58" i="3"/>
  <c r="L22" i="3"/>
  <c r="L24" i="3" s="1"/>
  <c r="L25" i="3" s="1"/>
  <c r="L243" i="2"/>
  <c r="L118" i="2"/>
  <c r="L119" i="2" s="1"/>
  <c r="L58" i="2"/>
  <c r="L59" i="2" s="1"/>
  <c r="K243" i="19"/>
  <c r="K94" i="19"/>
  <c r="P70" i="19"/>
  <c r="P71" i="19" s="1"/>
  <c r="K22" i="8"/>
  <c r="K24" i="8" s="1"/>
  <c r="K25" i="8" s="1"/>
  <c r="K256" i="11"/>
  <c r="K250" i="4"/>
  <c r="K251" i="3"/>
  <c r="K217" i="3"/>
  <c r="K118" i="3"/>
  <c r="K119" i="3" s="1"/>
  <c r="K94" i="3"/>
  <c r="K58" i="3"/>
  <c r="K59" i="3" s="1"/>
  <c r="K42" i="3"/>
  <c r="K22" i="3"/>
  <c r="K24" i="3" s="1"/>
  <c r="K25" i="3" s="1"/>
  <c r="K243" i="7"/>
  <c r="K251" i="7"/>
  <c r="K217" i="7"/>
  <c r="K119" i="7"/>
  <c r="K250" i="2"/>
  <c r="P263" i="2"/>
  <c r="L22" i="2"/>
  <c r="L24" i="2" s="1"/>
  <c r="L25" i="2" s="1"/>
  <c r="E251" i="2"/>
  <c r="M251" i="2"/>
  <c r="P229" i="2"/>
  <c r="L251" i="2"/>
  <c r="P89" i="2"/>
  <c r="D251" i="2"/>
  <c r="K119" i="2"/>
  <c r="P134" i="2"/>
  <c r="K230" i="2"/>
  <c r="K243" i="2" s="1"/>
  <c r="E243" i="2"/>
  <c r="O217" i="2"/>
  <c r="K217" i="2"/>
  <c r="L94" i="2"/>
  <c r="D149" i="2"/>
  <c r="K58" i="2"/>
  <c r="J94" i="2"/>
  <c r="K70" i="11"/>
  <c r="G76" i="11"/>
  <c r="G82" i="11"/>
  <c r="I88" i="11"/>
  <c r="L229" i="11"/>
  <c r="K22" i="2"/>
  <c r="K24" i="2" s="1"/>
  <c r="K25" i="2" s="1"/>
  <c r="P82" i="2"/>
  <c r="G94" i="2"/>
  <c r="M119" i="2"/>
  <c r="K149" i="2"/>
  <c r="P34" i="2"/>
  <c r="H94" i="2"/>
  <c r="J149" i="19"/>
  <c r="J118" i="19"/>
  <c r="J119" i="19" s="1"/>
  <c r="J94" i="19"/>
  <c r="P21" i="19"/>
  <c r="J22" i="19"/>
  <c r="J24" i="19" s="1"/>
  <c r="J25" i="19" s="1"/>
  <c r="J243" i="8"/>
  <c r="P263" i="7"/>
  <c r="J243" i="7"/>
  <c r="J250" i="7"/>
  <c r="J118" i="7"/>
  <c r="J119" i="7" s="1"/>
  <c r="P21" i="7"/>
  <c r="P263" i="6"/>
  <c r="J118" i="6"/>
  <c r="J119" i="6" s="1"/>
  <c r="J42" i="6"/>
  <c r="J250" i="4"/>
  <c r="J149" i="4"/>
  <c r="P147" i="4"/>
  <c r="P148" i="4"/>
  <c r="J251" i="3"/>
  <c r="J119" i="3"/>
  <c r="J256" i="3"/>
  <c r="J258" i="3" s="1"/>
  <c r="J22" i="3"/>
  <c r="J24" i="3" s="1"/>
  <c r="J25" i="3" s="1"/>
  <c r="N42" i="2"/>
  <c r="K94" i="2"/>
  <c r="N119" i="2"/>
  <c r="F76" i="11"/>
  <c r="L77" i="11"/>
  <c r="E82" i="11"/>
  <c r="I89" i="11"/>
  <c r="K229" i="11"/>
  <c r="D256" i="11"/>
  <c r="E83" i="2"/>
  <c r="F78" i="2" s="1"/>
  <c r="F83" i="2" s="1"/>
  <c r="G78" i="2" s="1"/>
  <c r="M94" i="2"/>
  <c r="P117" i="2"/>
  <c r="P129" i="2"/>
  <c r="D70" i="11"/>
  <c r="H76" i="11"/>
  <c r="O77" i="11"/>
  <c r="H82" i="11"/>
  <c r="J88" i="11"/>
  <c r="M229" i="11"/>
  <c r="J89" i="11"/>
  <c r="N94" i="2"/>
  <c r="N149" i="2"/>
  <c r="E70" i="11"/>
  <c r="I76" i="11"/>
  <c r="I82" i="11"/>
  <c r="N229" i="11"/>
  <c r="G58" i="2"/>
  <c r="D46" i="11"/>
  <c r="F70" i="11"/>
  <c r="J82" i="11"/>
  <c r="O229" i="11"/>
  <c r="M77" i="11"/>
  <c r="N22" i="2"/>
  <c r="N24" i="2" s="1"/>
  <c r="N25" i="2" s="1"/>
  <c r="K42" i="2"/>
  <c r="L149" i="2"/>
  <c r="L250" i="2"/>
  <c r="E46" i="11"/>
  <c r="K82" i="11"/>
  <c r="E88" i="11"/>
  <c r="O22" i="2"/>
  <c r="O24" i="2" s="1"/>
  <c r="O25" i="2" s="1"/>
  <c r="L42" i="2"/>
  <c r="P83" i="2"/>
  <c r="I256" i="2"/>
  <c r="E134" i="2"/>
  <c r="F130" i="2" s="1"/>
  <c r="G125" i="2" s="1"/>
  <c r="M149" i="2"/>
  <c r="M217" i="2"/>
  <c r="M250" i="2"/>
  <c r="D76" i="11"/>
  <c r="M76" i="11"/>
  <c r="M82" i="11"/>
  <c r="F88" i="11"/>
  <c r="N88" i="11"/>
  <c r="M42" i="2"/>
  <c r="P139" i="2"/>
  <c r="M230" i="2"/>
  <c r="M243" i="2" s="1"/>
  <c r="O46" i="11"/>
  <c r="E76" i="11"/>
  <c r="N82" i="11"/>
  <c r="G88" i="11"/>
  <c r="O88" i="11"/>
  <c r="J243" i="2"/>
  <c r="J251" i="2"/>
  <c r="J217" i="2"/>
  <c r="J149" i="2"/>
  <c r="J119" i="2"/>
  <c r="J70" i="11"/>
  <c r="I243" i="19"/>
  <c r="P216" i="19"/>
  <c r="I149" i="19"/>
  <c r="I256" i="19"/>
  <c r="I258" i="19" s="1"/>
  <c r="P46" i="19"/>
  <c r="P47" i="19" s="1"/>
  <c r="L46" i="18"/>
  <c r="L47" i="18" s="1"/>
  <c r="I250" i="8"/>
  <c r="I217" i="8"/>
  <c r="I119" i="8"/>
  <c r="I22" i="8"/>
  <c r="I24" i="8" s="1"/>
  <c r="I25" i="8" s="1"/>
  <c r="I250" i="7"/>
  <c r="I217" i="7"/>
  <c r="P129" i="7"/>
  <c r="I119" i="7"/>
  <c r="P91" i="7"/>
  <c r="I22" i="7"/>
  <c r="I24" i="7" s="1"/>
  <c r="I25" i="7" s="1"/>
  <c r="I22" i="6"/>
  <c r="I24" i="6" s="1"/>
  <c r="I25" i="6" s="1"/>
  <c r="I243" i="4"/>
  <c r="P242" i="3"/>
  <c r="P236" i="3"/>
  <c r="I243" i="3"/>
  <c r="P146" i="3"/>
  <c r="I118" i="3"/>
  <c r="I119" i="3" s="1"/>
  <c r="I70" i="11"/>
  <c r="I256" i="3"/>
  <c r="I258" i="3" s="1"/>
  <c r="I217" i="2"/>
  <c r="I149" i="2"/>
  <c r="I119" i="2"/>
  <c r="P263" i="19"/>
  <c r="P242" i="19"/>
  <c r="P236" i="19"/>
  <c r="P229" i="19"/>
  <c r="H250" i="19"/>
  <c r="H217" i="19"/>
  <c r="H119" i="19"/>
  <c r="G58" i="19"/>
  <c r="G60" i="19" s="1"/>
  <c r="G47" i="19"/>
  <c r="H22" i="19"/>
  <c r="H24" i="19" s="1"/>
  <c r="H25" i="19" s="1"/>
  <c r="E243" i="8"/>
  <c r="H243" i="8"/>
  <c r="F251" i="8"/>
  <c r="E251" i="8"/>
  <c r="H250" i="8"/>
  <c r="P216" i="8"/>
  <c r="H119" i="8"/>
  <c r="P46" i="8"/>
  <c r="P47" i="8" s="1"/>
  <c r="H22" i="8"/>
  <c r="H24" i="8" s="1"/>
  <c r="H25" i="8" s="1"/>
  <c r="H243" i="7"/>
  <c r="H250" i="7"/>
  <c r="P216" i="7"/>
  <c r="H119" i="7"/>
  <c r="H22" i="7"/>
  <c r="H24" i="7" s="1"/>
  <c r="H25" i="7" s="1"/>
  <c r="H118" i="6"/>
  <c r="H119" i="6" s="1"/>
  <c r="H22" i="6"/>
  <c r="H24" i="6" s="1"/>
  <c r="H25" i="6" s="1"/>
  <c r="H243" i="4"/>
  <c r="H88" i="11"/>
  <c r="H217" i="3"/>
  <c r="H119" i="3"/>
  <c r="H256" i="3"/>
  <c r="H258" i="3" s="1"/>
  <c r="P15" i="3"/>
  <c r="P36" i="3" s="1"/>
  <c r="H22" i="3"/>
  <c r="H24" i="3" s="1"/>
  <c r="H25" i="3" s="1"/>
  <c r="H243" i="2"/>
  <c r="H250" i="2"/>
  <c r="P148" i="2"/>
  <c r="P147" i="2"/>
  <c r="P47" i="2"/>
  <c r="H22" i="2"/>
  <c r="H24" i="2" s="1"/>
  <c r="H25" i="2" s="1"/>
  <c r="P32" i="19"/>
  <c r="P38" i="19"/>
  <c r="G58" i="8"/>
  <c r="G249" i="8" s="1"/>
  <c r="G47" i="8"/>
  <c r="K46" i="18"/>
  <c r="P30" i="8"/>
  <c r="P40" i="8"/>
  <c r="G243" i="7"/>
  <c r="G58" i="7"/>
  <c r="G59" i="7" s="1"/>
  <c r="G42" i="7"/>
  <c r="G22" i="7"/>
  <c r="G24" i="7" s="1"/>
  <c r="G25" i="7" s="1"/>
  <c r="P147" i="6"/>
  <c r="D149" i="6"/>
  <c r="G118" i="6"/>
  <c r="G119" i="6" s="1"/>
  <c r="K258" i="6"/>
  <c r="G139" i="6"/>
  <c r="H135" i="6" s="1"/>
  <c r="N258" i="6"/>
  <c r="H230" i="6"/>
  <c r="H243" i="6" s="1"/>
  <c r="N22" i="6"/>
  <c r="N24" i="6" s="1"/>
  <c r="N25" i="6" s="1"/>
  <c r="K42" i="6"/>
  <c r="M47" i="6"/>
  <c r="D77" i="6"/>
  <c r="D83" i="6"/>
  <c r="D82" i="11"/>
  <c r="G94" i="6"/>
  <c r="O217" i="6"/>
  <c r="G243" i="6"/>
  <c r="O243" i="6"/>
  <c r="P216" i="6"/>
  <c r="M243" i="6"/>
  <c r="I258" i="6"/>
  <c r="L118" i="6"/>
  <c r="L119" i="6" s="1"/>
  <c r="N77" i="6"/>
  <c r="N77" i="11" s="1"/>
  <c r="N76" i="11"/>
  <c r="P32" i="6"/>
  <c r="D58" i="6"/>
  <c r="D59" i="6" s="1"/>
  <c r="L58" i="6"/>
  <c r="L59" i="6" s="1"/>
  <c r="H47" i="6"/>
  <c r="H46" i="11"/>
  <c r="D47" i="6"/>
  <c r="N89" i="6"/>
  <c r="N89" i="11" s="1"/>
  <c r="J258" i="6"/>
  <c r="J94" i="6"/>
  <c r="P123" i="6"/>
  <c r="I149" i="6"/>
  <c r="F251" i="6"/>
  <c r="N251" i="6"/>
  <c r="J230" i="6"/>
  <c r="J243" i="6" s="1"/>
  <c r="J249" i="6" s="1"/>
  <c r="J22" i="6"/>
  <c r="J24" i="6" s="1"/>
  <c r="J25" i="6" s="1"/>
  <c r="I47" i="6"/>
  <c r="I46" i="11"/>
  <c r="K47" i="6"/>
  <c r="P76" i="6"/>
  <c r="P77" i="6" s="1"/>
  <c r="J77" i="6"/>
  <c r="J77" i="11" s="1"/>
  <c r="J76" i="11"/>
  <c r="K89" i="6"/>
  <c r="K89" i="11" s="1"/>
  <c r="K88" i="11"/>
  <c r="O89" i="11"/>
  <c r="K94" i="6"/>
  <c r="P148" i="6"/>
  <c r="P144" i="6"/>
  <c r="K250" i="6"/>
  <c r="H258" i="6"/>
  <c r="N58" i="6"/>
  <c r="J47" i="6"/>
  <c r="L47" i="6"/>
  <c r="K77" i="6"/>
  <c r="K77" i="11" s="1"/>
  <c r="K76" i="11"/>
  <c r="D89" i="6"/>
  <c r="D88" i="11"/>
  <c r="L89" i="6"/>
  <c r="L89" i="11" s="1"/>
  <c r="L88" i="11"/>
  <c r="L258" i="6"/>
  <c r="P92" i="6"/>
  <c r="D94" i="6"/>
  <c r="L94" i="6"/>
  <c r="P139" i="6"/>
  <c r="H251" i="6"/>
  <c r="G217" i="6"/>
  <c r="L251" i="6"/>
  <c r="P229" i="6"/>
  <c r="F47" i="6"/>
  <c r="F46" i="11"/>
  <c r="E139" i="6"/>
  <c r="P204" i="6"/>
  <c r="N47" i="6"/>
  <c r="M89" i="6"/>
  <c r="M89" i="11" s="1"/>
  <c r="M88" i="11"/>
  <c r="M258" i="6"/>
  <c r="P93" i="6"/>
  <c r="I118" i="6"/>
  <c r="I119" i="6" s="1"/>
  <c r="P117" i="6"/>
  <c r="P118" i="6" s="1"/>
  <c r="H217" i="6"/>
  <c r="E243" i="6"/>
  <c r="G58" i="6"/>
  <c r="G59" i="6" s="1"/>
  <c r="G22" i="6"/>
  <c r="G24" i="6" s="1"/>
  <c r="G25" i="6" s="1"/>
  <c r="P38" i="6"/>
  <c r="P242" i="4"/>
  <c r="P204" i="4"/>
  <c r="G46" i="11"/>
  <c r="P263" i="3"/>
  <c r="P223" i="3"/>
  <c r="G118" i="3"/>
  <c r="G119" i="3" s="1"/>
  <c r="P70" i="3"/>
  <c r="P71" i="3" s="1"/>
  <c r="P93" i="3"/>
  <c r="G58" i="3"/>
  <c r="G249" i="3" s="1"/>
  <c r="G42" i="3"/>
  <c r="P242" i="2"/>
  <c r="P236" i="2"/>
  <c r="G217" i="2"/>
  <c r="G42" i="2"/>
  <c r="G22" i="2"/>
  <c r="G24" i="2" s="1"/>
  <c r="G25" i="2" s="1"/>
  <c r="G258" i="1"/>
  <c r="P247" i="19"/>
  <c r="E243" i="19"/>
  <c r="F243" i="19"/>
  <c r="P223" i="19"/>
  <c r="D250" i="19"/>
  <c r="D251" i="19"/>
  <c r="D230" i="19"/>
  <c r="D243" i="19" s="1"/>
  <c r="E251" i="19"/>
  <c r="P193" i="19"/>
  <c r="P139" i="19"/>
  <c r="P147" i="19"/>
  <c r="P134" i="19"/>
  <c r="P129" i="19"/>
  <c r="P146" i="19"/>
  <c r="P144" i="19"/>
  <c r="D149" i="19"/>
  <c r="P91" i="19"/>
  <c r="D94" i="19"/>
  <c r="D47" i="19"/>
  <c r="P15" i="19"/>
  <c r="F22" i="19"/>
  <c r="F24" i="19" s="1"/>
  <c r="F25" i="19" s="1"/>
  <c r="E22" i="19"/>
  <c r="E24" i="19" s="1"/>
  <c r="E25" i="19" s="1"/>
  <c r="D22" i="19"/>
  <c r="D24" i="19" s="1"/>
  <c r="D25" i="19" s="1"/>
  <c r="P30" i="19"/>
  <c r="P34" i="19"/>
  <c r="P40" i="19"/>
  <c r="P247" i="8"/>
  <c r="F243" i="8"/>
  <c r="E250" i="8"/>
  <c r="P123" i="8"/>
  <c r="E118" i="8"/>
  <c r="E119" i="8" s="1"/>
  <c r="D58" i="8"/>
  <c r="D59" i="8" s="1"/>
  <c r="E58" i="8"/>
  <c r="P21" i="8"/>
  <c r="D22" i="8"/>
  <c r="D24" i="8" s="1"/>
  <c r="D25" i="8" s="1"/>
  <c r="E22" i="8"/>
  <c r="E24" i="8" s="1"/>
  <c r="E25" i="8" s="1"/>
  <c r="P34" i="8"/>
  <c r="P38" i="8"/>
  <c r="P62" i="8"/>
  <c r="P247" i="7"/>
  <c r="D243" i="7"/>
  <c r="E243" i="7"/>
  <c r="E249" i="7" s="1"/>
  <c r="E250" i="7"/>
  <c r="F250" i="7"/>
  <c r="P123" i="7"/>
  <c r="F118" i="7"/>
  <c r="F119" i="7" s="1"/>
  <c r="F58" i="7"/>
  <c r="F59" i="7" s="1"/>
  <c r="E42" i="7"/>
  <c r="P34" i="7"/>
  <c r="P30" i="7"/>
  <c r="P45" i="7"/>
  <c r="P40" i="7"/>
  <c r="P38" i="7"/>
  <c r="P62" i="7"/>
  <c r="P242" i="6"/>
  <c r="P236" i="6"/>
  <c r="D217" i="6"/>
  <c r="D251" i="6"/>
  <c r="P193" i="6"/>
  <c r="P146" i="6"/>
  <c r="F118" i="6"/>
  <c r="F119" i="6" s="1"/>
  <c r="D118" i="6"/>
  <c r="D119" i="6" s="1"/>
  <c r="E119" i="6"/>
  <c r="E94" i="6"/>
  <c r="P91" i="6"/>
  <c r="F58" i="6"/>
  <c r="F59" i="6" s="1"/>
  <c r="P46" i="6"/>
  <c r="P47" i="6" s="1"/>
  <c r="P41" i="6"/>
  <c r="P42" i="6" s="1"/>
  <c r="E42" i="6"/>
  <c r="F42" i="6"/>
  <c r="P30" i="6"/>
  <c r="D22" i="6"/>
  <c r="D24" i="6" s="1"/>
  <c r="D25" i="6" s="1"/>
  <c r="P21" i="6"/>
  <c r="P15" i="6"/>
  <c r="E22" i="6"/>
  <c r="E24" i="6" s="1"/>
  <c r="E25" i="6" s="1"/>
  <c r="F22" i="6"/>
  <c r="F24" i="6" s="1"/>
  <c r="F25" i="6" s="1"/>
  <c r="P34" i="6"/>
  <c r="P40" i="6"/>
  <c r="E243" i="4"/>
  <c r="P236" i="4"/>
  <c r="F94" i="4"/>
  <c r="N94" i="4"/>
  <c r="D123" i="4"/>
  <c r="L123" i="4"/>
  <c r="E123" i="4"/>
  <c r="M123" i="4"/>
  <c r="P30" i="4"/>
  <c r="F58" i="4"/>
  <c r="F59" i="4" s="1"/>
  <c r="N58" i="4"/>
  <c r="N249" i="4" s="1"/>
  <c r="P117" i="4"/>
  <c r="H22" i="4"/>
  <c r="H24" i="4" s="1"/>
  <c r="H25" i="4" s="1"/>
  <c r="J94" i="4"/>
  <c r="I22" i="4"/>
  <c r="I24" i="4" s="1"/>
  <c r="I25" i="4" s="1"/>
  <c r="K42" i="4"/>
  <c r="N22" i="4"/>
  <c r="N24" i="4" s="1"/>
  <c r="N25" i="4" s="1"/>
  <c r="P91" i="4"/>
  <c r="D94" i="4"/>
  <c r="L94" i="4"/>
  <c r="G123" i="4"/>
  <c r="P123" i="4"/>
  <c r="E94" i="4"/>
  <c r="M94" i="4"/>
  <c r="H123" i="4"/>
  <c r="P134" i="4"/>
  <c r="P193" i="4"/>
  <c r="L250" i="4"/>
  <c r="P15" i="4"/>
  <c r="P46" i="4"/>
  <c r="P47" i="4" s="1"/>
  <c r="I123" i="4"/>
  <c r="P216" i="4"/>
  <c r="G94" i="4"/>
  <c r="J123" i="4"/>
  <c r="P129" i="4"/>
  <c r="P144" i="4"/>
  <c r="J22" i="4"/>
  <c r="J24" i="4" s="1"/>
  <c r="J25" i="4" s="1"/>
  <c r="G58" i="4"/>
  <c r="P82" i="4"/>
  <c r="P83" i="4" s="1"/>
  <c r="H94" i="4"/>
  <c r="K123" i="4"/>
  <c r="P146" i="4"/>
  <c r="K22" i="4"/>
  <c r="K24" i="4" s="1"/>
  <c r="K25" i="4" s="1"/>
  <c r="E77" i="4"/>
  <c r="F72" i="4" s="1"/>
  <c r="F77" i="4" s="1"/>
  <c r="G72" i="4" s="1"/>
  <c r="G77" i="4" s="1"/>
  <c r="H72" i="4" s="1"/>
  <c r="E83" i="4"/>
  <c r="F78" i="4" s="1"/>
  <c r="F83" i="4" s="1"/>
  <c r="G83" i="4" s="1"/>
  <c r="H78" i="4" s="1"/>
  <c r="I94" i="4"/>
  <c r="L22" i="4"/>
  <c r="L24" i="4" s="1"/>
  <c r="L25" i="4" s="1"/>
  <c r="H217" i="4"/>
  <c r="P263" i="4"/>
  <c r="M22" i="4"/>
  <c r="M24" i="4" s="1"/>
  <c r="M25" i="4" s="1"/>
  <c r="P70" i="4"/>
  <c r="P71" i="4" s="1"/>
  <c r="P89" i="4"/>
  <c r="K94" i="4"/>
  <c r="F123" i="4"/>
  <c r="N123" i="4"/>
  <c r="D47" i="4"/>
  <c r="P41" i="4"/>
  <c r="P42" i="4" s="1"/>
  <c r="P21" i="4"/>
  <c r="D22" i="4"/>
  <c r="D24" i="4" s="1"/>
  <c r="D25" i="4" s="1"/>
  <c r="E22" i="4"/>
  <c r="E24" i="4" s="1"/>
  <c r="E25" i="4" s="1"/>
  <c r="F22" i="4"/>
  <c r="F24" i="4" s="1"/>
  <c r="F25" i="4" s="1"/>
  <c r="P34" i="4"/>
  <c r="P40" i="4"/>
  <c r="P32" i="4"/>
  <c r="P247" i="3"/>
  <c r="D230" i="3"/>
  <c r="D243" i="3" s="1"/>
  <c r="E217" i="3"/>
  <c r="D217" i="3"/>
  <c r="P193" i="3"/>
  <c r="P148" i="3"/>
  <c r="P134" i="3"/>
  <c r="E118" i="3"/>
  <c r="E119" i="3" s="1"/>
  <c r="F119" i="3"/>
  <c r="F94" i="3"/>
  <c r="P91" i="3"/>
  <c r="F58" i="3"/>
  <c r="P46" i="3"/>
  <c r="P47" i="3" s="1"/>
  <c r="F42" i="3"/>
  <c r="P21" i="3"/>
  <c r="F22" i="3"/>
  <c r="F24" i="3" s="1"/>
  <c r="F25" i="3" s="1"/>
  <c r="P32" i="3"/>
  <c r="P38" i="3"/>
  <c r="P30" i="3"/>
  <c r="P34" i="3"/>
  <c r="P247" i="2"/>
  <c r="E217" i="2"/>
  <c r="D250" i="2"/>
  <c r="E250" i="2"/>
  <c r="P204" i="2"/>
  <c r="P193" i="2"/>
  <c r="P146" i="2"/>
  <c r="D119" i="2"/>
  <c r="E119" i="2"/>
  <c r="F94" i="2"/>
  <c r="P76" i="2"/>
  <c r="P77" i="2" s="1"/>
  <c r="E72" i="2"/>
  <c r="E77" i="2" s="1"/>
  <c r="D94" i="2"/>
  <c r="E94" i="2"/>
  <c r="P70" i="2"/>
  <c r="P71" i="2" s="1"/>
  <c r="E58" i="2"/>
  <c r="E59" i="2" s="1"/>
  <c r="D47" i="2"/>
  <c r="F42" i="2"/>
  <c r="D42" i="2"/>
  <c r="E42" i="2"/>
  <c r="F22" i="2"/>
  <c r="F24" i="2" s="1"/>
  <c r="F25" i="2" s="1"/>
  <c r="P32" i="2"/>
  <c r="P38" i="2"/>
  <c r="E144" i="1"/>
  <c r="F140" i="1" s="1"/>
  <c r="F94" i="1"/>
  <c r="E94" i="1"/>
  <c r="P118" i="19"/>
  <c r="H59" i="19"/>
  <c r="P123" i="19"/>
  <c r="E145" i="19"/>
  <c r="E149" i="19" s="1"/>
  <c r="E134" i="19"/>
  <c r="K59" i="19"/>
  <c r="P62" i="19"/>
  <c r="P92" i="19"/>
  <c r="O251" i="19"/>
  <c r="D42" i="19"/>
  <c r="L42" i="19"/>
  <c r="I58" i="19"/>
  <c r="P105" i="19"/>
  <c r="I217" i="19"/>
  <c r="J230" i="19"/>
  <c r="J243" i="19" s="1"/>
  <c r="E250" i="19"/>
  <c r="M250" i="19"/>
  <c r="H251" i="19"/>
  <c r="G251" i="19"/>
  <c r="E42" i="19"/>
  <c r="M42" i="19"/>
  <c r="P45" i="19"/>
  <c r="J58" i="19"/>
  <c r="D90" i="19"/>
  <c r="P210" i="19"/>
  <c r="J217" i="19"/>
  <c r="F250" i="19"/>
  <c r="N250" i="19"/>
  <c r="I251" i="19"/>
  <c r="P41" i="19"/>
  <c r="P42" i="19" s="1"/>
  <c r="F42" i="19"/>
  <c r="N42" i="19"/>
  <c r="D71" i="19"/>
  <c r="L66" i="18" s="1"/>
  <c r="G250" i="19"/>
  <c r="O250" i="19"/>
  <c r="G42" i="19"/>
  <c r="O42" i="19"/>
  <c r="P88" i="19"/>
  <c r="D217" i="19"/>
  <c r="L217" i="19"/>
  <c r="H42" i="19"/>
  <c r="P93" i="19"/>
  <c r="E217" i="19"/>
  <c r="M217" i="19"/>
  <c r="P145" i="19"/>
  <c r="F217" i="19"/>
  <c r="N217" i="19"/>
  <c r="L59" i="8"/>
  <c r="K119" i="8"/>
  <c r="G125" i="8"/>
  <c r="F145" i="8"/>
  <c r="F149" i="8" s="1"/>
  <c r="F134" i="8"/>
  <c r="G130" i="8" s="1"/>
  <c r="P77" i="8"/>
  <c r="F119" i="8"/>
  <c r="D243" i="8"/>
  <c r="P41" i="8"/>
  <c r="P42" i="8" s="1"/>
  <c r="K42" i="8"/>
  <c r="D47" i="8"/>
  <c r="H58" i="8"/>
  <c r="P92" i="8"/>
  <c r="H217" i="8"/>
  <c r="L250" i="8"/>
  <c r="G251" i="8"/>
  <c r="O251" i="8"/>
  <c r="E42" i="8"/>
  <c r="M42" i="8"/>
  <c r="P45" i="8"/>
  <c r="J58" i="8"/>
  <c r="D90" i="8"/>
  <c r="P111" i="8"/>
  <c r="P118" i="8" s="1"/>
  <c r="P119" i="8" s="1"/>
  <c r="P210" i="8"/>
  <c r="J217" i="8"/>
  <c r="F250" i="8"/>
  <c r="N250" i="8"/>
  <c r="I251" i="8"/>
  <c r="F42" i="8"/>
  <c r="N42" i="8"/>
  <c r="D71" i="8"/>
  <c r="E66" i="8" s="1"/>
  <c r="O123" i="8"/>
  <c r="K217" i="8"/>
  <c r="G250" i="8"/>
  <c r="O250" i="8"/>
  <c r="J251" i="8"/>
  <c r="G42" i="8"/>
  <c r="O42" i="8"/>
  <c r="D217" i="8"/>
  <c r="L217" i="8"/>
  <c r="K251" i="8"/>
  <c r="I58" i="8"/>
  <c r="P93" i="8"/>
  <c r="P94" i="8" s="1"/>
  <c r="E217" i="8"/>
  <c r="M217" i="8"/>
  <c r="P256" i="8"/>
  <c r="P258" i="8" s="1"/>
  <c r="P223" i="8"/>
  <c r="P145" i="8"/>
  <c r="F217" i="8"/>
  <c r="N217" i="8"/>
  <c r="H251" i="8"/>
  <c r="F134" i="7"/>
  <c r="G130" i="7" s="1"/>
  <c r="G125" i="7"/>
  <c r="F145" i="7"/>
  <c r="F149" i="7" s="1"/>
  <c r="E71" i="7"/>
  <c r="F66" i="7" s="1"/>
  <c r="E90" i="7"/>
  <c r="E95" i="7" s="1"/>
  <c r="E255" i="7" s="1"/>
  <c r="E259" i="7" s="1"/>
  <c r="E139" i="7"/>
  <c r="E145" i="7"/>
  <c r="E149" i="7" s="1"/>
  <c r="D90" i="7"/>
  <c r="K58" i="7"/>
  <c r="P41" i="7"/>
  <c r="P42" i="7" s="1"/>
  <c r="D47" i="7"/>
  <c r="H58" i="7"/>
  <c r="P92" i="7"/>
  <c r="H217" i="7"/>
  <c r="I230" i="7"/>
  <c r="I243" i="7" s="1"/>
  <c r="I249" i="7" s="1"/>
  <c r="D250" i="7"/>
  <c r="L250" i="7"/>
  <c r="G251" i="7"/>
  <c r="O251" i="7"/>
  <c r="O123" i="7"/>
  <c r="G250" i="7"/>
  <c r="O250" i="7"/>
  <c r="J251" i="7"/>
  <c r="F256" i="7"/>
  <c r="F258" i="7" s="1"/>
  <c r="J94" i="7"/>
  <c r="P93" i="7"/>
  <c r="E217" i="7"/>
  <c r="M217" i="7"/>
  <c r="I42" i="7"/>
  <c r="P66" i="7"/>
  <c r="P71" i="7" s="1"/>
  <c r="P145" i="7"/>
  <c r="F217" i="7"/>
  <c r="N217" i="7"/>
  <c r="P223" i="7"/>
  <c r="H251" i="7"/>
  <c r="J58" i="7"/>
  <c r="P111" i="7"/>
  <c r="P210" i="7"/>
  <c r="J59" i="6"/>
  <c r="K59" i="6"/>
  <c r="K60" i="6"/>
  <c r="E145" i="6"/>
  <c r="E149" i="6" s="1"/>
  <c r="E134" i="6"/>
  <c r="F130" i="6" s="1"/>
  <c r="D247" i="6"/>
  <c r="D250" i="6"/>
  <c r="O251" i="6"/>
  <c r="D42" i="6"/>
  <c r="L42" i="6"/>
  <c r="E47" i="6"/>
  <c r="I58" i="6"/>
  <c r="P105" i="6"/>
  <c r="I217" i="6"/>
  <c r="P223" i="6"/>
  <c r="E250" i="6"/>
  <c r="M250" i="6"/>
  <c r="P45" i="6"/>
  <c r="D90" i="6"/>
  <c r="H94" i="6"/>
  <c r="P210" i="6"/>
  <c r="J217" i="6"/>
  <c r="K230" i="6"/>
  <c r="K243" i="6" s="1"/>
  <c r="K249" i="6" s="1"/>
  <c r="F250" i="6"/>
  <c r="N250" i="6"/>
  <c r="I251" i="6"/>
  <c r="D71" i="6"/>
  <c r="E66" i="6" s="1"/>
  <c r="D230" i="6"/>
  <c r="L230" i="6"/>
  <c r="L243" i="6" s="1"/>
  <c r="J251" i="6"/>
  <c r="H58" i="6"/>
  <c r="P62" i="6"/>
  <c r="G42" i="6"/>
  <c r="O42" i="6"/>
  <c r="P88" i="6"/>
  <c r="K251" i="6"/>
  <c r="H42" i="6"/>
  <c r="E217" i="6"/>
  <c r="M217" i="6"/>
  <c r="G251" i="6"/>
  <c r="P145" i="6"/>
  <c r="F217" i="6"/>
  <c r="N217" i="6"/>
  <c r="E145" i="4"/>
  <c r="E149" i="4" s="1"/>
  <c r="E134" i="4"/>
  <c r="F130" i="4" s="1"/>
  <c r="D243" i="4"/>
  <c r="O251" i="4"/>
  <c r="D42" i="4"/>
  <c r="L42" i="4"/>
  <c r="I58" i="4"/>
  <c r="P105" i="4"/>
  <c r="I217" i="4"/>
  <c r="P223" i="4"/>
  <c r="E250" i="4"/>
  <c r="M250" i="4"/>
  <c r="H251" i="4"/>
  <c r="E42" i="4"/>
  <c r="M42" i="4"/>
  <c r="P45" i="4"/>
  <c r="J58" i="4"/>
  <c r="D90" i="4"/>
  <c r="P111" i="4"/>
  <c r="P210" i="4"/>
  <c r="J217" i="4"/>
  <c r="F250" i="4"/>
  <c r="N250" i="4"/>
  <c r="I251" i="4"/>
  <c r="P62" i="4"/>
  <c r="P92" i="4"/>
  <c r="G251" i="4"/>
  <c r="F42" i="4"/>
  <c r="N42" i="4"/>
  <c r="D71" i="4"/>
  <c r="O123" i="4"/>
  <c r="K217" i="4"/>
  <c r="G250" i="4"/>
  <c r="O250" i="4"/>
  <c r="J251" i="4"/>
  <c r="H58" i="4"/>
  <c r="G42" i="4"/>
  <c r="O42" i="4"/>
  <c r="P88" i="4"/>
  <c r="D217" i="4"/>
  <c r="L217" i="4"/>
  <c r="K251" i="4"/>
  <c r="H42" i="4"/>
  <c r="P93" i="4"/>
  <c r="E217" i="4"/>
  <c r="M217" i="4"/>
  <c r="P38" i="4"/>
  <c r="P145" i="4"/>
  <c r="F217" i="4"/>
  <c r="N217" i="4"/>
  <c r="F66" i="3"/>
  <c r="E90" i="3"/>
  <c r="P123" i="3"/>
  <c r="E134" i="3"/>
  <c r="F130" i="3" s="1"/>
  <c r="D247" i="3"/>
  <c r="D250" i="3"/>
  <c r="O249" i="3"/>
  <c r="D258" i="3"/>
  <c r="P92" i="3"/>
  <c r="G251" i="3"/>
  <c r="D42" i="3"/>
  <c r="L42" i="3"/>
  <c r="I58" i="3"/>
  <c r="P105" i="3"/>
  <c r="I217" i="3"/>
  <c r="J230" i="3"/>
  <c r="J243" i="3" s="1"/>
  <c r="E250" i="3"/>
  <c r="M250" i="3"/>
  <c r="P41" i="3"/>
  <c r="P42" i="3" s="1"/>
  <c r="O251" i="3"/>
  <c r="E42" i="3"/>
  <c r="M42" i="3"/>
  <c r="P45" i="3"/>
  <c r="J58" i="3"/>
  <c r="D90" i="3"/>
  <c r="P111" i="3"/>
  <c r="P118" i="3" s="1"/>
  <c r="P210" i="3"/>
  <c r="J217" i="3"/>
  <c r="K230" i="3"/>
  <c r="K243" i="3" s="1"/>
  <c r="F250" i="3"/>
  <c r="N250" i="3"/>
  <c r="I251" i="3"/>
  <c r="E258" i="3"/>
  <c r="P216" i="3"/>
  <c r="G250" i="3"/>
  <c r="O250" i="3"/>
  <c r="P88" i="3"/>
  <c r="H58" i="3"/>
  <c r="P62" i="3"/>
  <c r="F217" i="3"/>
  <c r="N217" i="3"/>
  <c r="H58" i="2"/>
  <c r="P62" i="2"/>
  <c r="P92" i="2"/>
  <c r="G251" i="2"/>
  <c r="P45" i="2"/>
  <c r="J58" i="2"/>
  <c r="D90" i="2"/>
  <c r="P111" i="2"/>
  <c r="P121" i="2"/>
  <c r="P123" i="2" s="1"/>
  <c r="P210" i="2"/>
  <c r="D243" i="2"/>
  <c r="F250" i="2"/>
  <c r="N250" i="2"/>
  <c r="I251" i="2"/>
  <c r="H251" i="2"/>
  <c r="P91" i="2"/>
  <c r="P216" i="2"/>
  <c r="G250" i="2"/>
  <c r="I58" i="2"/>
  <c r="P40" i="2"/>
  <c r="P88" i="2"/>
  <c r="D217" i="2"/>
  <c r="L217" i="2"/>
  <c r="K251" i="2"/>
  <c r="D71" i="2"/>
  <c r="P93" i="2"/>
  <c r="P145" i="2"/>
  <c r="F217" i="2"/>
  <c r="N217" i="2"/>
  <c r="J140" i="11" l="1"/>
  <c r="J144" i="6"/>
  <c r="J145" i="6"/>
  <c r="J149" i="6" s="1"/>
  <c r="E60" i="8"/>
  <c r="D249" i="3"/>
  <c r="H249" i="19"/>
  <c r="M60" i="19"/>
  <c r="F59" i="8"/>
  <c r="F249" i="8"/>
  <c r="E66" i="11"/>
  <c r="G60" i="8"/>
  <c r="D249" i="4"/>
  <c r="E249" i="4"/>
  <c r="G60" i="4"/>
  <c r="L256" i="11"/>
  <c r="O249" i="7"/>
  <c r="N249" i="8"/>
  <c r="N60" i="8"/>
  <c r="L249" i="3"/>
  <c r="K59" i="8"/>
  <c r="G249" i="4"/>
  <c r="H83" i="4"/>
  <c r="I78" i="4" s="1"/>
  <c r="I83" i="4" s="1"/>
  <c r="J78" i="4" s="1"/>
  <c r="J83" i="4" s="1"/>
  <c r="K78" i="4" s="1"/>
  <c r="K83" i="4" s="1"/>
  <c r="L78" i="4" s="1"/>
  <c r="L83" i="4" s="1"/>
  <c r="M78" i="4" s="1"/>
  <c r="M83" i="4" s="1"/>
  <c r="N78" i="4" s="1"/>
  <c r="N83" i="4" s="1"/>
  <c r="M249" i="6"/>
  <c r="M256" i="11"/>
  <c r="P22" i="3"/>
  <c r="P24" i="3" s="1"/>
  <c r="P25" i="3" s="1"/>
  <c r="G256" i="11"/>
  <c r="F249" i="4"/>
  <c r="E60" i="19"/>
  <c r="E249" i="6"/>
  <c r="E249" i="3"/>
  <c r="E249" i="19"/>
  <c r="P119" i="19"/>
  <c r="E59" i="19"/>
  <c r="G249" i="19"/>
  <c r="M59" i="19"/>
  <c r="M249" i="19"/>
  <c r="N249" i="19"/>
  <c r="O249" i="19"/>
  <c r="G59" i="19"/>
  <c r="D249" i="19"/>
  <c r="F249" i="19"/>
  <c r="M59" i="8"/>
  <c r="M249" i="8"/>
  <c r="E249" i="8"/>
  <c r="D249" i="8"/>
  <c r="G59" i="8"/>
  <c r="M59" i="7"/>
  <c r="F60" i="7"/>
  <c r="G249" i="7"/>
  <c r="N249" i="6"/>
  <c r="O249" i="6"/>
  <c r="G249" i="6"/>
  <c r="L249" i="4"/>
  <c r="K249" i="4"/>
  <c r="K59" i="4"/>
  <c r="F249" i="3"/>
  <c r="J256" i="11"/>
  <c r="E95" i="3"/>
  <c r="E255" i="3" s="1"/>
  <c r="E259" i="3" s="1"/>
  <c r="L59" i="3"/>
  <c r="K60" i="3"/>
  <c r="K249" i="3"/>
  <c r="E59" i="3"/>
  <c r="N140" i="1"/>
  <c r="M145" i="1"/>
  <c r="M149" i="1" s="1"/>
  <c r="L60" i="7"/>
  <c r="M60" i="7"/>
  <c r="D60" i="4"/>
  <c r="D60" i="3"/>
  <c r="E60" i="3"/>
  <c r="L60" i="19"/>
  <c r="K60" i="8"/>
  <c r="L60" i="8"/>
  <c r="D60" i="8"/>
  <c r="I60" i="7"/>
  <c r="G60" i="7"/>
  <c r="E60" i="6"/>
  <c r="G60" i="6"/>
  <c r="D60" i="6"/>
  <c r="M60" i="3"/>
  <c r="M249" i="2"/>
  <c r="N249" i="2"/>
  <c r="G249" i="2"/>
  <c r="N59" i="2"/>
  <c r="F249" i="2"/>
  <c r="M60" i="2"/>
  <c r="D59" i="2"/>
  <c r="N60" i="2"/>
  <c r="P118" i="7"/>
  <c r="P119" i="7" s="1"/>
  <c r="O256" i="11"/>
  <c r="P118" i="4"/>
  <c r="P119" i="4" s="1"/>
  <c r="P119" i="3"/>
  <c r="E256" i="11"/>
  <c r="G59" i="2"/>
  <c r="L249" i="2"/>
  <c r="N60" i="19"/>
  <c r="P230" i="8"/>
  <c r="N249" i="7"/>
  <c r="N60" i="7"/>
  <c r="N60" i="4"/>
  <c r="N60" i="3"/>
  <c r="N249" i="3"/>
  <c r="K249" i="19"/>
  <c r="M249" i="3"/>
  <c r="N59" i="4"/>
  <c r="N60" i="6"/>
  <c r="H256" i="11"/>
  <c r="I256" i="11"/>
  <c r="F60" i="19"/>
  <c r="F60" i="3"/>
  <c r="P230" i="4"/>
  <c r="P119" i="6"/>
  <c r="N59" i="6"/>
  <c r="E59" i="8"/>
  <c r="H77" i="4"/>
  <c r="I72" i="4" s="1"/>
  <c r="P22" i="8"/>
  <c r="P24" i="8" s="1"/>
  <c r="P25" i="8" s="1"/>
  <c r="F60" i="4"/>
  <c r="D250" i="4"/>
  <c r="M60" i="6"/>
  <c r="L90" i="18"/>
  <c r="L95" i="18" s="1"/>
  <c r="L255" i="18" s="1"/>
  <c r="L259" i="18" s="1"/>
  <c r="L71" i="18"/>
  <c r="P149" i="4"/>
  <c r="N256" i="11"/>
  <c r="L145" i="3"/>
  <c r="L149" i="3" s="1"/>
  <c r="L144" i="3"/>
  <c r="M140" i="3" s="1"/>
  <c r="P149" i="7"/>
  <c r="D249" i="2"/>
  <c r="D247" i="4"/>
  <c r="L60" i="3"/>
  <c r="H60" i="19"/>
  <c r="P149" i="6"/>
  <c r="L47" i="12"/>
  <c r="L58" i="12"/>
  <c r="F256" i="11"/>
  <c r="P22" i="7"/>
  <c r="P24" i="7" s="1"/>
  <c r="P25" i="7" s="1"/>
  <c r="F249" i="7"/>
  <c r="E60" i="7"/>
  <c r="D249" i="7"/>
  <c r="D59" i="7"/>
  <c r="M60" i="4"/>
  <c r="L59" i="19"/>
  <c r="L249" i="19"/>
  <c r="P243" i="7"/>
  <c r="L59" i="7"/>
  <c r="L249" i="7"/>
  <c r="P94" i="6"/>
  <c r="L249" i="6"/>
  <c r="L60" i="6"/>
  <c r="L59" i="4"/>
  <c r="L60" i="4"/>
  <c r="G60" i="3"/>
  <c r="F59" i="3"/>
  <c r="L60" i="2"/>
  <c r="P243" i="19"/>
  <c r="P22" i="19"/>
  <c r="P24" i="19" s="1"/>
  <c r="P25" i="19" s="1"/>
  <c r="K60" i="4"/>
  <c r="F60" i="2"/>
  <c r="G60" i="2"/>
  <c r="P230" i="2"/>
  <c r="E249" i="2"/>
  <c r="P149" i="2"/>
  <c r="K249" i="2"/>
  <c r="P22" i="2"/>
  <c r="P24" i="2" s="1"/>
  <c r="P25" i="2" s="1"/>
  <c r="K60" i="2"/>
  <c r="K59" i="2"/>
  <c r="P256" i="2"/>
  <c r="P258" i="2" s="1"/>
  <c r="F134" i="2"/>
  <c r="G130" i="2" s="1"/>
  <c r="F145" i="2"/>
  <c r="F149" i="2" s="1"/>
  <c r="P149" i="19"/>
  <c r="P58" i="19"/>
  <c r="P243" i="8"/>
  <c r="P58" i="7"/>
  <c r="P22" i="6"/>
  <c r="P24" i="6" s="1"/>
  <c r="P25" i="6" s="1"/>
  <c r="J60" i="6"/>
  <c r="P118" i="2"/>
  <c r="P119" i="2" s="1"/>
  <c r="E60" i="2"/>
  <c r="I258" i="2"/>
  <c r="E258" i="2"/>
  <c r="G83" i="2"/>
  <c r="H78" i="2" s="1"/>
  <c r="H83" i="2" s="1"/>
  <c r="I78" i="2" s="1"/>
  <c r="I83" i="2" s="1"/>
  <c r="J78" i="2" s="1"/>
  <c r="J83" i="2" s="1"/>
  <c r="K78" i="2" s="1"/>
  <c r="K83" i="2" s="1"/>
  <c r="L78" i="2" s="1"/>
  <c r="L83" i="2" s="1"/>
  <c r="M78" i="2" s="1"/>
  <c r="M83" i="2" s="1"/>
  <c r="N78" i="2" s="1"/>
  <c r="N83" i="2" s="1"/>
  <c r="F258" i="2"/>
  <c r="D258" i="2"/>
  <c r="L58" i="18"/>
  <c r="P243" i="4"/>
  <c r="P22" i="4"/>
  <c r="P24" i="4" s="1"/>
  <c r="P25" i="4" s="1"/>
  <c r="P243" i="3"/>
  <c r="P58" i="3"/>
  <c r="P59" i="3" s="1"/>
  <c r="P58" i="2"/>
  <c r="P59" i="2" s="1"/>
  <c r="F60" i="6"/>
  <c r="D77" i="11"/>
  <c r="E72" i="6"/>
  <c r="P243" i="6"/>
  <c r="F249" i="6"/>
  <c r="H139" i="6"/>
  <c r="E84" i="6"/>
  <c r="G59" i="4"/>
  <c r="G59" i="3"/>
  <c r="D60" i="19"/>
  <c r="E60" i="4"/>
  <c r="P94" i="4"/>
  <c r="P256" i="3"/>
  <c r="P258" i="3" s="1"/>
  <c r="P243" i="2"/>
  <c r="F72" i="2"/>
  <c r="F77" i="2" s="1"/>
  <c r="G72" i="2" s="1"/>
  <c r="G77" i="2" s="1"/>
  <c r="H72" i="2" s="1"/>
  <c r="H77" i="2" s="1"/>
  <c r="I72" i="2" s="1"/>
  <c r="I77" i="2" s="1"/>
  <c r="F144" i="1"/>
  <c r="P250" i="19"/>
  <c r="P251" i="19"/>
  <c r="P217" i="19"/>
  <c r="J59" i="19"/>
  <c r="J60" i="19"/>
  <c r="J249" i="19"/>
  <c r="P230" i="19"/>
  <c r="P90" i="19"/>
  <c r="D95" i="19"/>
  <c r="P94" i="19"/>
  <c r="I59" i="19"/>
  <c r="I249" i="19"/>
  <c r="I60" i="19"/>
  <c r="F145" i="19"/>
  <c r="F149" i="19" s="1"/>
  <c r="F134" i="19"/>
  <c r="E71" i="19"/>
  <c r="E90" i="19"/>
  <c r="E95" i="19" s="1"/>
  <c r="P256" i="19"/>
  <c r="P258" i="19" s="1"/>
  <c r="P251" i="8"/>
  <c r="P250" i="8"/>
  <c r="P217" i="8"/>
  <c r="E71" i="8"/>
  <c r="F66" i="8" s="1"/>
  <c r="E90" i="8"/>
  <c r="E95" i="8" s="1"/>
  <c r="E255" i="8" s="1"/>
  <c r="E259" i="8" s="1"/>
  <c r="P90" i="8"/>
  <c r="P95" i="8" s="1"/>
  <c r="D95" i="8"/>
  <c r="D255" i="8" s="1"/>
  <c r="J59" i="8"/>
  <c r="J249" i="8"/>
  <c r="J60" i="8"/>
  <c r="H125" i="8"/>
  <c r="G134" i="8"/>
  <c r="H130" i="8" s="1"/>
  <c r="H134" i="8" s="1"/>
  <c r="I59" i="8"/>
  <c r="I60" i="8"/>
  <c r="I249" i="8"/>
  <c r="H249" i="8"/>
  <c r="H59" i="8"/>
  <c r="H60" i="8"/>
  <c r="G129" i="8"/>
  <c r="G145" i="8"/>
  <c r="G149" i="8" s="1"/>
  <c r="P58" i="8"/>
  <c r="P256" i="7"/>
  <c r="P258" i="7" s="1"/>
  <c r="H125" i="7"/>
  <c r="G134" i="7"/>
  <c r="H130" i="7" s="1"/>
  <c r="H134" i="7" s="1"/>
  <c r="G129" i="7"/>
  <c r="G145" i="7"/>
  <c r="G149" i="7" s="1"/>
  <c r="P94" i="7"/>
  <c r="K249" i="7"/>
  <c r="K60" i="7"/>
  <c r="K59" i="7"/>
  <c r="D95" i="7"/>
  <c r="D255" i="7" s="1"/>
  <c r="P90" i="7"/>
  <c r="F71" i="7"/>
  <c r="G66" i="7" s="1"/>
  <c r="F90" i="7"/>
  <c r="F95" i="7" s="1"/>
  <c r="F255" i="7" s="1"/>
  <c r="F259" i="7" s="1"/>
  <c r="P250" i="7"/>
  <c r="P217" i="7"/>
  <c r="P251" i="7"/>
  <c r="H249" i="7"/>
  <c r="H59" i="7"/>
  <c r="H60" i="7"/>
  <c r="J59" i="7"/>
  <c r="J249" i="7"/>
  <c r="J60" i="7"/>
  <c r="P230" i="7"/>
  <c r="P256" i="6"/>
  <c r="P258" i="6" s="1"/>
  <c r="H249" i="6"/>
  <c r="H59" i="6"/>
  <c r="H60" i="6"/>
  <c r="P217" i="6"/>
  <c r="P250" i="6"/>
  <c r="P251" i="6"/>
  <c r="P230" i="6"/>
  <c r="D243" i="6"/>
  <c r="D249" i="6" s="1"/>
  <c r="G125" i="6"/>
  <c r="F145" i="6"/>
  <c r="F149" i="6" s="1"/>
  <c r="F134" i="6"/>
  <c r="G130" i="6" s="1"/>
  <c r="E71" i="6"/>
  <c r="P90" i="6"/>
  <c r="D95" i="6"/>
  <c r="I59" i="6"/>
  <c r="I60" i="6"/>
  <c r="I249" i="6"/>
  <c r="P58" i="6"/>
  <c r="D258" i="4"/>
  <c r="P256" i="4"/>
  <c r="P258" i="4" s="1"/>
  <c r="H249" i="4"/>
  <c r="H59" i="4"/>
  <c r="H60" i="4"/>
  <c r="P250" i="4"/>
  <c r="P217" i="4"/>
  <c r="P251" i="4"/>
  <c r="G125" i="4"/>
  <c r="F145" i="4"/>
  <c r="F149" i="4" s="1"/>
  <c r="F134" i="4"/>
  <c r="G130" i="4" s="1"/>
  <c r="P90" i="4"/>
  <c r="D95" i="4"/>
  <c r="D255" i="4" s="1"/>
  <c r="I59" i="4"/>
  <c r="I249" i="4"/>
  <c r="I60" i="4"/>
  <c r="J59" i="4"/>
  <c r="J60" i="4"/>
  <c r="J249" i="4"/>
  <c r="E90" i="4"/>
  <c r="E95" i="4" s="1"/>
  <c r="P58" i="4"/>
  <c r="G125" i="3"/>
  <c r="F134" i="3"/>
  <c r="P90" i="3"/>
  <c r="D95" i="3"/>
  <c r="H249" i="3"/>
  <c r="H59" i="3"/>
  <c r="H60" i="3"/>
  <c r="J59" i="3"/>
  <c r="J60" i="3"/>
  <c r="J249" i="3"/>
  <c r="P250" i="3"/>
  <c r="P251" i="3"/>
  <c r="P217" i="3"/>
  <c r="P230" i="3"/>
  <c r="P94" i="3"/>
  <c r="F71" i="3"/>
  <c r="G66" i="3" s="1"/>
  <c r="F90" i="3"/>
  <c r="F95" i="3" s="1"/>
  <c r="I59" i="3"/>
  <c r="I60" i="3"/>
  <c r="I249" i="3"/>
  <c r="P90" i="2"/>
  <c r="D95" i="2"/>
  <c r="J59" i="2"/>
  <c r="J60" i="2"/>
  <c r="J249" i="2"/>
  <c r="H249" i="2"/>
  <c r="H60" i="2"/>
  <c r="H59" i="2"/>
  <c r="G129" i="2"/>
  <c r="P94" i="2"/>
  <c r="I59" i="2"/>
  <c r="I60" i="2"/>
  <c r="I249" i="2"/>
  <c r="P251" i="2"/>
  <c r="P250" i="2"/>
  <c r="P217" i="2"/>
  <c r="E90" i="2"/>
  <c r="E95" i="2" s="1"/>
  <c r="E71" i="2"/>
  <c r="F66" i="2" s="1"/>
  <c r="K140" i="6" l="1"/>
  <c r="G145" i="2"/>
  <c r="G149" i="2" s="1"/>
  <c r="E255" i="4"/>
  <c r="E259" i="4" s="1"/>
  <c r="P95" i="6"/>
  <c r="G140" i="1"/>
  <c r="G144" i="1" s="1"/>
  <c r="N144" i="1"/>
  <c r="N145" i="1"/>
  <c r="N149" i="1" s="1"/>
  <c r="G134" i="2"/>
  <c r="H130" i="2" s="1"/>
  <c r="H134" i="2" s="1"/>
  <c r="H125" i="2"/>
  <c r="M144" i="3"/>
  <c r="N140" i="3" s="1"/>
  <c r="M145" i="3"/>
  <c r="M149" i="3" s="1"/>
  <c r="F66" i="11"/>
  <c r="F259" i="3"/>
  <c r="E255" i="19"/>
  <c r="E259" i="19" s="1"/>
  <c r="D255" i="11"/>
  <c r="L249" i="12"/>
  <c r="L60" i="12"/>
  <c r="L59" i="12"/>
  <c r="P95" i="7"/>
  <c r="P249" i="7"/>
  <c r="P249" i="19"/>
  <c r="P60" i="19"/>
  <c r="P59" i="19"/>
  <c r="P59" i="7"/>
  <c r="P60" i="7"/>
  <c r="P95" i="4"/>
  <c r="E255" i="2"/>
  <c r="L249" i="18"/>
  <c r="L60" i="18"/>
  <c r="L59" i="18"/>
  <c r="P60" i="3"/>
  <c r="P249" i="3"/>
  <c r="P60" i="2"/>
  <c r="P249" i="2"/>
  <c r="E83" i="6"/>
  <c r="E77" i="6"/>
  <c r="E90" i="6"/>
  <c r="E95" i="6" s="1"/>
  <c r="E89" i="6"/>
  <c r="P95" i="19"/>
  <c r="P95" i="3"/>
  <c r="P95" i="2"/>
  <c r="D259" i="19"/>
  <c r="F71" i="19"/>
  <c r="G66" i="19" s="1"/>
  <c r="F90" i="19"/>
  <c r="F95" i="19" s="1"/>
  <c r="G134" i="19"/>
  <c r="H134" i="19" s="1"/>
  <c r="G129" i="19"/>
  <c r="G145" i="19"/>
  <c r="G149" i="19" s="1"/>
  <c r="D259" i="8"/>
  <c r="P249" i="8"/>
  <c r="P59" i="8"/>
  <c r="P60" i="8"/>
  <c r="F71" i="8"/>
  <c r="G66" i="8" s="1"/>
  <c r="F90" i="8"/>
  <c r="F95" i="8" s="1"/>
  <c r="F255" i="8" s="1"/>
  <c r="F259" i="8" s="1"/>
  <c r="H129" i="8"/>
  <c r="H145" i="8"/>
  <c r="H149" i="8" s="1"/>
  <c r="G71" i="7"/>
  <c r="H66" i="7" s="1"/>
  <c r="G90" i="7"/>
  <c r="G95" i="7" s="1"/>
  <c r="G255" i="7" s="1"/>
  <c r="G259" i="7" s="1"/>
  <c r="D259" i="7"/>
  <c r="H129" i="7"/>
  <c r="H145" i="7"/>
  <c r="H149" i="7" s="1"/>
  <c r="F71" i="6"/>
  <c r="G66" i="6" s="1"/>
  <c r="P249" i="6"/>
  <c r="P59" i="6"/>
  <c r="P60" i="6"/>
  <c r="G129" i="6"/>
  <c r="G145" i="6"/>
  <c r="G149" i="6" s="1"/>
  <c r="H125" i="6"/>
  <c r="G134" i="6"/>
  <c r="H130" i="6" s="1"/>
  <c r="P249" i="4"/>
  <c r="P59" i="4"/>
  <c r="P60" i="4"/>
  <c r="H125" i="4"/>
  <c r="G134" i="4"/>
  <c r="H130" i="4" s="1"/>
  <c r="H134" i="4" s="1"/>
  <c r="F90" i="4"/>
  <c r="F95" i="4" s="1"/>
  <c r="G129" i="4"/>
  <c r="G145" i="4"/>
  <c r="G149" i="4" s="1"/>
  <c r="G134" i="3"/>
  <c r="H130" i="3" s="1"/>
  <c r="H134" i="3" s="1"/>
  <c r="G71" i="3"/>
  <c r="H66" i="3" s="1"/>
  <c r="G90" i="3"/>
  <c r="G95" i="3" s="1"/>
  <c r="G129" i="3"/>
  <c r="F71" i="2"/>
  <c r="G66" i="2" s="1"/>
  <c r="F90" i="2"/>
  <c r="F95" i="2" s="1"/>
  <c r="H129" i="2"/>
  <c r="H145" i="2"/>
  <c r="H149" i="2" s="1"/>
  <c r="K140" i="11" l="1"/>
  <c r="K144" i="6"/>
  <c r="K145" i="6"/>
  <c r="K149" i="6" s="1"/>
  <c r="N144" i="3"/>
  <c r="N145" i="3"/>
  <c r="N149" i="3" s="1"/>
  <c r="E255" i="6"/>
  <c r="E259" i="6" s="1"/>
  <c r="F255" i="4"/>
  <c r="F259" i="4" s="1"/>
  <c r="H140" i="1"/>
  <c r="H144" i="1" s="1"/>
  <c r="G255" i="3"/>
  <c r="G259" i="3" s="1"/>
  <c r="F255" i="19"/>
  <c r="F259" i="19" s="1"/>
  <c r="F255" i="2"/>
  <c r="E259" i="2"/>
  <c r="F72" i="6"/>
  <c r="F84" i="6"/>
  <c r="H134" i="6"/>
  <c r="F78" i="6"/>
  <c r="G71" i="19"/>
  <c r="H66" i="19" s="1"/>
  <c r="G90" i="19"/>
  <c r="G95" i="19" s="1"/>
  <c r="H129" i="19"/>
  <c r="H145" i="19"/>
  <c r="H149" i="19" s="1"/>
  <c r="G71" i="8"/>
  <c r="H66" i="8" s="1"/>
  <c r="G90" i="8"/>
  <c r="G95" i="8" s="1"/>
  <c r="G255" i="8" s="1"/>
  <c r="H71" i="7"/>
  <c r="I66" i="7" s="1"/>
  <c r="H90" i="7"/>
  <c r="H95" i="7" s="1"/>
  <c r="H255" i="7" s="1"/>
  <c r="H129" i="6"/>
  <c r="H145" i="6"/>
  <c r="H149" i="6" s="1"/>
  <c r="G71" i="6"/>
  <c r="H129" i="4"/>
  <c r="H145" i="4"/>
  <c r="H149" i="4" s="1"/>
  <c r="G71" i="4"/>
  <c r="H66" i="4" s="1"/>
  <c r="G90" i="4"/>
  <c r="G95" i="4" s="1"/>
  <c r="H71" i="3"/>
  <c r="I66" i="3" s="1"/>
  <c r="H90" i="3"/>
  <c r="H95" i="3" s="1"/>
  <c r="H129" i="3"/>
  <c r="G71" i="2"/>
  <c r="H66" i="2" s="1"/>
  <c r="G90" i="2"/>
  <c r="G95" i="2" s="1"/>
  <c r="G255" i="2" s="1"/>
  <c r="G259" i="2" s="1"/>
  <c r="L144" i="6" l="1"/>
  <c r="M140" i="6" s="1"/>
  <c r="L140" i="6"/>
  <c r="P67" i="6"/>
  <c r="P71" i="6" s="1"/>
  <c r="H66" i="6"/>
  <c r="G255" i="4"/>
  <c r="G259" i="4" s="1"/>
  <c r="G255" i="19"/>
  <c r="G259" i="19" s="1"/>
  <c r="F259" i="2"/>
  <c r="H255" i="3"/>
  <c r="H259" i="3" s="1"/>
  <c r="F83" i="6"/>
  <c r="F89" i="6"/>
  <c r="F77" i="6"/>
  <c r="F90" i="6"/>
  <c r="F95" i="6" s="1"/>
  <c r="G259" i="8"/>
  <c r="H259" i="7"/>
  <c r="H71" i="19"/>
  <c r="I66" i="19" s="1"/>
  <c r="H90" i="19"/>
  <c r="H95" i="19" s="1"/>
  <c r="H255" i="19" s="1"/>
  <c r="H71" i="8"/>
  <c r="I66" i="8" s="1"/>
  <c r="H90" i="8"/>
  <c r="H95" i="8" s="1"/>
  <c r="H255" i="8" s="1"/>
  <c r="H259" i="8" s="1"/>
  <c r="I90" i="7"/>
  <c r="I95" i="7" s="1"/>
  <c r="I255" i="7" s="1"/>
  <c r="I259" i="7" s="1"/>
  <c r="I71" i="7"/>
  <c r="J66" i="7" s="1"/>
  <c r="H71" i="6"/>
  <c r="I66" i="6" s="1"/>
  <c r="H71" i="4"/>
  <c r="I66" i="4" s="1"/>
  <c r="H90" i="4"/>
  <c r="H95" i="4" s="1"/>
  <c r="I90" i="3"/>
  <c r="I95" i="3" s="1"/>
  <c r="I71" i="3"/>
  <c r="J66" i="3" s="1"/>
  <c r="H71" i="2"/>
  <c r="H90" i="2"/>
  <c r="H95" i="2" s="1"/>
  <c r="H255" i="2" s="1"/>
  <c r="M145" i="6" l="1"/>
  <c r="M149" i="6" s="1"/>
  <c r="M144" i="6"/>
  <c r="N140" i="6" s="1"/>
  <c r="M140" i="11"/>
  <c r="L145" i="6"/>
  <c r="L149" i="6" s="1"/>
  <c r="L140" i="11"/>
  <c r="H255" i="4"/>
  <c r="H259" i="4" s="1"/>
  <c r="F255" i="6"/>
  <c r="F259" i="6" s="1"/>
  <c r="I255" i="3"/>
  <c r="I259" i="3" s="1"/>
  <c r="G72" i="6"/>
  <c r="G84" i="6"/>
  <c r="G83" i="6"/>
  <c r="H259" i="2"/>
  <c r="I66" i="2"/>
  <c r="H259" i="19"/>
  <c r="I90" i="19"/>
  <c r="I95" i="19" s="1"/>
  <c r="I71" i="19"/>
  <c r="J66" i="19" s="1"/>
  <c r="I90" i="8"/>
  <c r="I95" i="8" s="1"/>
  <c r="I255" i="8" s="1"/>
  <c r="I259" i="8" s="1"/>
  <c r="I71" i="8"/>
  <c r="J66" i="8" s="1"/>
  <c r="J71" i="7"/>
  <c r="K66" i="7" s="1"/>
  <c r="J90" i="7"/>
  <c r="J95" i="7" s="1"/>
  <c r="J255" i="7" s="1"/>
  <c r="J259" i="7" s="1"/>
  <c r="I71" i="6"/>
  <c r="J66" i="6" s="1"/>
  <c r="I90" i="4"/>
  <c r="I95" i="4" s="1"/>
  <c r="I71" i="4"/>
  <c r="J66" i="4" s="1"/>
  <c r="J90" i="3"/>
  <c r="J95" i="3" s="1"/>
  <c r="J255" i="3" s="1"/>
  <c r="J259" i="3" s="1"/>
  <c r="J71" i="3"/>
  <c r="K66" i="3" s="1"/>
  <c r="N145" i="6" l="1"/>
  <c r="N149" i="6" s="1"/>
  <c r="N144" i="6"/>
  <c r="O140" i="6" s="1"/>
  <c r="O140" i="11" s="1"/>
  <c r="N140" i="11"/>
  <c r="I255" i="4"/>
  <c r="I259" i="4" s="1"/>
  <c r="I255" i="19"/>
  <c r="I259" i="19" s="1"/>
  <c r="I71" i="2"/>
  <c r="J66" i="2" s="1"/>
  <c r="I90" i="2"/>
  <c r="I95" i="2" s="1"/>
  <c r="H78" i="6"/>
  <c r="G89" i="6"/>
  <c r="G77" i="6"/>
  <c r="G90" i="6"/>
  <c r="G95" i="6" s="1"/>
  <c r="J90" i="19"/>
  <c r="J95" i="19" s="1"/>
  <c r="J255" i="19" s="1"/>
  <c r="J259" i="19" s="1"/>
  <c r="J71" i="19"/>
  <c r="K66" i="19" s="1"/>
  <c r="J90" i="8"/>
  <c r="J95" i="8" s="1"/>
  <c r="J255" i="8" s="1"/>
  <c r="J259" i="8" s="1"/>
  <c r="J71" i="8"/>
  <c r="K66" i="8" s="1"/>
  <c r="K90" i="7"/>
  <c r="K95" i="7" s="1"/>
  <c r="K255" i="7" s="1"/>
  <c r="K259" i="7" s="1"/>
  <c r="K71" i="7"/>
  <c r="L66" i="7" s="1"/>
  <c r="J71" i="6"/>
  <c r="K66" i="6" s="1"/>
  <c r="J90" i="4"/>
  <c r="J95" i="4" s="1"/>
  <c r="J255" i="4" s="1"/>
  <c r="J259" i="4" s="1"/>
  <c r="J71" i="4"/>
  <c r="K66" i="4" s="1"/>
  <c r="K71" i="3"/>
  <c r="L66" i="3" s="1"/>
  <c r="K90" i="3"/>
  <c r="K95" i="3" s="1"/>
  <c r="K255" i="3" s="1"/>
  <c r="K259" i="3" s="1"/>
  <c r="G255" i="6" l="1"/>
  <c r="G259" i="6" s="1"/>
  <c r="I255" i="2"/>
  <c r="I259" i="2" s="1"/>
  <c r="J71" i="2"/>
  <c r="K66" i="2" s="1"/>
  <c r="J90" i="2"/>
  <c r="J95" i="2" s="1"/>
  <c r="J255" i="2" s="1"/>
  <c r="J259" i="2" s="1"/>
  <c r="H84" i="6"/>
  <c r="H72" i="6"/>
  <c r="H83" i="6"/>
  <c r="K71" i="19"/>
  <c r="L66" i="19" s="1"/>
  <c r="K90" i="19"/>
  <c r="K95" i="19" s="1"/>
  <c r="K255" i="19" s="1"/>
  <c r="K71" i="8"/>
  <c r="L66" i="8" s="1"/>
  <c r="K90" i="8"/>
  <c r="K95" i="8" s="1"/>
  <c r="K255" i="8" s="1"/>
  <c r="L90" i="7"/>
  <c r="L95" i="7" s="1"/>
  <c r="L255" i="7" s="1"/>
  <c r="L259" i="7" s="1"/>
  <c r="L71" i="7"/>
  <c r="M66" i="7" s="1"/>
  <c r="K71" i="6"/>
  <c r="L66" i="6" s="1"/>
  <c r="K71" i="4"/>
  <c r="L66" i="4" s="1"/>
  <c r="K90" i="4"/>
  <c r="K95" i="4" s="1"/>
  <c r="K255" i="4" s="1"/>
  <c r="K259" i="4" s="1"/>
  <c r="L71" i="3"/>
  <c r="M66" i="3" s="1"/>
  <c r="L90" i="3"/>
  <c r="L95" i="3" s="1"/>
  <c r="L255" i="3" s="1"/>
  <c r="L259" i="3" s="1"/>
  <c r="K71" i="2" l="1"/>
  <c r="L66" i="2" s="1"/>
  <c r="K90" i="2"/>
  <c r="K95" i="2" s="1"/>
  <c r="K255" i="2" s="1"/>
  <c r="K259" i="2" s="1"/>
  <c r="H77" i="6"/>
  <c r="H90" i="6"/>
  <c r="H95" i="6" s="1"/>
  <c r="H255" i="6" s="1"/>
  <c r="I78" i="6"/>
  <c r="H89" i="6"/>
  <c r="K259" i="19"/>
  <c r="K259" i="8"/>
  <c r="L71" i="19"/>
  <c r="M66" i="19" s="1"/>
  <c r="L90" i="19"/>
  <c r="L95" i="19" s="1"/>
  <c r="L255" i="19" s="1"/>
  <c r="L259" i="19" s="1"/>
  <c r="L71" i="8"/>
  <c r="M66" i="8" s="1"/>
  <c r="L90" i="8"/>
  <c r="L95" i="8" s="1"/>
  <c r="L255" i="8" s="1"/>
  <c r="L259" i="8" s="1"/>
  <c r="M71" i="7"/>
  <c r="N66" i="7" s="1"/>
  <c r="M90" i="7"/>
  <c r="M95" i="7" s="1"/>
  <c r="M255" i="7" s="1"/>
  <c r="L71" i="6"/>
  <c r="M66" i="6" s="1"/>
  <c r="L71" i="4"/>
  <c r="M66" i="4" s="1"/>
  <c r="L90" i="4"/>
  <c r="L95" i="4" s="1"/>
  <c r="L255" i="4" s="1"/>
  <c r="L259" i="4" s="1"/>
  <c r="M71" i="3"/>
  <c r="N66" i="3" s="1"/>
  <c r="M90" i="3"/>
  <c r="M95" i="3" s="1"/>
  <c r="M255" i="3" s="1"/>
  <c r="M259" i="3" s="1"/>
  <c r="L71" i="2" l="1"/>
  <c r="M66" i="2" s="1"/>
  <c r="L90" i="2"/>
  <c r="L95" i="2" s="1"/>
  <c r="L255" i="2" s="1"/>
  <c r="L259" i="2" s="1"/>
  <c r="H259" i="6"/>
  <c r="I83" i="6"/>
  <c r="M259" i="7"/>
  <c r="M71" i="19"/>
  <c r="N66" i="19" s="1"/>
  <c r="M90" i="19"/>
  <c r="M95" i="19" s="1"/>
  <c r="M255" i="19" s="1"/>
  <c r="M259" i="19" s="1"/>
  <c r="M71" i="8"/>
  <c r="N66" i="8" s="1"/>
  <c r="M90" i="8"/>
  <c r="M95" i="8" s="1"/>
  <c r="M255" i="8" s="1"/>
  <c r="M259" i="8" s="1"/>
  <c r="N71" i="7"/>
  <c r="O66" i="7" s="1"/>
  <c r="N90" i="7"/>
  <c r="N95" i="7" s="1"/>
  <c r="N255" i="7" s="1"/>
  <c r="N259" i="7" s="1"/>
  <c r="M71" i="6"/>
  <c r="N66" i="6" s="1"/>
  <c r="M71" i="4"/>
  <c r="N66" i="4" s="1"/>
  <c r="M90" i="4"/>
  <c r="M95" i="4" s="1"/>
  <c r="M255" i="4" s="1"/>
  <c r="M259" i="4" s="1"/>
  <c r="N71" i="3"/>
  <c r="N90" i="3"/>
  <c r="N95" i="3" s="1"/>
  <c r="N255" i="3" s="1"/>
  <c r="N259" i="3" s="1"/>
  <c r="M71" i="2" l="1"/>
  <c r="N66" i="2" s="1"/>
  <c r="M90" i="2"/>
  <c r="M95" i="2" s="1"/>
  <c r="M255" i="2" s="1"/>
  <c r="M259" i="2" s="1"/>
  <c r="J78" i="6"/>
  <c r="I77" i="6"/>
  <c r="I90" i="6"/>
  <c r="I95" i="6" s="1"/>
  <c r="I255" i="6" s="1"/>
  <c r="N71" i="19"/>
  <c r="O66" i="19" s="1"/>
  <c r="N90" i="19"/>
  <c r="N95" i="19" s="1"/>
  <c r="N255" i="19" s="1"/>
  <c r="N259" i="19" s="1"/>
  <c r="N71" i="8"/>
  <c r="O66" i="8" s="1"/>
  <c r="N90" i="8"/>
  <c r="N95" i="8" s="1"/>
  <c r="N255" i="8" s="1"/>
  <c r="N259" i="8" s="1"/>
  <c r="O71" i="7"/>
  <c r="O90" i="7"/>
  <c r="O95" i="7" s="1"/>
  <c r="O255" i="7" s="1"/>
  <c r="N71" i="6"/>
  <c r="O66" i="6" s="1"/>
  <c r="N71" i="4"/>
  <c r="O66" i="4" s="1"/>
  <c r="N90" i="4"/>
  <c r="N95" i="4" s="1"/>
  <c r="N255" i="4" s="1"/>
  <c r="N259" i="4" s="1"/>
  <c r="O95" i="3"/>
  <c r="N71" i="2" l="1"/>
  <c r="N90" i="2"/>
  <c r="N95" i="2" s="1"/>
  <c r="N255" i="2" s="1"/>
  <c r="N259" i="2" s="1"/>
  <c r="I259" i="6"/>
  <c r="J83" i="6"/>
  <c r="J90" i="6"/>
  <c r="J95" i="6" s="1"/>
  <c r="J255" i="6" s="1"/>
  <c r="O259" i="7"/>
  <c r="P255" i="7"/>
  <c r="P259" i="7" s="1"/>
  <c r="P255" i="3"/>
  <c r="P259" i="3" s="1"/>
  <c r="O95" i="19"/>
  <c r="O71" i="8"/>
  <c r="O90" i="8"/>
  <c r="O95" i="8" s="1"/>
  <c r="O255" i="8" s="1"/>
  <c r="O95" i="4"/>
  <c r="K78" i="6" l="1"/>
  <c r="J259" i="6"/>
  <c r="P255" i="19"/>
  <c r="P259" i="19" s="1"/>
  <c r="O259" i="8"/>
  <c r="P255" i="8"/>
  <c r="P259" i="8" s="1"/>
  <c r="P255" i="4"/>
  <c r="P259" i="4" s="1"/>
  <c r="O242" i="1"/>
  <c r="O230" i="1"/>
  <c r="O210" i="1"/>
  <c r="O236" i="1"/>
  <c r="E236" i="1"/>
  <c r="O216" i="1"/>
  <c r="N216" i="1"/>
  <c r="M216" i="1"/>
  <c r="L216" i="1"/>
  <c r="K216" i="1"/>
  <c r="J216" i="1"/>
  <c r="I216" i="1"/>
  <c r="H216" i="1"/>
  <c r="G216" i="1"/>
  <c r="F216" i="1"/>
  <c r="E216" i="1"/>
  <c r="O204" i="1"/>
  <c r="O117" i="1"/>
  <c r="O111" i="1"/>
  <c r="O105" i="1"/>
  <c r="L62" i="1"/>
  <c r="O47" i="1"/>
  <c r="O41" i="1"/>
  <c r="O21" i="1"/>
  <c r="O15" i="1"/>
  <c r="O251" i="1" l="1"/>
  <c r="O250" i="1"/>
  <c r="O22" i="1"/>
  <c r="O24" i="1" s="1"/>
  <c r="O25" i="1" s="1"/>
  <c r="O118" i="1"/>
  <c r="O119" i="1" s="1"/>
  <c r="O42" i="1"/>
  <c r="O217" i="1"/>
  <c r="K83" i="6"/>
  <c r="K90" i="6"/>
  <c r="K95" i="6" s="1"/>
  <c r="K255" i="6" s="1"/>
  <c r="O243" i="1"/>
  <c r="O249" i="1" s="1"/>
  <c r="P255" i="2" l="1"/>
  <c r="P259" i="2" s="1"/>
  <c r="O259" i="2"/>
  <c r="K259" i="6"/>
  <c r="L78" i="6"/>
  <c r="P196" i="1"/>
  <c r="L83" i="6" l="1"/>
  <c r="L90" i="6"/>
  <c r="L95" i="6" s="1"/>
  <c r="L255" i="6" s="1"/>
  <c r="N39" i="11"/>
  <c r="O39" i="11"/>
  <c r="N37" i="11"/>
  <c r="O37" i="11"/>
  <c r="N35" i="11"/>
  <c r="O35" i="11"/>
  <c r="N33" i="11"/>
  <c r="O33" i="11"/>
  <c r="N31" i="11"/>
  <c r="O31" i="11"/>
  <c r="L259" i="6" l="1"/>
  <c r="M78" i="6"/>
  <c r="L9" i="17"/>
  <c r="L135" i="17"/>
  <c r="L130" i="17"/>
  <c r="L17" i="17"/>
  <c r="L262" i="17"/>
  <c r="L263" i="17" s="1"/>
  <c r="L261" i="17"/>
  <c r="L257" i="17"/>
  <c r="L254" i="17"/>
  <c r="L253" i="17"/>
  <c r="L246" i="17"/>
  <c r="L245" i="17"/>
  <c r="L247" i="17" s="1"/>
  <c r="L228" i="17"/>
  <c r="L227" i="17"/>
  <c r="L226" i="17"/>
  <c r="L225" i="17"/>
  <c r="L215" i="17"/>
  <c r="L214" i="17"/>
  <c r="L213" i="17"/>
  <c r="L212" i="17"/>
  <c r="L203" i="17"/>
  <c r="L202" i="17"/>
  <c r="L201" i="17"/>
  <c r="L200" i="17"/>
  <c r="L199" i="17"/>
  <c r="L192" i="17"/>
  <c r="L191" i="17"/>
  <c r="L190" i="17"/>
  <c r="L189" i="17"/>
  <c r="L187" i="17"/>
  <c r="L186" i="17"/>
  <c r="L185" i="17"/>
  <c r="L184" i="17"/>
  <c r="L182" i="17"/>
  <c r="L181" i="17"/>
  <c r="L180" i="17"/>
  <c r="L179" i="17"/>
  <c r="L178" i="17"/>
  <c r="L177" i="17"/>
  <c r="L175" i="17"/>
  <c r="L174" i="17"/>
  <c r="L173" i="17"/>
  <c r="L172" i="17"/>
  <c r="L171" i="17"/>
  <c r="L170" i="17"/>
  <c r="L169" i="17"/>
  <c r="L165" i="17"/>
  <c r="L164" i="17"/>
  <c r="L163" i="17"/>
  <c r="L162" i="17"/>
  <c r="L161" i="17"/>
  <c r="L160" i="17"/>
  <c r="L159" i="17"/>
  <c r="L158" i="17"/>
  <c r="L157" i="17"/>
  <c r="L156" i="17"/>
  <c r="L143" i="17"/>
  <c r="L142" i="17"/>
  <c r="L141" i="17"/>
  <c r="L140" i="17"/>
  <c r="L144" i="17" s="1"/>
  <c r="L133" i="17"/>
  <c r="L131" i="17"/>
  <c r="L122" i="17"/>
  <c r="M122" i="17" s="1"/>
  <c r="L121" i="17"/>
  <c r="M121" i="17" s="1"/>
  <c r="L116" i="17"/>
  <c r="L115" i="17"/>
  <c r="L114" i="17"/>
  <c r="L113" i="17"/>
  <c r="L110" i="17"/>
  <c r="L109" i="17"/>
  <c r="L108" i="17"/>
  <c r="L107" i="17"/>
  <c r="L104" i="17"/>
  <c r="L103" i="17"/>
  <c r="L102" i="17"/>
  <c r="L101" i="17"/>
  <c r="L98" i="17"/>
  <c r="L87" i="17"/>
  <c r="L86" i="17"/>
  <c r="L85" i="17"/>
  <c r="L84" i="17"/>
  <c r="L81" i="17"/>
  <c r="L80" i="17"/>
  <c r="L79" i="17"/>
  <c r="L78" i="17"/>
  <c r="L75" i="17"/>
  <c r="L74" i="17"/>
  <c r="L73" i="17"/>
  <c r="L72" i="17"/>
  <c r="L69" i="17"/>
  <c r="L68" i="17"/>
  <c r="L67" i="17"/>
  <c r="L66" i="17"/>
  <c r="L61" i="17"/>
  <c r="L56" i="17"/>
  <c r="L39" i="17"/>
  <c r="L37" i="17"/>
  <c r="L35" i="17"/>
  <c r="L33" i="17"/>
  <c r="L31" i="17"/>
  <c r="L29" i="17"/>
  <c r="L20" i="17"/>
  <c r="L19" i="17"/>
  <c r="L18" i="17"/>
  <c r="L105" i="17" l="1"/>
  <c r="L117" i="17"/>
  <c r="L111" i="17"/>
  <c r="L88" i="17"/>
  <c r="M83" i="6"/>
  <c r="M90" i="6"/>
  <c r="M95" i="6" s="1"/>
  <c r="M255" i="6" s="1"/>
  <c r="L204" i="17"/>
  <c r="L229" i="17"/>
  <c r="L21" i="17"/>
  <c r="L123" i="17"/>
  <c r="L216" i="17"/>
  <c r="L82" i="17"/>
  <c r="L83" i="17" s="1"/>
  <c r="L92" i="17"/>
  <c r="L70" i="17"/>
  <c r="L71" i="17" s="1"/>
  <c r="L90" i="17"/>
  <c r="L91" i="17"/>
  <c r="L256" i="17" s="1"/>
  <c r="L258" i="17" s="1"/>
  <c r="L93" i="17"/>
  <c r="L32" i="17"/>
  <c r="L38" i="17"/>
  <c r="L62" i="17"/>
  <c r="L34" i="17"/>
  <c r="L118" i="17"/>
  <c r="L119" i="17" s="1"/>
  <c r="L41" i="17"/>
  <c r="L42" i="17" s="1"/>
  <c r="L30" i="17"/>
  <c r="L76" i="17"/>
  <c r="L77" i="17" s="1"/>
  <c r="L40" i="17"/>
  <c r="L145" i="17"/>
  <c r="M192" i="16"/>
  <c r="M191" i="16"/>
  <c r="M190" i="16"/>
  <c r="M189" i="16"/>
  <c r="M63" i="16"/>
  <c r="M52" i="16"/>
  <c r="M39" i="16"/>
  <c r="M37" i="16"/>
  <c r="L140" i="16"/>
  <c r="L135" i="16"/>
  <c r="L130" i="16"/>
  <c r="L125" i="16"/>
  <c r="L121" i="16"/>
  <c r="L110" i="16"/>
  <c r="L84" i="16"/>
  <c r="L78" i="16"/>
  <c r="L72" i="16"/>
  <c r="L66" i="16"/>
  <c r="L35" i="16"/>
  <c r="L17" i="16"/>
  <c r="L9" i="16"/>
  <c r="L62" i="16" s="1"/>
  <c r="K262" i="16"/>
  <c r="K261" i="16"/>
  <c r="K257" i="16"/>
  <c r="K254" i="16"/>
  <c r="K253" i="16"/>
  <c r="K246" i="16"/>
  <c r="K245" i="16"/>
  <c r="K241" i="16"/>
  <c r="K240" i="16"/>
  <c r="K239" i="16"/>
  <c r="K238" i="16"/>
  <c r="K235" i="16"/>
  <c r="K234" i="16"/>
  <c r="K233" i="16"/>
  <c r="K232" i="16"/>
  <c r="K228" i="16"/>
  <c r="K227" i="16"/>
  <c r="K226" i="16"/>
  <c r="K225" i="16"/>
  <c r="K222" i="16"/>
  <c r="K221" i="16"/>
  <c r="K220" i="16"/>
  <c r="K219" i="16"/>
  <c r="K215" i="16"/>
  <c r="K214" i="16"/>
  <c r="K213" i="16"/>
  <c r="K212" i="16"/>
  <c r="K209" i="16"/>
  <c r="K208" i="16"/>
  <c r="K207" i="16"/>
  <c r="K206" i="16"/>
  <c r="K203" i="16"/>
  <c r="K202" i="16"/>
  <c r="K201" i="16"/>
  <c r="K200" i="16"/>
  <c r="K199" i="16"/>
  <c r="K197" i="16"/>
  <c r="K196" i="16"/>
  <c r="K195" i="16"/>
  <c r="K194" i="16"/>
  <c r="K187" i="16"/>
  <c r="K186" i="16"/>
  <c r="K185" i="16"/>
  <c r="K184" i="16"/>
  <c r="K182" i="16"/>
  <c r="K181" i="16"/>
  <c r="K180" i="16"/>
  <c r="K179" i="16"/>
  <c r="K178" i="16"/>
  <c r="K177" i="16"/>
  <c r="K175" i="16"/>
  <c r="K174" i="16"/>
  <c r="K173" i="16"/>
  <c r="K172" i="16"/>
  <c r="K171" i="16"/>
  <c r="K170" i="16"/>
  <c r="K169" i="16"/>
  <c r="K168" i="16"/>
  <c r="K167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43" i="16"/>
  <c r="K142" i="16"/>
  <c r="K141" i="16"/>
  <c r="K140" i="16"/>
  <c r="K138" i="16"/>
  <c r="K137" i="16"/>
  <c r="K136" i="16"/>
  <c r="K135" i="16"/>
  <c r="K133" i="16"/>
  <c r="K132" i="16"/>
  <c r="K131" i="16"/>
  <c r="K130" i="16"/>
  <c r="K128" i="16"/>
  <c r="K127" i="16"/>
  <c r="K126" i="16"/>
  <c r="K125" i="16"/>
  <c r="K122" i="16"/>
  <c r="K121" i="16"/>
  <c r="K116" i="16"/>
  <c r="K115" i="16"/>
  <c r="K114" i="16"/>
  <c r="K113" i="16"/>
  <c r="K110" i="16"/>
  <c r="K109" i="16"/>
  <c r="K108" i="16"/>
  <c r="K107" i="16"/>
  <c r="K104" i="16"/>
  <c r="K103" i="16"/>
  <c r="K102" i="16"/>
  <c r="K101" i="16"/>
  <c r="K98" i="16"/>
  <c r="K87" i="16"/>
  <c r="K86" i="16"/>
  <c r="K85" i="16"/>
  <c r="K84" i="16"/>
  <c r="K81" i="16"/>
  <c r="K80" i="16"/>
  <c r="K79" i="16"/>
  <c r="K78" i="16"/>
  <c r="K75" i="16"/>
  <c r="K74" i="16"/>
  <c r="K73" i="16"/>
  <c r="K72" i="16"/>
  <c r="K69" i="16"/>
  <c r="K68" i="16"/>
  <c r="K67" i="16"/>
  <c r="K66" i="16"/>
  <c r="K56" i="16"/>
  <c r="K55" i="16"/>
  <c r="K54" i="16"/>
  <c r="K51" i="16"/>
  <c r="K50" i="16"/>
  <c r="K49" i="16"/>
  <c r="K46" i="16"/>
  <c r="K44" i="16"/>
  <c r="K35" i="16"/>
  <c r="K33" i="16"/>
  <c r="K31" i="16"/>
  <c r="K29" i="16"/>
  <c r="K20" i="16"/>
  <c r="K19" i="16"/>
  <c r="K18" i="16"/>
  <c r="K17" i="16"/>
  <c r="K14" i="16"/>
  <c r="K13" i="16"/>
  <c r="K12" i="16"/>
  <c r="K11" i="16"/>
  <c r="K9" i="16"/>
  <c r="L145" i="16" l="1"/>
  <c r="M259" i="6"/>
  <c r="N78" i="6"/>
  <c r="L94" i="17"/>
  <c r="L99" i="17" s="1"/>
  <c r="L90" i="16"/>
  <c r="L95" i="17"/>
  <c r="L255" i="17" s="1"/>
  <c r="L259" i="17" s="1"/>
  <c r="L38" i="16"/>
  <c r="L40" i="16"/>
  <c r="M39" i="11"/>
  <c r="M37" i="11"/>
  <c r="M35" i="11"/>
  <c r="M33" i="11"/>
  <c r="M31" i="11"/>
  <c r="N83" i="6" l="1"/>
  <c r="N90" i="6"/>
  <c r="N95" i="6" s="1"/>
  <c r="N255" i="6" s="1"/>
  <c r="M15" i="11"/>
  <c r="M41" i="11"/>
  <c r="N259" i="6" l="1"/>
  <c r="L262" i="16"/>
  <c r="L257" i="16"/>
  <c r="L254" i="16"/>
  <c r="L253" i="16"/>
  <c r="L246" i="16"/>
  <c r="L228" i="16"/>
  <c r="L227" i="16"/>
  <c r="L226" i="16"/>
  <c r="L225" i="16"/>
  <c r="L215" i="16"/>
  <c r="L214" i="16"/>
  <c r="L213" i="16"/>
  <c r="L212" i="16"/>
  <c r="L203" i="16"/>
  <c r="L202" i="16"/>
  <c r="L201" i="16"/>
  <c r="L200" i="16"/>
  <c r="L199" i="16"/>
  <c r="L187" i="16"/>
  <c r="L186" i="16"/>
  <c r="L185" i="16"/>
  <c r="L184" i="16"/>
  <c r="L182" i="16"/>
  <c r="L181" i="16"/>
  <c r="L180" i="16"/>
  <c r="L179" i="16"/>
  <c r="L178" i="16"/>
  <c r="L177" i="16"/>
  <c r="L175" i="16"/>
  <c r="L174" i="16"/>
  <c r="L173" i="16"/>
  <c r="L172" i="16"/>
  <c r="L171" i="16"/>
  <c r="L170" i="16"/>
  <c r="L169" i="16"/>
  <c r="L165" i="16"/>
  <c r="L164" i="16"/>
  <c r="L163" i="16"/>
  <c r="L162" i="16"/>
  <c r="L161" i="16"/>
  <c r="L160" i="16"/>
  <c r="L159" i="16"/>
  <c r="L158" i="16"/>
  <c r="L157" i="16"/>
  <c r="L156" i="16"/>
  <c r="L143" i="16"/>
  <c r="L142" i="16"/>
  <c r="L141" i="16"/>
  <c r="L133" i="16"/>
  <c r="L131" i="16"/>
  <c r="L128" i="17"/>
  <c r="L116" i="16"/>
  <c r="L115" i="16"/>
  <c r="L114" i="16"/>
  <c r="L109" i="16"/>
  <c r="L108" i="16"/>
  <c r="L107" i="16"/>
  <c r="L104" i="16"/>
  <c r="L103" i="16"/>
  <c r="L102" i="16"/>
  <c r="L101" i="16"/>
  <c r="L98" i="16"/>
  <c r="L87" i="16"/>
  <c r="L86" i="16"/>
  <c r="L85" i="16"/>
  <c r="L80" i="16"/>
  <c r="L79" i="16"/>
  <c r="L75" i="16"/>
  <c r="L69" i="16"/>
  <c r="L67" i="16"/>
  <c r="L63" i="17"/>
  <c r="L56" i="16"/>
  <c r="L52" i="17"/>
  <c r="L33" i="16"/>
  <c r="L34" i="16" s="1"/>
  <c r="L31" i="16"/>
  <c r="L32" i="16" s="1"/>
  <c r="L29" i="16"/>
  <c r="L20" i="16"/>
  <c r="L19" i="16"/>
  <c r="L18" i="16"/>
  <c r="L216" i="16" l="1"/>
  <c r="O95" i="6"/>
  <c r="L229" i="16"/>
  <c r="L204" i="16"/>
  <c r="L88" i="16"/>
  <c r="L89" i="16" s="1"/>
  <c r="L50" i="16"/>
  <c r="L50" i="17"/>
  <c r="L73" i="16"/>
  <c r="L91" i="16" s="1"/>
  <c r="L207" i="16"/>
  <c r="L207" i="17"/>
  <c r="L49" i="16"/>
  <c r="L49" i="17"/>
  <c r="L51" i="16"/>
  <c r="L51" i="17"/>
  <c r="L74" i="16"/>
  <c r="L76" i="16" s="1"/>
  <c r="L113" i="16"/>
  <c r="L117" i="16" s="1"/>
  <c r="L208" i="16"/>
  <c r="L208" i="17"/>
  <c r="L245" i="16"/>
  <c r="L247" i="16" s="1"/>
  <c r="L81" i="16"/>
  <c r="L93" i="16" s="1"/>
  <c r="L105" i="16"/>
  <c r="L111" i="16"/>
  <c r="L209" i="16"/>
  <c r="L209" i="17"/>
  <c r="L21" i="16"/>
  <c r="L261" i="16"/>
  <c r="L263" i="16" s="1"/>
  <c r="L168" i="16"/>
  <c r="L168" i="17"/>
  <c r="L138" i="16"/>
  <c r="L138" i="17"/>
  <c r="L148" i="17" s="1"/>
  <c r="L136" i="16"/>
  <c r="L136" i="17"/>
  <c r="L137" i="16"/>
  <c r="L137" i="17"/>
  <c r="L122" i="16"/>
  <c r="L123" i="16" s="1"/>
  <c r="L144" i="16"/>
  <c r="L239" i="16"/>
  <c r="L239" i="17"/>
  <c r="L240" i="16"/>
  <c r="L240" i="17"/>
  <c r="L241" i="16"/>
  <c r="L241" i="17"/>
  <c r="L233" i="16"/>
  <c r="L233" i="17"/>
  <c r="L235" i="16"/>
  <c r="L235" i="17"/>
  <c r="L234" i="16"/>
  <c r="L234" i="17"/>
  <c r="L222" i="16"/>
  <c r="L222" i="17"/>
  <c r="L221" i="16"/>
  <c r="L221" i="17"/>
  <c r="L219" i="16"/>
  <c r="L219" i="17"/>
  <c r="L220" i="16"/>
  <c r="L220" i="17"/>
  <c r="L196" i="16"/>
  <c r="L196" i="17"/>
  <c r="L197" i="16"/>
  <c r="L197" i="17"/>
  <c r="L194" i="16"/>
  <c r="L194" i="17"/>
  <c r="L195" i="16"/>
  <c r="L195" i="17"/>
  <c r="L167" i="16"/>
  <c r="L167" i="17"/>
  <c r="L155" i="16"/>
  <c r="L155" i="17"/>
  <c r="L154" i="16"/>
  <c r="L154" i="17"/>
  <c r="L153" i="16"/>
  <c r="L153" i="17"/>
  <c r="L132" i="16"/>
  <c r="L134" i="16" s="1"/>
  <c r="L132" i="17"/>
  <c r="L126" i="16"/>
  <c r="L126" i="17"/>
  <c r="L127" i="16"/>
  <c r="L127" i="17"/>
  <c r="L68" i="16"/>
  <c r="L54" i="16"/>
  <c r="L54" i="17"/>
  <c r="L44" i="16"/>
  <c r="L45" i="16" s="1"/>
  <c r="L44" i="17"/>
  <c r="L45" i="17" s="1"/>
  <c r="L30" i="16"/>
  <c r="L41" i="16"/>
  <c r="L42" i="16" s="1"/>
  <c r="L12" i="17"/>
  <c r="L12" i="16"/>
  <c r="L13" i="16"/>
  <c r="L13" i="17"/>
  <c r="L14" i="16"/>
  <c r="L14" i="17"/>
  <c r="L134" i="17"/>
  <c r="L128" i="16"/>
  <c r="L11" i="17"/>
  <c r="L232" i="17"/>
  <c r="L238" i="17"/>
  <c r="L46" i="17"/>
  <c r="L77" i="16" l="1"/>
  <c r="O259" i="6"/>
  <c r="P255" i="6"/>
  <c r="P259" i="6" s="1"/>
  <c r="L146" i="16"/>
  <c r="L148" i="16"/>
  <c r="L139" i="16"/>
  <c r="L118" i="16"/>
  <c r="L119" i="16" s="1"/>
  <c r="L82" i="16"/>
  <c r="L83" i="16" s="1"/>
  <c r="L206" i="16"/>
  <c r="L210" i="16" s="1"/>
  <c r="L217" i="16" s="1"/>
  <c r="L206" i="17"/>
  <c r="L210" i="17" s="1"/>
  <c r="L217" i="17" s="1"/>
  <c r="L15" i="17"/>
  <c r="L22" i="17" s="1"/>
  <c r="L24" i="17" s="1"/>
  <c r="L25" i="17" s="1"/>
  <c r="L256" i="16"/>
  <c r="L258" i="16" s="1"/>
  <c r="L242" i="17"/>
  <c r="L223" i="16"/>
  <c r="L230" i="16" s="1"/>
  <c r="L193" i="16"/>
  <c r="L139" i="17"/>
  <c r="L147" i="16"/>
  <c r="L236" i="17"/>
  <c r="L223" i="17"/>
  <c r="L193" i="17"/>
  <c r="L129" i="17"/>
  <c r="L146" i="17"/>
  <c r="L147" i="17"/>
  <c r="L92" i="16"/>
  <c r="L94" i="16" s="1"/>
  <c r="L95" i="16" s="1"/>
  <c r="L70" i="16"/>
  <c r="L71" i="16" s="1"/>
  <c r="L255" i="16"/>
  <c r="L55" i="16"/>
  <c r="L55" i="17"/>
  <c r="L58" i="17" s="1"/>
  <c r="L47" i="17"/>
  <c r="L238" i="16"/>
  <c r="L242" i="16" s="1"/>
  <c r="L232" i="16"/>
  <c r="L236" i="16" s="1"/>
  <c r="L129" i="16"/>
  <c r="L46" i="16"/>
  <c r="L11" i="16"/>
  <c r="L15" i="16" s="1"/>
  <c r="L22" i="16" s="1"/>
  <c r="L259" i="16" l="1"/>
  <c r="L149" i="16"/>
  <c r="L250" i="16"/>
  <c r="L60" i="17"/>
  <c r="L251" i="16"/>
  <c r="L251" i="17"/>
  <c r="L230" i="17"/>
  <c r="L243" i="17" s="1"/>
  <c r="L249" i="17" s="1"/>
  <c r="L250" i="17"/>
  <c r="L149" i="17"/>
  <c r="L59" i="17"/>
  <c r="L243" i="16"/>
  <c r="L47" i="16"/>
  <c r="L58" i="16"/>
  <c r="L60" i="16" s="1"/>
  <c r="L24" i="16"/>
  <c r="L25" i="16" s="1"/>
  <c r="L249" i="16" l="1"/>
  <c r="L59" i="16"/>
  <c r="M61" i="17"/>
  <c r="L122" i="15"/>
  <c r="L121" i="15"/>
  <c r="H153" i="15"/>
  <c r="J223" i="1" l="1"/>
  <c r="J30" i="1"/>
  <c r="J52" i="18" l="1"/>
  <c r="I52" i="18"/>
  <c r="H52" i="18"/>
  <c r="G52" i="18"/>
  <c r="F52" i="18"/>
  <c r="E52" i="18"/>
  <c r="D52" i="18"/>
  <c r="F196" i="12"/>
  <c r="G196" i="12"/>
  <c r="H196" i="12"/>
  <c r="I196" i="12"/>
  <c r="J196" i="12"/>
  <c r="K196" i="12"/>
  <c r="M52" i="18" l="1"/>
  <c r="E196" i="12"/>
  <c r="D196" i="12"/>
  <c r="J262" i="18"/>
  <c r="I262" i="18"/>
  <c r="H262" i="18"/>
  <c r="G262" i="18"/>
  <c r="F262" i="18"/>
  <c r="E262" i="18"/>
  <c r="D262" i="18"/>
  <c r="J261" i="18"/>
  <c r="I261" i="18"/>
  <c r="H261" i="18"/>
  <c r="G261" i="18"/>
  <c r="F261" i="18"/>
  <c r="E261" i="18"/>
  <c r="D261" i="18"/>
  <c r="J257" i="18"/>
  <c r="I257" i="18"/>
  <c r="H257" i="18"/>
  <c r="G257" i="18"/>
  <c r="F257" i="18"/>
  <c r="E257" i="18"/>
  <c r="D257" i="18"/>
  <c r="J254" i="18"/>
  <c r="I254" i="18"/>
  <c r="H254" i="18"/>
  <c r="G254" i="18"/>
  <c r="F254" i="18"/>
  <c r="E254" i="18"/>
  <c r="D254" i="18"/>
  <c r="I253" i="18"/>
  <c r="H253" i="18"/>
  <c r="G253" i="18"/>
  <c r="F253" i="18"/>
  <c r="E253" i="18"/>
  <c r="J246" i="18"/>
  <c r="I246" i="18"/>
  <c r="H246" i="18"/>
  <c r="G246" i="18"/>
  <c r="F246" i="18"/>
  <c r="E246" i="18"/>
  <c r="D246" i="18"/>
  <c r="K247" i="18"/>
  <c r="J245" i="18"/>
  <c r="J247" i="18" s="1"/>
  <c r="I245" i="18"/>
  <c r="H245" i="18"/>
  <c r="G245" i="18"/>
  <c r="G247" i="18" s="1"/>
  <c r="F245" i="18"/>
  <c r="E245" i="18"/>
  <c r="E247" i="18" s="1"/>
  <c r="J241" i="18"/>
  <c r="I241" i="18"/>
  <c r="H241" i="18"/>
  <c r="G241" i="18"/>
  <c r="F241" i="18"/>
  <c r="E241" i="18"/>
  <c r="D241" i="18"/>
  <c r="J240" i="18"/>
  <c r="I240" i="18"/>
  <c r="H240" i="18"/>
  <c r="G240" i="18"/>
  <c r="F240" i="18"/>
  <c r="E240" i="18"/>
  <c r="D240" i="18"/>
  <c r="J239" i="18"/>
  <c r="I239" i="18"/>
  <c r="H239" i="18"/>
  <c r="G239" i="18"/>
  <c r="F239" i="18"/>
  <c r="E239" i="18"/>
  <c r="D239" i="18"/>
  <c r="K242" i="18"/>
  <c r="H238" i="18"/>
  <c r="G238" i="18"/>
  <c r="F238" i="18"/>
  <c r="E238" i="18"/>
  <c r="J235" i="18"/>
  <c r="I235" i="18"/>
  <c r="H235" i="18"/>
  <c r="G235" i="18"/>
  <c r="F235" i="18"/>
  <c r="E235" i="18"/>
  <c r="D235" i="18"/>
  <c r="J234" i="18"/>
  <c r="I234" i="18"/>
  <c r="H234" i="18"/>
  <c r="G234" i="18"/>
  <c r="F234" i="18"/>
  <c r="E234" i="18"/>
  <c r="D234" i="18"/>
  <c r="J233" i="18"/>
  <c r="I233" i="18"/>
  <c r="H233" i="18"/>
  <c r="G233" i="18"/>
  <c r="F233" i="18"/>
  <c r="E233" i="18"/>
  <c r="D233" i="18"/>
  <c r="K236" i="18"/>
  <c r="H232" i="18"/>
  <c r="G232" i="18"/>
  <c r="F232" i="18"/>
  <c r="E232" i="18"/>
  <c r="J228" i="18"/>
  <c r="I228" i="18"/>
  <c r="H228" i="18"/>
  <c r="G228" i="18"/>
  <c r="F228" i="18"/>
  <c r="E228" i="18"/>
  <c r="D228" i="18"/>
  <c r="J227" i="18"/>
  <c r="I227" i="18"/>
  <c r="H227" i="18"/>
  <c r="G227" i="18"/>
  <c r="F227" i="18"/>
  <c r="E227" i="18"/>
  <c r="D227" i="18"/>
  <c r="J226" i="18"/>
  <c r="I226" i="18"/>
  <c r="H226" i="18"/>
  <c r="G226" i="18"/>
  <c r="F226" i="18"/>
  <c r="E226" i="18"/>
  <c r="D226" i="18"/>
  <c r="K229" i="18"/>
  <c r="J225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J221" i="18"/>
  <c r="I221" i="18"/>
  <c r="H221" i="18"/>
  <c r="G221" i="18"/>
  <c r="F221" i="18"/>
  <c r="E221" i="18"/>
  <c r="D221" i="18"/>
  <c r="J220" i="18"/>
  <c r="I220" i="18"/>
  <c r="H220" i="18"/>
  <c r="G220" i="18"/>
  <c r="F220" i="18"/>
  <c r="E220" i="18"/>
  <c r="H219" i="18"/>
  <c r="G219" i="18"/>
  <c r="F219" i="18"/>
  <c r="E219" i="18"/>
  <c r="J215" i="18"/>
  <c r="H215" i="18"/>
  <c r="G215" i="18"/>
  <c r="F215" i="18"/>
  <c r="E215" i="18"/>
  <c r="J214" i="18"/>
  <c r="I214" i="18"/>
  <c r="H214" i="18"/>
  <c r="G214" i="18"/>
  <c r="F214" i="18"/>
  <c r="E214" i="18"/>
  <c r="D214" i="18"/>
  <c r="J213" i="18"/>
  <c r="I213" i="18"/>
  <c r="H213" i="18"/>
  <c r="G213" i="18"/>
  <c r="F213" i="18"/>
  <c r="E213" i="18"/>
  <c r="D213" i="18"/>
  <c r="H212" i="18"/>
  <c r="G212" i="18"/>
  <c r="F212" i="18"/>
  <c r="E212" i="18"/>
  <c r="J209" i="18"/>
  <c r="I209" i="18"/>
  <c r="H209" i="18"/>
  <c r="G209" i="18"/>
  <c r="F209" i="18"/>
  <c r="E209" i="18"/>
  <c r="D209" i="18"/>
  <c r="J208" i="18"/>
  <c r="I208" i="18"/>
  <c r="H208" i="18"/>
  <c r="G208" i="18"/>
  <c r="F208" i="18"/>
  <c r="E208" i="18"/>
  <c r="D208" i="18"/>
  <c r="J207" i="18"/>
  <c r="I207" i="18"/>
  <c r="H207" i="18"/>
  <c r="G207" i="18"/>
  <c r="F207" i="18"/>
  <c r="E207" i="18"/>
  <c r="D207" i="18"/>
  <c r="H206" i="18"/>
  <c r="G206" i="18"/>
  <c r="F206" i="18"/>
  <c r="E206" i="18"/>
  <c r="J203" i="18"/>
  <c r="I203" i="18"/>
  <c r="H203" i="18"/>
  <c r="G203" i="18"/>
  <c r="F203" i="18"/>
  <c r="E203" i="18"/>
  <c r="D203" i="18"/>
  <c r="J202" i="18"/>
  <c r="I202" i="18"/>
  <c r="H202" i="18"/>
  <c r="G202" i="18"/>
  <c r="F202" i="18"/>
  <c r="E202" i="18"/>
  <c r="D202" i="18"/>
  <c r="J201" i="18"/>
  <c r="I201" i="18"/>
  <c r="H201" i="18"/>
  <c r="G201" i="18"/>
  <c r="F201" i="18"/>
  <c r="E201" i="18"/>
  <c r="D201" i="18"/>
  <c r="J200" i="18"/>
  <c r="I200" i="18"/>
  <c r="H200" i="18"/>
  <c r="G200" i="18"/>
  <c r="F200" i="18"/>
  <c r="E200" i="18"/>
  <c r="D200" i="18"/>
  <c r="K204" i="18"/>
  <c r="J199" i="18"/>
  <c r="I199" i="18"/>
  <c r="H199" i="18"/>
  <c r="G199" i="18"/>
  <c r="F199" i="18"/>
  <c r="E199" i="18"/>
  <c r="D199" i="18"/>
  <c r="J197" i="18"/>
  <c r="I197" i="18"/>
  <c r="H197" i="18"/>
  <c r="G197" i="18"/>
  <c r="F197" i="18"/>
  <c r="E197" i="18"/>
  <c r="D197" i="18"/>
  <c r="J196" i="18"/>
  <c r="I196" i="18"/>
  <c r="H196" i="18"/>
  <c r="G196" i="18"/>
  <c r="F196" i="18"/>
  <c r="E196" i="18"/>
  <c r="D196" i="18"/>
  <c r="J195" i="18"/>
  <c r="I195" i="18"/>
  <c r="H195" i="18"/>
  <c r="G195" i="18"/>
  <c r="F195" i="18"/>
  <c r="E195" i="18"/>
  <c r="D195" i="18"/>
  <c r="J194" i="18"/>
  <c r="I194" i="18"/>
  <c r="H194" i="18"/>
  <c r="G194" i="18"/>
  <c r="F194" i="18"/>
  <c r="E194" i="18"/>
  <c r="D194" i="18"/>
  <c r="J192" i="18"/>
  <c r="I192" i="18"/>
  <c r="H192" i="18"/>
  <c r="G192" i="18"/>
  <c r="F192" i="18"/>
  <c r="E192" i="18"/>
  <c r="D192" i="18"/>
  <c r="J191" i="18"/>
  <c r="I191" i="18"/>
  <c r="H191" i="18"/>
  <c r="G191" i="18"/>
  <c r="F191" i="18"/>
  <c r="E191" i="18"/>
  <c r="D191" i="18"/>
  <c r="J190" i="18"/>
  <c r="I190" i="18"/>
  <c r="H190" i="18"/>
  <c r="G190" i="18"/>
  <c r="F190" i="18"/>
  <c r="E190" i="18"/>
  <c r="D190" i="18"/>
  <c r="J189" i="18"/>
  <c r="I189" i="18"/>
  <c r="H189" i="18"/>
  <c r="G189" i="18"/>
  <c r="F189" i="18"/>
  <c r="E189" i="18"/>
  <c r="D189" i="18"/>
  <c r="J187" i="18"/>
  <c r="I187" i="18"/>
  <c r="H187" i="18"/>
  <c r="G187" i="18"/>
  <c r="F187" i="18"/>
  <c r="E187" i="18"/>
  <c r="D187" i="18"/>
  <c r="J186" i="18"/>
  <c r="I186" i="18"/>
  <c r="H186" i="18"/>
  <c r="G186" i="18"/>
  <c r="F186" i="18"/>
  <c r="E186" i="18"/>
  <c r="D186" i="18"/>
  <c r="J185" i="18"/>
  <c r="I185" i="18"/>
  <c r="H185" i="18"/>
  <c r="G185" i="18"/>
  <c r="F185" i="18"/>
  <c r="E185" i="18"/>
  <c r="D185" i="18"/>
  <c r="J184" i="18"/>
  <c r="I184" i="18"/>
  <c r="H184" i="18"/>
  <c r="G184" i="18"/>
  <c r="F184" i="18"/>
  <c r="E184" i="18"/>
  <c r="D184" i="18"/>
  <c r="J182" i="18"/>
  <c r="I182" i="18"/>
  <c r="H182" i="18"/>
  <c r="G182" i="18"/>
  <c r="F182" i="18"/>
  <c r="E182" i="18"/>
  <c r="D182" i="18"/>
  <c r="J181" i="18"/>
  <c r="I181" i="18"/>
  <c r="H181" i="18"/>
  <c r="G181" i="18"/>
  <c r="F181" i="18"/>
  <c r="E181" i="18"/>
  <c r="D181" i="18"/>
  <c r="J180" i="18"/>
  <c r="I180" i="18"/>
  <c r="H180" i="18"/>
  <c r="G180" i="18"/>
  <c r="F180" i="18"/>
  <c r="E180" i="18"/>
  <c r="D180" i="18"/>
  <c r="J179" i="18"/>
  <c r="I179" i="18"/>
  <c r="H179" i="18"/>
  <c r="G179" i="18"/>
  <c r="F179" i="18"/>
  <c r="E179" i="18"/>
  <c r="D179" i="18"/>
  <c r="J178" i="18"/>
  <c r="I178" i="18"/>
  <c r="H178" i="18"/>
  <c r="G178" i="18"/>
  <c r="F178" i="18"/>
  <c r="E178" i="18"/>
  <c r="D178" i="18"/>
  <c r="J177" i="18"/>
  <c r="I177" i="18"/>
  <c r="H177" i="18"/>
  <c r="G177" i="18"/>
  <c r="F177" i="18"/>
  <c r="E177" i="18"/>
  <c r="D177" i="18"/>
  <c r="J175" i="18"/>
  <c r="I175" i="18"/>
  <c r="H175" i="18"/>
  <c r="G175" i="18"/>
  <c r="F175" i="18"/>
  <c r="E175" i="18"/>
  <c r="D175" i="18"/>
  <c r="J174" i="18"/>
  <c r="I174" i="18"/>
  <c r="H174" i="18"/>
  <c r="G174" i="18"/>
  <c r="F174" i="18"/>
  <c r="E174" i="18"/>
  <c r="D174" i="18"/>
  <c r="J173" i="18"/>
  <c r="I173" i="18"/>
  <c r="H173" i="18"/>
  <c r="G173" i="18"/>
  <c r="F173" i="18"/>
  <c r="E173" i="18"/>
  <c r="D173" i="18"/>
  <c r="J172" i="18"/>
  <c r="I172" i="18"/>
  <c r="H172" i="18"/>
  <c r="G172" i="18"/>
  <c r="F172" i="18"/>
  <c r="E172" i="18"/>
  <c r="D172" i="18"/>
  <c r="J171" i="18"/>
  <c r="I171" i="18"/>
  <c r="H171" i="18"/>
  <c r="G171" i="18"/>
  <c r="F171" i="18"/>
  <c r="E171" i="18"/>
  <c r="D171" i="18"/>
  <c r="J170" i="18"/>
  <c r="I170" i="18"/>
  <c r="H170" i="18"/>
  <c r="G170" i="18"/>
  <c r="F170" i="18"/>
  <c r="E170" i="18"/>
  <c r="D170" i="18"/>
  <c r="J169" i="18"/>
  <c r="I169" i="18"/>
  <c r="H169" i="18"/>
  <c r="G169" i="18"/>
  <c r="F169" i="18"/>
  <c r="E169" i="18"/>
  <c r="D169" i="18"/>
  <c r="J168" i="18"/>
  <c r="I168" i="18"/>
  <c r="H168" i="18"/>
  <c r="G168" i="18"/>
  <c r="F168" i="18"/>
  <c r="E168" i="18"/>
  <c r="D168" i="18"/>
  <c r="J167" i="18"/>
  <c r="I167" i="18"/>
  <c r="H167" i="18"/>
  <c r="G167" i="18"/>
  <c r="F167" i="18"/>
  <c r="E167" i="18"/>
  <c r="D167" i="18"/>
  <c r="J165" i="18"/>
  <c r="I165" i="18"/>
  <c r="H165" i="18"/>
  <c r="G165" i="18"/>
  <c r="F165" i="18"/>
  <c r="E165" i="18"/>
  <c r="D165" i="18"/>
  <c r="J164" i="18"/>
  <c r="I164" i="18"/>
  <c r="H164" i="18"/>
  <c r="G164" i="18"/>
  <c r="F164" i="18"/>
  <c r="E164" i="18"/>
  <c r="D164" i="18"/>
  <c r="J163" i="18"/>
  <c r="I163" i="18"/>
  <c r="H163" i="18"/>
  <c r="G163" i="18"/>
  <c r="F163" i="18"/>
  <c r="E163" i="18"/>
  <c r="D163" i="18"/>
  <c r="J162" i="18"/>
  <c r="I162" i="18"/>
  <c r="H162" i="18"/>
  <c r="G162" i="18"/>
  <c r="F162" i="18"/>
  <c r="E162" i="18"/>
  <c r="D162" i="18"/>
  <c r="J161" i="18"/>
  <c r="I161" i="18"/>
  <c r="H161" i="18"/>
  <c r="G161" i="18"/>
  <c r="F161" i="18"/>
  <c r="E161" i="18"/>
  <c r="D161" i="18"/>
  <c r="J160" i="18"/>
  <c r="I160" i="18"/>
  <c r="H160" i="18"/>
  <c r="G160" i="18"/>
  <c r="F160" i="18"/>
  <c r="E160" i="18"/>
  <c r="D160" i="18"/>
  <c r="J159" i="18"/>
  <c r="I159" i="18"/>
  <c r="H159" i="18"/>
  <c r="G159" i="18"/>
  <c r="F159" i="18"/>
  <c r="E159" i="18"/>
  <c r="D159" i="18"/>
  <c r="J158" i="18"/>
  <c r="I158" i="18"/>
  <c r="H158" i="18"/>
  <c r="G158" i="18"/>
  <c r="F158" i="18"/>
  <c r="E158" i="18"/>
  <c r="D158" i="18"/>
  <c r="J157" i="18"/>
  <c r="I157" i="18"/>
  <c r="H157" i="18"/>
  <c r="G157" i="18"/>
  <c r="F157" i="18"/>
  <c r="E157" i="18"/>
  <c r="D157" i="18"/>
  <c r="J156" i="18"/>
  <c r="I156" i="18"/>
  <c r="H156" i="18"/>
  <c r="G156" i="18"/>
  <c r="F156" i="18"/>
  <c r="E156" i="18"/>
  <c r="D156" i="18"/>
  <c r="J155" i="18"/>
  <c r="I155" i="18"/>
  <c r="H155" i="18"/>
  <c r="G155" i="18"/>
  <c r="F155" i="18"/>
  <c r="E155" i="18"/>
  <c r="D155" i="18"/>
  <c r="J154" i="18"/>
  <c r="I154" i="18"/>
  <c r="H154" i="18"/>
  <c r="G154" i="18"/>
  <c r="F154" i="18"/>
  <c r="E154" i="18"/>
  <c r="D154" i="18"/>
  <c r="J153" i="18"/>
  <c r="I153" i="18"/>
  <c r="H153" i="18"/>
  <c r="G153" i="18"/>
  <c r="F153" i="18"/>
  <c r="E153" i="18"/>
  <c r="D153" i="18"/>
  <c r="J143" i="18"/>
  <c r="I143" i="18"/>
  <c r="H143" i="18"/>
  <c r="G143" i="18"/>
  <c r="F143" i="18"/>
  <c r="E143" i="18"/>
  <c r="D143" i="18"/>
  <c r="J142" i="18"/>
  <c r="I142" i="18"/>
  <c r="H142" i="18"/>
  <c r="G142" i="18"/>
  <c r="F142" i="18"/>
  <c r="E142" i="18"/>
  <c r="D142" i="18"/>
  <c r="J141" i="18"/>
  <c r="I141" i="18"/>
  <c r="H141" i="18"/>
  <c r="G141" i="18"/>
  <c r="F141" i="18"/>
  <c r="E141" i="18"/>
  <c r="D141" i="18"/>
  <c r="J140" i="18"/>
  <c r="I140" i="18"/>
  <c r="H140" i="18"/>
  <c r="G140" i="18"/>
  <c r="E140" i="18"/>
  <c r="D140" i="18"/>
  <c r="J138" i="18"/>
  <c r="I138" i="18"/>
  <c r="H138" i="18"/>
  <c r="G138" i="18"/>
  <c r="F138" i="18"/>
  <c r="E138" i="18"/>
  <c r="D138" i="18"/>
  <c r="J137" i="18"/>
  <c r="I137" i="18"/>
  <c r="H137" i="18"/>
  <c r="G137" i="18"/>
  <c r="F137" i="18"/>
  <c r="E137" i="18"/>
  <c r="D137" i="18"/>
  <c r="J136" i="18"/>
  <c r="I136" i="18"/>
  <c r="H136" i="18"/>
  <c r="G136" i="18"/>
  <c r="F136" i="18"/>
  <c r="E136" i="18"/>
  <c r="D136" i="18"/>
  <c r="J135" i="18"/>
  <c r="I135" i="18"/>
  <c r="H135" i="18"/>
  <c r="G135" i="18"/>
  <c r="F135" i="18"/>
  <c r="E135" i="18"/>
  <c r="D135" i="18"/>
  <c r="J133" i="18"/>
  <c r="I133" i="18"/>
  <c r="H133" i="18"/>
  <c r="G133" i="18"/>
  <c r="F133" i="18"/>
  <c r="E133" i="18"/>
  <c r="D133" i="18"/>
  <c r="J132" i="18"/>
  <c r="I132" i="18"/>
  <c r="H132" i="18"/>
  <c r="G132" i="18"/>
  <c r="F132" i="18"/>
  <c r="E132" i="18"/>
  <c r="D132" i="18"/>
  <c r="J131" i="18"/>
  <c r="I131" i="18"/>
  <c r="H131" i="18"/>
  <c r="G131" i="18"/>
  <c r="F131" i="18"/>
  <c r="E131" i="18"/>
  <c r="D131" i="18"/>
  <c r="J130" i="18"/>
  <c r="I130" i="18"/>
  <c r="H130" i="18"/>
  <c r="G130" i="18"/>
  <c r="F130" i="18"/>
  <c r="E130" i="18"/>
  <c r="D130" i="18"/>
  <c r="J128" i="18"/>
  <c r="I128" i="18"/>
  <c r="H128" i="18"/>
  <c r="G128" i="18"/>
  <c r="G148" i="18" s="1"/>
  <c r="F128" i="18"/>
  <c r="E128" i="18"/>
  <c r="D128" i="18"/>
  <c r="J127" i="18"/>
  <c r="I127" i="18"/>
  <c r="H127" i="18"/>
  <c r="G127" i="18"/>
  <c r="F127" i="18"/>
  <c r="E127" i="18"/>
  <c r="D127" i="18"/>
  <c r="J126" i="18"/>
  <c r="I126" i="18"/>
  <c r="H126" i="18"/>
  <c r="G126" i="18"/>
  <c r="F126" i="18"/>
  <c r="E126" i="18"/>
  <c r="D126" i="18"/>
  <c r="J125" i="18"/>
  <c r="I125" i="18"/>
  <c r="H125" i="18"/>
  <c r="G125" i="18"/>
  <c r="F125" i="18"/>
  <c r="E125" i="18"/>
  <c r="D125" i="18"/>
  <c r="J122" i="18"/>
  <c r="H122" i="18"/>
  <c r="G122" i="18"/>
  <c r="F122" i="18"/>
  <c r="E122" i="18"/>
  <c r="J121" i="18"/>
  <c r="I121" i="18"/>
  <c r="H121" i="18"/>
  <c r="G121" i="18"/>
  <c r="F121" i="18"/>
  <c r="E121" i="18"/>
  <c r="D121" i="18"/>
  <c r="J116" i="18"/>
  <c r="I116" i="18"/>
  <c r="H116" i="18"/>
  <c r="G116" i="18"/>
  <c r="F116" i="18"/>
  <c r="E116" i="18"/>
  <c r="D116" i="18"/>
  <c r="J115" i="18"/>
  <c r="I115" i="18"/>
  <c r="H115" i="18"/>
  <c r="G115" i="18"/>
  <c r="F115" i="18"/>
  <c r="E115" i="18"/>
  <c r="D115" i="18"/>
  <c r="J114" i="18"/>
  <c r="I114" i="18"/>
  <c r="H114" i="18"/>
  <c r="G114" i="18"/>
  <c r="F114" i="18"/>
  <c r="E114" i="18"/>
  <c r="D114" i="18"/>
  <c r="J113" i="18"/>
  <c r="I113" i="18"/>
  <c r="H113" i="18"/>
  <c r="G113" i="18"/>
  <c r="F113" i="18"/>
  <c r="E113" i="18"/>
  <c r="D113" i="18"/>
  <c r="J110" i="18"/>
  <c r="I110" i="18"/>
  <c r="H110" i="18"/>
  <c r="G110" i="18"/>
  <c r="F110" i="18"/>
  <c r="E110" i="18"/>
  <c r="D110" i="18"/>
  <c r="J109" i="18"/>
  <c r="I109" i="18"/>
  <c r="H109" i="18"/>
  <c r="G109" i="18"/>
  <c r="F109" i="18"/>
  <c r="E109" i="18"/>
  <c r="D109" i="18"/>
  <c r="J108" i="18"/>
  <c r="I108" i="18"/>
  <c r="H108" i="18"/>
  <c r="G108" i="18"/>
  <c r="F108" i="18"/>
  <c r="E108" i="18"/>
  <c r="D108" i="18"/>
  <c r="K111" i="18"/>
  <c r="J107" i="18"/>
  <c r="I107" i="18"/>
  <c r="H107" i="18"/>
  <c r="G107" i="18"/>
  <c r="F107" i="18"/>
  <c r="E107" i="18"/>
  <c r="D107" i="18"/>
  <c r="J104" i="18"/>
  <c r="I104" i="18"/>
  <c r="H104" i="18"/>
  <c r="G104" i="18"/>
  <c r="F104" i="18"/>
  <c r="E104" i="18"/>
  <c r="D104" i="18"/>
  <c r="J103" i="18"/>
  <c r="I103" i="18"/>
  <c r="H103" i="18"/>
  <c r="G103" i="18"/>
  <c r="F103" i="18"/>
  <c r="E103" i="18"/>
  <c r="D103" i="18"/>
  <c r="J102" i="18"/>
  <c r="I102" i="18"/>
  <c r="H102" i="18"/>
  <c r="G102" i="18"/>
  <c r="F102" i="18"/>
  <c r="E102" i="18"/>
  <c r="D102" i="18"/>
  <c r="J101" i="18"/>
  <c r="I101" i="18"/>
  <c r="H101" i="18"/>
  <c r="G101" i="18"/>
  <c r="F101" i="18"/>
  <c r="E101" i="18"/>
  <c r="D101" i="18"/>
  <c r="J98" i="18"/>
  <c r="I98" i="18"/>
  <c r="H98" i="18"/>
  <c r="G98" i="18"/>
  <c r="F98" i="18"/>
  <c r="E98" i="18"/>
  <c r="D98" i="18"/>
  <c r="J87" i="18"/>
  <c r="I87" i="18"/>
  <c r="H87" i="18"/>
  <c r="G87" i="18"/>
  <c r="F87" i="18"/>
  <c r="E87" i="18"/>
  <c r="D87" i="18"/>
  <c r="J86" i="18"/>
  <c r="I86" i="18"/>
  <c r="H86" i="18"/>
  <c r="G86" i="18"/>
  <c r="F86" i="18"/>
  <c r="E86" i="18"/>
  <c r="D86" i="18"/>
  <c r="J85" i="18"/>
  <c r="I85" i="18"/>
  <c r="H85" i="18"/>
  <c r="G85" i="18"/>
  <c r="F85" i="18"/>
  <c r="E85" i="18"/>
  <c r="D85" i="18"/>
  <c r="J84" i="18"/>
  <c r="I84" i="18"/>
  <c r="H84" i="18"/>
  <c r="G84" i="18"/>
  <c r="F84" i="18"/>
  <c r="E84" i="18"/>
  <c r="D84" i="18"/>
  <c r="J81" i="18"/>
  <c r="I81" i="18"/>
  <c r="H81" i="18"/>
  <c r="G81" i="18"/>
  <c r="F81" i="18"/>
  <c r="E81" i="18"/>
  <c r="D81" i="18"/>
  <c r="J80" i="18"/>
  <c r="I80" i="18"/>
  <c r="H80" i="18"/>
  <c r="G80" i="18"/>
  <c r="F80" i="18"/>
  <c r="E80" i="18"/>
  <c r="D80" i="18"/>
  <c r="J79" i="18"/>
  <c r="I79" i="18"/>
  <c r="H79" i="18"/>
  <c r="G79" i="18"/>
  <c r="F79" i="18"/>
  <c r="E79" i="18"/>
  <c r="D79" i="18"/>
  <c r="J78" i="18"/>
  <c r="I78" i="18"/>
  <c r="H78" i="18"/>
  <c r="G78" i="18"/>
  <c r="F78" i="18"/>
  <c r="E78" i="18"/>
  <c r="D78" i="18"/>
  <c r="J75" i="18"/>
  <c r="I75" i="18"/>
  <c r="H75" i="18"/>
  <c r="G75" i="18"/>
  <c r="F75" i="18"/>
  <c r="E75" i="18"/>
  <c r="D75" i="18"/>
  <c r="K76" i="18"/>
  <c r="J74" i="18"/>
  <c r="J76" i="18" s="1"/>
  <c r="I74" i="18"/>
  <c r="H74" i="18"/>
  <c r="G74" i="18"/>
  <c r="G76" i="18" s="1"/>
  <c r="F74" i="18"/>
  <c r="E74" i="18"/>
  <c r="E76" i="18" s="1"/>
  <c r="D74" i="18"/>
  <c r="J73" i="18"/>
  <c r="I73" i="18"/>
  <c r="H73" i="18"/>
  <c r="G73" i="18"/>
  <c r="F73" i="18"/>
  <c r="E73" i="18"/>
  <c r="D73" i="18"/>
  <c r="J72" i="18"/>
  <c r="I72" i="18"/>
  <c r="H72" i="18"/>
  <c r="G72" i="18"/>
  <c r="F72" i="18"/>
  <c r="E72" i="18"/>
  <c r="D72" i="18"/>
  <c r="J69" i="18"/>
  <c r="I69" i="18"/>
  <c r="H69" i="18"/>
  <c r="G69" i="18"/>
  <c r="F69" i="18"/>
  <c r="E69" i="18"/>
  <c r="D69" i="18"/>
  <c r="K70" i="18"/>
  <c r="J68" i="18"/>
  <c r="I68" i="18"/>
  <c r="H68" i="18"/>
  <c r="G68" i="18"/>
  <c r="F68" i="18"/>
  <c r="E68" i="18"/>
  <c r="D68" i="18"/>
  <c r="J67" i="18"/>
  <c r="I67" i="18"/>
  <c r="H67" i="18"/>
  <c r="G67" i="18"/>
  <c r="F67" i="18"/>
  <c r="E67" i="18"/>
  <c r="D67" i="18"/>
  <c r="J66" i="18"/>
  <c r="I66" i="18"/>
  <c r="H66" i="18"/>
  <c r="G66" i="18"/>
  <c r="F66" i="18"/>
  <c r="E66" i="18"/>
  <c r="D66" i="18"/>
  <c r="J63" i="18"/>
  <c r="I63" i="18"/>
  <c r="H63" i="18"/>
  <c r="G63" i="18"/>
  <c r="F63" i="18"/>
  <c r="E63" i="18"/>
  <c r="D63" i="18"/>
  <c r="J61" i="18"/>
  <c r="I61" i="18"/>
  <c r="H61" i="18"/>
  <c r="G61" i="18"/>
  <c r="F61" i="18"/>
  <c r="E61" i="18"/>
  <c r="D61" i="18"/>
  <c r="H56" i="18"/>
  <c r="G56" i="18"/>
  <c r="F56" i="18"/>
  <c r="E56" i="18"/>
  <c r="D56" i="18"/>
  <c r="H55" i="18"/>
  <c r="G55" i="18"/>
  <c r="F55" i="18"/>
  <c r="E55" i="18"/>
  <c r="D55" i="18"/>
  <c r="J54" i="18"/>
  <c r="H54" i="18"/>
  <c r="G54" i="18"/>
  <c r="F54" i="18"/>
  <c r="E54" i="18"/>
  <c r="D54" i="18"/>
  <c r="J51" i="18"/>
  <c r="H51" i="18"/>
  <c r="G51" i="18"/>
  <c r="F51" i="18"/>
  <c r="E51" i="18"/>
  <c r="J50" i="18"/>
  <c r="H50" i="18"/>
  <c r="G50" i="18"/>
  <c r="F50" i="18"/>
  <c r="E50" i="18"/>
  <c r="D50" i="18"/>
  <c r="J49" i="18"/>
  <c r="I49" i="18"/>
  <c r="H49" i="18"/>
  <c r="G49" i="18"/>
  <c r="F49" i="18"/>
  <c r="E49" i="18"/>
  <c r="D49" i="18"/>
  <c r="H46" i="18"/>
  <c r="G46" i="18"/>
  <c r="F46" i="18"/>
  <c r="E46" i="18"/>
  <c r="J44" i="18"/>
  <c r="I44" i="18"/>
  <c r="H44" i="18"/>
  <c r="G44" i="18"/>
  <c r="F44" i="18"/>
  <c r="E44" i="18"/>
  <c r="D44" i="18"/>
  <c r="J39" i="18"/>
  <c r="I39" i="18"/>
  <c r="H39" i="18"/>
  <c r="G39" i="18"/>
  <c r="F39" i="18"/>
  <c r="E39" i="18"/>
  <c r="D39" i="18"/>
  <c r="J37" i="18"/>
  <c r="I37" i="18"/>
  <c r="H37" i="18"/>
  <c r="G37" i="18"/>
  <c r="F37" i="18"/>
  <c r="E37" i="18"/>
  <c r="D37" i="18"/>
  <c r="J35" i="18"/>
  <c r="I35" i="18"/>
  <c r="H35" i="18"/>
  <c r="G35" i="18"/>
  <c r="F35" i="18"/>
  <c r="E35" i="18"/>
  <c r="D35" i="18"/>
  <c r="J33" i="18"/>
  <c r="I33" i="18"/>
  <c r="H33" i="18"/>
  <c r="G33" i="18"/>
  <c r="F33" i="18"/>
  <c r="E33" i="18"/>
  <c r="D33" i="18"/>
  <c r="J31" i="18"/>
  <c r="I31" i="18"/>
  <c r="H31" i="18"/>
  <c r="G31" i="18"/>
  <c r="F31" i="18"/>
  <c r="E31" i="18"/>
  <c r="D31" i="18"/>
  <c r="J29" i="18"/>
  <c r="I29" i="18"/>
  <c r="H29" i="18"/>
  <c r="G29" i="18"/>
  <c r="F29" i="18"/>
  <c r="E29" i="18"/>
  <c r="D29" i="18"/>
  <c r="J20" i="18"/>
  <c r="H20" i="18"/>
  <c r="G20" i="18"/>
  <c r="F20" i="18"/>
  <c r="E20" i="18"/>
  <c r="J19" i="18"/>
  <c r="H19" i="18"/>
  <c r="G19" i="18"/>
  <c r="F19" i="18"/>
  <c r="E19" i="18"/>
  <c r="J18" i="18"/>
  <c r="I18" i="18"/>
  <c r="H18" i="18"/>
  <c r="G18" i="18"/>
  <c r="F18" i="18"/>
  <c r="E18" i="18"/>
  <c r="D18" i="18"/>
  <c r="J17" i="18"/>
  <c r="H17" i="18"/>
  <c r="G17" i="18"/>
  <c r="F17" i="18"/>
  <c r="E17" i="18"/>
  <c r="J14" i="18"/>
  <c r="I14" i="18"/>
  <c r="H14" i="18"/>
  <c r="G14" i="18"/>
  <c r="F14" i="18"/>
  <c r="E14" i="18"/>
  <c r="D14" i="18"/>
  <c r="J13" i="18"/>
  <c r="I13" i="18"/>
  <c r="H13" i="18"/>
  <c r="G13" i="18"/>
  <c r="F13" i="18"/>
  <c r="E13" i="18"/>
  <c r="D13" i="18"/>
  <c r="J12" i="18"/>
  <c r="I12" i="18"/>
  <c r="H12" i="18"/>
  <c r="G12" i="18"/>
  <c r="F12" i="18"/>
  <c r="E12" i="18"/>
  <c r="D12" i="18"/>
  <c r="K15" i="18"/>
  <c r="H11" i="18"/>
  <c r="G11" i="18"/>
  <c r="F11" i="18"/>
  <c r="E11" i="18"/>
  <c r="J9" i="18"/>
  <c r="I9" i="18"/>
  <c r="H9" i="18"/>
  <c r="G9" i="18"/>
  <c r="F9" i="18"/>
  <c r="E9" i="18"/>
  <c r="D9" i="18"/>
  <c r="K9" i="13"/>
  <c r="J139" i="18" l="1"/>
  <c r="G77" i="18"/>
  <c r="F148" i="18"/>
  <c r="F92" i="18"/>
  <c r="M228" i="18"/>
  <c r="M87" i="18"/>
  <c r="M110" i="18"/>
  <c r="M133" i="18"/>
  <c r="M168" i="18"/>
  <c r="M186" i="18"/>
  <c r="M177" i="18"/>
  <c r="D70" i="18"/>
  <c r="D71" i="18" s="1"/>
  <c r="E229" i="18"/>
  <c r="G216" i="18"/>
  <c r="E90" i="18"/>
  <c r="M73" i="18"/>
  <c r="M132" i="18"/>
  <c r="M175" i="18"/>
  <c r="M185" i="18"/>
  <c r="D204" i="18"/>
  <c r="H216" i="18"/>
  <c r="H229" i="18"/>
  <c r="M227" i="18"/>
  <c r="H134" i="18"/>
  <c r="F117" i="18"/>
  <c r="F139" i="18"/>
  <c r="M192" i="18"/>
  <c r="J229" i="18"/>
  <c r="G139" i="18"/>
  <c r="M173" i="18"/>
  <c r="M196" i="12"/>
  <c r="M182" i="18"/>
  <c r="F204" i="18"/>
  <c r="F229" i="18"/>
  <c r="M72" i="18"/>
  <c r="J77" i="18"/>
  <c r="M131" i="18"/>
  <c r="M174" i="18"/>
  <c r="M184" i="18"/>
  <c r="M226" i="18"/>
  <c r="J263" i="18"/>
  <c r="J147" i="18"/>
  <c r="J105" i="18"/>
  <c r="M164" i="18"/>
  <c r="J204" i="18"/>
  <c r="M161" i="18"/>
  <c r="M207" i="18"/>
  <c r="E32" i="18"/>
  <c r="M61" i="18"/>
  <c r="M78" i="18"/>
  <c r="M113" i="18"/>
  <c r="M125" i="18"/>
  <c r="M31" i="18"/>
  <c r="E134" i="18"/>
  <c r="M135" i="18"/>
  <c r="M171" i="18"/>
  <c r="M162" i="18"/>
  <c r="M39" i="18"/>
  <c r="M84" i="18"/>
  <c r="E41" i="18"/>
  <c r="E42" i="18" s="1"/>
  <c r="M37" i="18"/>
  <c r="M128" i="18"/>
  <c r="M138" i="18"/>
  <c r="M172" i="18"/>
  <c r="M181" i="18"/>
  <c r="M191" i="18"/>
  <c r="M66" i="18"/>
  <c r="E77" i="18"/>
  <c r="M137" i="18"/>
  <c r="M180" i="18"/>
  <c r="M190" i="18"/>
  <c r="M33" i="18"/>
  <c r="M136" i="18"/>
  <c r="M179" i="18"/>
  <c r="M189" i="18"/>
  <c r="M165" i="18"/>
  <c r="M169" i="18"/>
  <c r="M178" i="18"/>
  <c r="M187" i="18"/>
  <c r="M127" i="18"/>
  <c r="M126" i="18"/>
  <c r="M246" i="18"/>
  <c r="H117" i="18"/>
  <c r="M196" i="18"/>
  <c r="G117" i="18"/>
  <c r="G111" i="18"/>
  <c r="G105" i="18"/>
  <c r="M239" i="18"/>
  <c r="M233" i="18"/>
  <c r="M109" i="18"/>
  <c r="M108" i="18"/>
  <c r="M240" i="18"/>
  <c r="M208" i="18"/>
  <c r="M154" i="18"/>
  <c r="M121" i="18"/>
  <c r="M114" i="18"/>
  <c r="M104" i="18"/>
  <c r="M63" i="18"/>
  <c r="D117" i="18"/>
  <c r="M116" i="18"/>
  <c r="M115" i="18"/>
  <c r="M103" i="18"/>
  <c r="M102" i="18"/>
  <c r="M213" i="18"/>
  <c r="M214" i="18"/>
  <c r="H263" i="18"/>
  <c r="M203" i="18"/>
  <c r="M202" i="18"/>
  <c r="M85" i="18"/>
  <c r="M81" i="18"/>
  <c r="M82" i="18" s="1"/>
  <c r="M79" i="18"/>
  <c r="M49" i="18"/>
  <c r="M221" i="18"/>
  <c r="M209" i="18"/>
  <c r="M170" i="18"/>
  <c r="M241" i="18"/>
  <c r="M201" i="18"/>
  <c r="M200" i="18"/>
  <c r="M69" i="18"/>
  <c r="M153" i="18"/>
  <c r="M35" i="18"/>
  <c r="I263" i="18"/>
  <c r="I76" i="18"/>
  <c r="I77" i="18" s="1"/>
  <c r="M74" i="18"/>
  <c r="M76" i="18" s="1"/>
  <c r="I111" i="18"/>
  <c r="M107" i="18"/>
  <c r="M143" i="18"/>
  <c r="M160" i="18"/>
  <c r="I229" i="18"/>
  <c r="M225" i="18"/>
  <c r="I134" i="18"/>
  <c r="M130" i="18"/>
  <c r="M159" i="18"/>
  <c r="M98" i="18"/>
  <c r="M141" i="18"/>
  <c r="M18" i="18"/>
  <c r="I105" i="18"/>
  <c r="M101" i="18"/>
  <c r="M167" i="18"/>
  <c r="I204" i="18"/>
  <c r="H236" i="18"/>
  <c r="M194" i="18"/>
  <c r="M195" i="18"/>
  <c r="M12" i="18"/>
  <c r="G263" i="18"/>
  <c r="M197" i="18"/>
  <c r="M158" i="18"/>
  <c r="F242" i="18"/>
  <c r="M157" i="18"/>
  <c r="M156" i="18"/>
  <c r="M142" i="18"/>
  <c r="M29" i="18"/>
  <c r="M14" i="18"/>
  <c r="E263" i="18"/>
  <c r="M262" i="18"/>
  <c r="M257" i="18"/>
  <c r="M254" i="18"/>
  <c r="M235" i="18"/>
  <c r="M234" i="18"/>
  <c r="M222" i="18"/>
  <c r="E204" i="18"/>
  <c r="M199" i="18"/>
  <c r="M155" i="18"/>
  <c r="M163" i="18"/>
  <c r="E144" i="18"/>
  <c r="E70" i="18"/>
  <c r="E71" i="18" s="1"/>
  <c r="M68" i="18"/>
  <c r="M67" i="18"/>
  <c r="M44" i="18"/>
  <c r="M13" i="18"/>
  <c r="M9" i="18"/>
  <c r="D263" i="18"/>
  <c r="M261" i="18"/>
  <c r="E242" i="18"/>
  <c r="F15" i="18"/>
  <c r="F88" i="18"/>
  <c r="G210" i="18"/>
  <c r="E147" i="18"/>
  <c r="F82" i="18"/>
  <c r="F83" i="18" s="1"/>
  <c r="F236" i="18"/>
  <c r="I82" i="18"/>
  <c r="I83" i="18" s="1"/>
  <c r="I88" i="18"/>
  <c r="I89" i="18" s="1"/>
  <c r="J144" i="18"/>
  <c r="F223" i="18"/>
  <c r="J123" i="18"/>
  <c r="J32" i="18"/>
  <c r="I247" i="18"/>
  <c r="I30" i="18"/>
  <c r="I34" i="18"/>
  <c r="G123" i="18"/>
  <c r="G82" i="18"/>
  <c r="G83" i="18" s="1"/>
  <c r="G15" i="18"/>
  <c r="G91" i="18"/>
  <c r="G256" i="18" s="1"/>
  <c r="G258" i="18" s="1"/>
  <c r="G41" i="18"/>
  <c r="G58" i="18" s="1"/>
  <c r="G236" i="18"/>
  <c r="F123" i="18"/>
  <c r="F70" i="18"/>
  <c r="F71" i="18" s="1"/>
  <c r="F62" i="18"/>
  <c r="F32" i="18"/>
  <c r="F34" i="18"/>
  <c r="F47" i="18"/>
  <c r="E93" i="18"/>
  <c r="E30" i="18"/>
  <c r="E38" i="18"/>
  <c r="E40" i="18"/>
  <c r="E47" i="18"/>
  <c r="E45" i="18"/>
  <c r="K123" i="18"/>
  <c r="K144" i="18"/>
  <c r="K134" i="18"/>
  <c r="J21" i="18"/>
  <c r="I92" i="18"/>
  <c r="I139" i="18"/>
  <c r="H210" i="18"/>
  <c r="H223" i="18"/>
  <c r="H230" i="18" s="1"/>
  <c r="H242" i="18"/>
  <c r="H139" i="18"/>
  <c r="H90" i="18"/>
  <c r="G21" i="18"/>
  <c r="G223" i="18"/>
  <c r="G242" i="18"/>
  <c r="G134" i="18"/>
  <c r="G229" i="18"/>
  <c r="F38" i="18"/>
  <c r="F40" i="18"/>
  <c r="F210" i="18"/>
  <c r="F93" i="18"/>
  <c r="F21" i="18"/>
  <c r="F76" i="18"/>
  <c r="F77" i="18" s="1"/>
  <c r="F105" i="18"/>
  <c r="F111" i="18"/>
  <c r="F146" i="18"/>
  <c r="E21" i="18"/>
  <c r="E15" i="18"/>
  <c r="E105" i="18"/>
  <c r="E111" i="18"/>
  <c r="E139" i="18"/>
  <c r="E216" i="18"/>
  <c r="E34" i="18"/>
  <c r="E236" i="18"/>
  <c r="E210" i="18"/>
  <c r="E223" i="18"/>
  <c r="E230" i="18" s="1"/>
  <c r="D90" i="18"/>
  <c r="I45" i="18"/>
  <c r="I32" i="18"/>
  <c r="I62" i="18"/>
  <c r="I146" i="18"/>
  <c r="I148" i="18"/>
  <c r="I38" i="18"/>
  <c r="I91" i="18"/>
  <c r="I256" i="18" s="1"/>
  <c r="I258" i="18" s="1"/>
  <c r="I117" i="18"/>
  <c r="I40" i="18"/>
  <c r="I129" i="18"/>
  <c r="J88" i="18"/>
  <c r="J89" i="18" s="1"/>
  <c r="J38" i="18"/>
  <c r="J90" i="18"/>
  <c r="J41" i="18"/>
  <c r="J93" i="18"/>
  <c r="J111" i="18"/>
  <c r="J117" i="18"/>
  <c r="K34" i="18"/>
  <c r="D145" i="18"/>
  <c r="D88" i="18"/>
  <c r="D89" i="18" s="1"/>
  <c r="D148" i="18"/>
  <c r="D91" i="18"/>
  <c r="D32" i="18"/>
  <c r="D134" i="18"/>
  <c r="D229" i="18"/>
  <c r="D139" i="18"/>
  <c r="D38" i="18"/>
  <c r="D92" i="18"/>
  <c r="D40" i="18"/>
  <c r="K82" i="18"/>
  <c r="K83" i="18" s="1"/>
  <c r="K45" i="18"/>
  <c r="K193" i="18"/>
  <c r="K41" i="18"/>
  <c r="K42" i="18" s="1"/>
  <c r="K91" i="18"/>
  <c r="K256" i="18" s="1"/>
  <c r="K258" i="18" s="1"/>
  <c r="K146" i="18"/>
  <c r="K90" i="18"/>
  <c r="K32" i="18"/>
  <c r="K92" i="18"/>
  <c r="K62" i="18"/>
  <c r="K30" i="18"/>
  <c r="K40" i="18"/>
  <c r="K71" i="18"/>
  <c r="K117" i="18"/>
  <c r="K118" i="18" s="1"/>
  <c r="K263" i="18"/>
  <c r="K93" i="18"/>
  <c r="K94" i="18" s="1"/>
  <c r="H147" i="18"/>
  <c r="H34" i="18"/>
  <c r="K223" i="18"/>
  <c r="K230" i="18" s="1"/>
  <c r="K243" i="18" s="1"/>
  <c r="K216" i="18"/>
  <c r="K210" i="18"/>
  <c r="H247" i="18"/>
  <c r="H91" i="18"/>
  <c r="H256" i="18" s="1"/>
  <c r="H258" i="18" s="1"/>
  <c r="H105" i="18"/>
  <c r="H32" i="18"/>
  <c r="H21" i="18"/>
  <c r="H111" i="18"/>
  <c r="H118" i="18" s="1"/>
  <c r="H88" i="18"/>
  <c r="H89" i="18" s="1"/>
  <c r="G45" i="18"/>
  <c r="G30" i="18"/>
  <c r="F41" i="18"/>
  <c r="F30" i="18"/>
  <c r="E82" i="18"/>
  <c r="E83" i="18" s="1"/>
  <c r="H30" i="18"/>
  <c r="I90" i="18"/>
  <c r="H92" i="18"/>
  <c r="H70" i="18"/>
  <c r="H71" i="18" s="1"/>
  <c r="G145" i="18"/>
  <c r="G144" i="18"/>
  <c r="H38" i="18"/>
  <c r="H41" i="18"/>
  <c r="H144" i="18"/>
  <c r="H146" i="18"/>
  <c r="E146" i="18"/>
  <c r="I41" i="18"/>
  <c r="G62" i="18"/>
  <c r="J92" i="18"/>
  <c r="J70" i="18"/>
  <c r="J71" i="18" s="1"/>
  <c r="H82" i="18"/>
  <c r="H83" i="18" s="1"/>
  <c r="H45" i="18"/>
  <c r="E88" i="18"/>
  <c r="E89" i="18" s="1"/>
  <c r="D147" i="18"/>
  <c r="I145" i="18"/>
  <c r="F247" i="18"/>
  <c r="D62" i="18"/>
  <c r="D34" i="18"/>
  <c r="D45" i="18"/>
  <c r="F89" i="18"/>
  <c r="D129" i="18"/>
  <c r="H40" i="18"/>
  <c r="G38" i="18"/>
  <c r="F216" i="18"/>
  <c r="I93" i="18"/>
  <c r="I70" i="18"/>
  <c r="I71" i="18" s="1"/>
  <c r="G34" i="18"/>
  <c r="I144" i="18"/>
  <c r="G47" i="18"/>
  <c r="H62" i="18"/>
  <c r="K148" i="18"/>
  <c r="E145" i="18"/>
  <c r="E129" i="18"/>
  <c r="G204" i="18"/>
  <c r="D41" i="18"/>
  <c r="G32" i="18"/>
  <c r="J45" i="18"/>
  <c r="H76" i="18"/>
  <c r="H77" i="18" s="1"/>
  <c r="H93" i="18"/>
  <c r="F129" i="18"/>
  <c r="H193" i="18"/>
  <c r="D30" i="18"/>
  <c r="J40" i="18"/>
  <c r="H123" i="18"/>
  <c r="I193" i="18"/>
  <c r="J62" i="18"/>
  <c r="J193" i="18"/>
  <c r="H15" i="18"/>
  <c r="J30" i="18"/>
  <c r="J34" i="18"/>
  <c r="K38" i="18"/>
  <c r="H47" i="18"/>
  <c r="E92" i="18"/>
  <c r="K77" i="18"/>
  <c r="D105" i="18"/>
  <c r="K105" i="18"/>
  <c r="J145" i="18"/>
  <c r="J129" i="18"/>
  <c r="J146" i="18"/>
  <c r="I147" i="18"/>
  <c r="H148" i="18"/>
  <c r="F134" i="18"/>
  <c r="F91" i="18"/>
  <c r="F256" i="18" s="1"/>
  <c r="F258" i="18" s="1"/>
  <c r="D193" i="18"/>
  <c r="G90" i="18"/>
  <c r="J91" i="18"/>
  <c r="J256" i="18" s="1"/>
  <c r="J258" i="18" s="1"/>
  <c r="K145" i="18"/>
  <c r="G40" i="18"/>
  <c r="G70" i="18"/>
  <c r="G71" i="18" s="1"/>
  <c r="G92" i="18"/>
  <c r="G93" i="18"/>
  <c r="F90" i="18"/>
  <c r="E91" i="18"/>
  <c r="E256" i="18" s="1"/>
  <c r="E258" i="18" s="1"/>
  <c r="D76" i="18"/>
  <c r="D77" i="18" s="1"/>
  <c r="D82" i="18"/>
  <c r="D83" i="18" s="1"/>
  <c r="K88" i="18"/>
  <c r="K89" i="18" s="1"/>
  <c r="D146" i="18"/>
  <c r="K147" i="18"/>
  <c r="J148" i="18"/>
  <c r="G147" i="18"/>
  <c r="E193" i="18"/>
  <c r="F147" i="18"/>
  <c r="F193" i="18"/>
  <c r="D111" i="18"/>
  <c r="E117" i="18"/>
  <c r="E123" i="18"/>
  <c r="H145" i="18"/>
  <c r="H129" i="18"/>
  <c r="K139" i="18"/>
  <c r="G146" i="18"/>
  <c r="G129" i="18"/>
  <c r="E148" i="18"/>
  <c r="G193" i="18"/>
  <c r="F45" i="18"/>
  <c r="E62" i="18"/>
  <c r="D93" i="18"/>
  <c r="J82" i="18"/>
  <c r="J83" i="18" s="1"/>
  <c r="G88" i="18"/>
  <c r="G89" i="18" s="1"/>
  <c r="J134" i="18"/>
  <c r="H204" i="18"/>
  <c r="F263" i="18"/>
  <c r="K129" i="18"/>
  <c r="D144" i="18"/>
  <c r="I122" i="18"/>
  <c r="D245" i="18"/>
  <c r="D247" i="18" s="1"/>
  <c r="D122" i="18"/>
  <c r="D123" i="18" s="1"/>
  <c r="I62" i="1"/>
  <c r="D51" i="18"/>
  <c r="I30" i="1"/>
  <c r="D17" i="18"/>
  <c r="F118" i="18" l="1"/>
  <c r="G217" i="18"/>
  <c r="I118" i="18"/>
  <c r="I119" i="18" s="1"/>
  <c r="M34" i="18"/>
  <c r="I94" i="18"/>
  <c r="I95" i="18" s="1"/>
  <c r="I255" i="18" s="1"/>
  <c r="I259" i="18" s="1"/>
  <c r="D118" i="18"/>
  <c r="D119" i="18" s="1"/>
  <c r="M229" i="18"/>
  <c r="F230" i="18"/>
  <c r="F243" i="18" s="1"/>
  <c r="H217" i="18"/>
  <c r="G118" i="18"/>
  <c r="G119" i="18" s="1"/>
  <c r="M90" i="18"/>
  <c r="E58" i="18"/>
  <c r="E59" i="18" s="1"/>
  <c r="E118" i="18"/>
  <c r="E119" i="18" s="1"/>
  <c r="H119" i="18"/>
  <c r="H22" i="18"/>
  <c r="H24" i="18" s="1"/>
  <c r="H25" i="18" s="1"/>
  <c r="M245" i="18"/>
  <c r="M247" i="18" s="1"/>
  <c r="G251" i="18"/>
  <c r="F22" i="18"/>
  <c r="F24" i="18" s="1"/>
  <c r="F25" i="18" s="1"/>
  <c r="I123" i="18"/>
  <c r="M122" i="18"/>
  <c r="M123" i="18" s="1"/>
  <c r="H243" i="18"/>
  <c r="H251" i="18"/>
  <c r="H250" i="18"/>
  <c r="M204" i="18"/>
  <c r="G42" i="18"/>
  <c r="G59" i="18"/>
  <c r="F251" i="18"/>
  <c r="F94" i="18"/>
  <c r="F95" i="18" s="1"/>
  <c r="F255" i="18" s="1"/>
  <c r="F259" i="18" s="1"/>
  <c r="M93" i="18"/>
  <c r="M41" i="18"/>
  <c r="M42" i="18" s="1"/>
  <c r="M38" i="18"/>
  <c r="M32" i="18"/>
  <c r="M62" i="18"/>
  <c r="M45" i="18"/>
  <c r="M30" i="18"/>
  <c r="M40" i="18"/>
  <c r="E250" i="18"/>
  <c r="E251" i="18"/>
  <c r="E94" i="18"/>
  <c r="E95" i="18" s="1"/>
  <c r="E255" i="18" s="1"/>
  <c r="E259" i="18" s="1"/>
  <c r="M92" i="18"/>
  <c r="D256" i="18"/>
  <c r="M256" i="18" s="1"/>
  <c r="M258" i="18" s="1"/>
  <c r="M91" i="18"/>
  <c r="K251" i="18"/>
  <c r="E217" i="18"/>
  <c r="G22" i="18"/>
  <c r="G24" i="18" s="1"/>
  <c r="G25" i="18" s="1"/>
  <c r="G250" i="18"/>
  <c r="G94" i="18"/>
  <c r="G95" i="18" s="1"/>
  <c r="G255" i="18" s="1"/>
  <c r="G259" i="18" s="1"/>
  <c r="F217" i="18"/>
  <c r="F250" i="18"/>
  <c r="E22" i="18"/>
  <c r="E24" i="18" s="1"/>
  <c r="E25" i="18" s="1"/>
  <c r="M70" i="18"/>
  <c r="M71" i="18" s="1"/>
  <c r="J94" i="18"/>
  <c r="J95" i="18" s="1"/>
  <c r="J255" i="18" s="1"/>
  <c r="J259" i="18" s="1"/>
  <c r="G230" i="18"/>
  <c r="G243" i="18" s="1"/>
  <c r="G249" i="18" s="1"/>
  <c r="F119" i="18"/>
  <c r="E243" i="18"/>
  <c r="D149" i="18"/>
  <c r="J118" i="18"/>
  <c r="J119" i="18" s="1"/>
  <c r="J42" i="18"/>
  <c r="K95" i="18"/>
  <c r="K255" i="18" s="1"/>
  <c r="K259" i="18" s="1"/>
  <c r="M139" i="18"/>
  <c r="K217" i="18"/>
  <c r="M89" i="18"/>
  <c r="K250" i="18"/>
  <c r="M111" i="18"/>
  <c r="H94" i="18"/>
  <c r="H95" i="18" s="1"/>
  <c r="H255" i="18" s="1"/>
  <c r="H259" i="18" s="1"/>
  <c r="M83" i="18"/>
  <c r="M263" i="18"/>
  <c r="M134" i="18"/>
  <c r="I149" i="18"/>
  <c r="M146" i="18"/>
  <c r="J149" i="18"/>
  <c r="H149" i="18"/>
  <c r="D42" i="18"/>
  <c r="M147" i="18"/>
  <c r="F58" i="18"/>
  <c r="F42" i="18"/>
  <c r="M148" i="18"/>
  <c r="G149" i="18"/>
  <c r="D94" i="18"/>
  <c r="D95" i="18" s="1"/>
  <c r="D255" i="18" s="1"/>
  <c r="E149" i="18"/>
  <c r="I42" i="18"/>
  <c r="M129" i="18"/>
  <c r="M193" i="18"/>
  <c r="K119" i="18"/>
  <c r="K149" i="18"/>
  <c r="M77" i="18"/>
  <c r="M105" i="18"/>
  <c r="M117" i="18"/>
  <c r="H42" i="18"/>
  <c r="H58" i="18"/>
  <c r="E249" i="18" l="1"/>
  <c r="D258" i="18"/>
  <c r="G60" i="18"/>
  <c r="M255" i="18"/>
  <c r="M259" i="18" s="1"/>
  <c r="E60" i="18"/>
  <c r="M118" i="18"/>
  <c r="M119" i="18" s="1"/>
  <c r="M94" i="18"/>
  <c r="M95" i="18" s="1"/>
  <c r="F249" i="18"/>
  <c r="F59" i="18"/>
  <c r="F60" i="18"/>
  <c r="H249" i="18"/>
  <c r="H59" i="18"/>
  <c r="H60" i="18"/>
  <c r="D259" i="18"/>
  <c r="H223" i="1" l="1"/>
  <c r="D212" i="18"/>
  <c r="H204" i="1"/>
  <c r="J56" i="18" l="1"/>
  <c r="I54" i="18" l="1"/>
  <c r="M54" i="18" s="1"/>
  <c r="I55" i="18"/>
  <c r="I56" i="18"/>
  <c r="M56" i="18" s="1"/>
  <c r="J55" i="18"/>
  <c r="K21" i="18"/>
  <c r="K22" i="18" s="1"/>
  <c r="K24" i="18" s="1"/>
  <c r="M55" i="18" l="1"/>
  <c r="K25" i="18"/>
  <c r="G223" i="1"/>
  <c r="G204" i="1"/>
  <c r="G45" i="1"/>
  <c r="G34" i="1"/>
  <c r="G32" i="1"/>
  <c r="G38" i="1"/>
  <c r="G40" i="1"/>
  <c r="E39" i="11"/>
  <c r="F39" i="11"/>
  <c r="G39" i="11"/>
  <c r="H39" i="11"/>
  <c r="I39" i="11"/>
  <c r="J39" i="11"/>
  <c r="K39" i="11"/>
  <c r="L39" i="11"/>
  <c r="E37" i="11"/>
  <c r="F37" i="11"/>
  <c r="G37" i="11"/>
  <c r="H37" i="11"/>
  <c r="I37" i="11"/>
  <c r="J37" i="11"/>
  <c r="K37" i="11"/>
  <c r="L37" i="11"/>
  <c r="E35" i="11"/>
  <c r="F35" i="11"/>
  <c r="G35" i="11"/>
  <c r="H35" i="11"/>
  <c r="I35" i="11"/>
  <c r="J35" i="11"/>
  <c r="K35" i="11"/>
  <c r="L35" i="11"/>
  <c r="E33" i="11"/>
  <c r="F33" i="11"/>
  <c r="G33" i="11"/>
  <c r="H33" i="11"/>
  <c r="I33" i="11"/>
  <c r="J33" i="11"/>
  <c r="K33" i="11"/>
  <c r="L33" i="11"/>
  <c r="E31" i="11"/>
  <c r="F31" i="11"/>
  <c r="G31" i="11"/>
  <c r="H31" i="11"/>
  <c r="I31" i="11"/>
  <c r="J31" i="11"/>
  <c r="K31" i="11"/>
  <c r="L31" i="11"/>
  <c r="D39" i="11"/>
  <c r="D37" i="11"/>
  <c r="D35" i="11"/>
  <c r="D33" i="11"/>
  <c r="D31" i="11"/>
  <c r="J253" i="18"/>
  <c r="J238" i="18"/>
  <c r="J242" i="18" s="1"/>
  <c r="J232" i="18"/>
  <c r="J236" i="18" s="1"/>
  <c r="J212" i="18"/>
  <c r="J206" i="18"/>
  <c r="J210" i="18" s="1"/>
  <c r="J11" i="18"/>
  <c r="J15" i="18" s="1"/>
  <c r="J22" i="18" s="1"/>
  <c r="I238" i="18"/>
  <c r="I242" i="18" s="1"/>
  <c r="I219" i="18"/>
  <c r="I223" i="18" s="1"/>
  <c r="I230" i="18" s="1"/>
  <c r="I215" i="18"/>
  <c r="I206" i="18"/>
  <c r="I210" i="18" s="1"/>
  <c r="I20" i="18"/>
  <c r="I17" i="18"/>
  <c r="M17" i="18" s="1"/>
  <c r="I11" i="18"/>
  <c r="I15" i="18" s="1"/>
  <c r="I50" i="18" l="1"/>
  <c r="M50" i="18" s="1"/>
  <c r="I51" i="18"/>
  <c r="M51" i="18" s="1"/>
  <c r="I19" i="18"/>
  <c r="I250" i="18"/>
  <c r="I251" i="18"/>
  <c r="I212" i="18"/>
  <c r="I232" i="18"/>
  <c r="I236" i="18" s="1"/>
  <c r="I243" i="18" s="1"/>
  <c r="J219" i="18"/>
  <c r="J223" i="18" s="1"/>
  <c r="J230" i="18" s="1"/>
  <c r="J243" i="18" s="1"/>
  <c r="J216" i="18"/>
  <c r="J217" i="18" s="1"/>
  <c r="J5" i="18"/>
  <c r="J24" i="18"/>
  <c r="J25" i="18" s="1"/>
  <c r="P9" i="11"/>
  <c r="P175" i="11"/>
  <c r="N144" i="11"/>
  <c r="H30" i="11"/>
  <c r="N30" i="11"/>
  <c r="I30" i="11"/>
  <c r="M45" i="11"/>
  <c r="E45" i="11"/>
  <c r="M144" i="11"/>
  <c r="L45" i="11"/>
  <c r="K45" i="11"/>
  <c r="N45" i="11"/>
  <c r="J45" i="11"/>
  <c r="F30" i="11"/>
  <c r="F45" i="11"/>
  <c r="K30" i="11"/>
  <c r="H45" i="11"/>
  <c r="J30" i="11"/>
  <c r="O45" i="11"/>
  <c r="G45" i="11"/>
  <c r="O30" i="11"/>
  <c r="G30" i="11"/>
  <c r="L144" i="11"/>
  <c r="O144" i="11"/>
  <c r="M30" i="11"/>
  <c r="E30" i="11"/>
  <c r="L30" i="11"/>
  <c r="I45" i="11"/>
  <c r="I21" i="18" l="1"/>
  <c r="I22" i="18" s="1"/>
  <c r="I24" i="18" s="1"/>
  <c r="I25" i="18" s="1"/>
  <c r="I216" i="18"/>
  <c r="I217" i="18" s="1"/>
  <c r="M212" i="18"/>
  <c r="J251" i="18"/>
  <c r="J250" i="18"/>
  <c r="D258" i="1" l="1"/>
  <c r="F204" i="1"/>
  <c r="E204" i="1"/>
  <c r="D204" i="1"/>
  <c r="E135" i="1"/>
  <c r="E130" i="1"/>
  <c r="D89" i="1"/>
  <c r="D83" i="1"/>
  <c r="E72" i="1"/>
  <c r="D71" i="1"/>
  <c r="D71" i="11" s="1"/>
  <c r="F62" i="1"/>
  <c r="E62" i="1"/>
  <c r="D62" i="1"/>
  <c r="D46" i="18"/>
  <c r="F45" i="1"/>
  <c r="E45" i="1"/>
  <c r="D45" i="1"/>
  <c r="F40" i="1"/>
  <c r="E40" i="1"/>
  <c r="D40" i="1"/>
  <c r="F38" i="1"/>
  <c r="E38" i="1"/>
  <c r="D38" i="1"/>
  <c r="F34" i="1"/>
  <c r="E34" i="1"/>
  <c r="D34" i="1"/>
  <c r="F32" i="1"/>
  <c r="E32" i="1"/>
  <c r="D32" i="1"/>
  <c r="F30" i="1"/>
  <c r="E30" i="1"/>
  <c r="D30" i="1"/>
  <c r="E84" i="1" l="1"/>
  <c r="D89" i="11"/>
  <c r="E134" i="1"/>
  <c r="E130" i="11"/>
  <c r="E145" i="1"/>
  <c r="E149" i="1" s="1"/>
  <c r="E78" i="1"/>
  <c r="E78" i="11" s="1"/>
  <c r="D83" i="11"/>
  <c r="E139" i="1"/>
  <c r="E135" i="11"/>
  <c r="E77" i="1"/>
  <c r="E77" i="11" s="1"/>
  <c r="E72" i="11"/>
  <c r="D253" i="18"/>
  <c r="M253" i="18" s="1"/>
  <c r="D20" i="18"/>
  <c r="M20" i="18" s="1"/>
  <c r="E123" i="1"/>
  <c r="D219" i="18"/>
  <c r="M219" i="18" s="1"/>
  <c r="D238" i="18"/>
  <c r="M238" i="18" s="1"/>
  <c r="F123" i="1"/>
  <c r="D47" i="18"/>
  <c r="D58" i="18"/>
  <c r="D206" i="18"/>
  <c r="M206" i="18" s="1"/>
  <c r="F223" i="1"/>
  <c r="D11" i="18"/>
  <c r="M11" i="18" s="1"/>
  <c r="D220" i="18"/>
  <c r="M220" i="18" s="1"/>
  <c r="E223" i="1"/>
  <c r="D19" i="18"/>
  <c r="M19" i="18" s="1"/>
  <c r="D215" i="18"/>
  <c r="M215" i="18" s="1"/>
  <c r="D232" i="18"/>
  <c r="M232" i="18" s="1"/>
  <c r="F47" i="1"/>
  <c r="D123" i="1"/>
  <c r="E71" i="1"/>
  <c r="E71" i="11" s="1"/>
  <c r="D47" i="1"/>
  <c r="F130" i="1"/>
  <c r="E47" i="1"/>
  <c r="F72" i="1"/>
  <c r="F139" i="1"/>
  <c r="D223" i="1"/>
  <c r="D230" i="1" s="1"/>
  <c r="E83" i="1" l="1"/>
  <c r="F78" i="1" s="1"/>
  <c r="F78" i="11" s="1"/>
  <c r="E90" i="1"/>
  <c r="E95" i="1" s="1"/>
  <c r="F145" i="1"/>
  <c r="F149" i="1" s="1"/>
  <c r="F130" i="11"/>
  <c r="F77" i="1"/>
  <c r="F77" i="11" s="1"/>
  <c r="F72" i="11"/>
  <c r="E89" i="1"/>
  <c r="E84" i="11"/>
  <c r="G125" i="1"/>
  <c r="F134" i="1"/>
  <c r="D223" i="18"/>
  <c r="M223" i="18" s="1"/>
  <c r="D210" i="18"/>
  <c r="M210" i="18" s="1"/>
  <c r="D59" i="18"/>
  <c r="D236" i="18"/>
  <c r="M236" i="18"/>
  <c r="D21" i="18"/>
  <c r="M21" i="18"/>
  <c r="D15" i="18"/>
  <c r="M15" i="18"/>
  <c r="D216" i="18"/>
  <c r="M216" i="18" s="1"/>
  <c r="M242" i="18"/>
  <c r="D242" i="18"/>
  <c r="G130" i="1"/>
  <c r="G135" i="1"/>
  <c r="G72" i="1" l="1"/>
  <c r="E255" i="1"/>
  <c r="E255" i="11" s="1"/>
  <c r="E83" i="11"/>
  <c r="E89" i="11"/>
  <c r="F84" i="1"/>
  <c r="F90" i="1" s="1"/>
  <c r="F95" i="1" s="1"/>
  <c r="G139" i="1"/>
  <c r="H135" i="1" s="1"/>
  <c r="G135" i="11"/>
  <c r="F83" i="1"/>
  <c r="G129" i="1"/>
  <c r="G145" i="1"/>
  <c r="G149" i="1" s="1"/>
  <c r="G125" i="11"/>
  <c r="G134" i="1"/>
  <c r="H130" i="1" s="1"/>
  <c r="G130" i="11"/>
  <c r="G77" i="1"/>
  <c r="G77" i="11" s="1"/>
  <c r="G72" i="11"/>
  <c r="F71" i="1"/>
  <c r="G66" i="1" s="1"/>
  <c r="D250" i="18"/>
  <c r="D217" i="18"/>
  <c r="D251" i="18"/>
  <c r="M217" i="18"/>
  <c r="M22" i="18"/>
  <c r="D22" i="18"/>
  <c r="H125" i="1"/>
  <c r="M243" i="18"/>
  <c r="D230" i="18"/>
  <c r="M230" i="18" s="1"/>
  <c r="H72" i="1" l="1"/>
  <c r="F255" i="1"/>
  <c r="F255" i="11" s="1"/>
  <c r="H77" i="1"/>
  <c r="H77" i="11" s="1"/>
  <c r="H72" i="11"/>
  <c r="H139" i="1"/>
  <c r="H135" i="11"/>
  <c r="F71" i="11"/>
  <c r="H134" i="1"/>
  <c r="H130" i="11"/>
  <c r="F89" i="1"/>
  <c r="F84" i="11"/>
  <c r="G78" i="1"/>
  <c r="F83" i="11"/>
  <c r="H129" i="1"/>
  <c r="H145" i="1"/>
  <c r="H149" i="1" s="1"/>
  <c r="H125" i="11"/>
  <c r="D24" i="18"/>
  <c r="M24" i="18" s="1"/>
  <c r="D60" i="18"/>
  <c r="M251" i="18"/>
  <c r="M250" i="18"/>
  <c r="D243" i="18"/>
  <c r="D249" i="18" s="1"/>
  <c r="K47" i="18"/>
  <c r="K58" i="18"/>
  <c r="I72" i="1" l="1"/>
  <c r="I72" i="11" s="1"/>
  <c r="G66" i="11"/>
  <c r="G71" i="1"/>
  <c r="G78" i="11"/>
  <c r="G83" i="1"/>
  <c r="F89" i="11"/>
  <c r="G84" i="1"/>
  <c r="G90" i="1" s="1"/>
  <c r="G95" i="1" s="1"/>
  <c r="G255" i="1" s="1"/>
  <c r="I77" i="1"/>
  <c r="I77" i="11" s="1"/>
  <c r="D25" i="18"/>
  <c r="M25" i="18"/>
  <c r="J144" i="11"/>
  <c r="K60" i="18"/>
  <c r="K249" i="18"/>
  <c r="K59" i="18"/>
  <c r="D246" i="16"/>
  <c r="E246" i="16"/>
  <c r="F246" i="16"/>
  <c r="G246" i="16"/>
  <c r="H246" i="16"/>
  <c r="I246" i="16"/>
  <c r="J246" i="16"/>
  <c r="J245" i="16"/>
  <c r="I245" i="16"/>
  <c r="H245" i="16"/>
  <c r="G245" i="16"/>
  <c r="F245" i="16"/>
  <c r="E245" i="16"/>
  <c r="D245" i="16"/>
  <c r="G71" i="11" l="1"/>
  <c r="H66" i="1"/>
  <c r="G89" i="1"/>
  <c r="G84" i="11"/>
  <c r="H78" i="1"/>
  <c r="G83" i="11"/>
  <c r="M246" i="16"/>
  <c r="M245" i="16"/>
  <c r="H66" i="11" l="1"/>
  <c r="H71" i="1"/>
  <c r="H78" i="11"/>
  <c r="H83" i="1"/>
  <c r="I78" i="1" s="1"/>
  <c r="G89" i="11"/>
  <c r="H84" i="1"/>
  <c r="P246" i="1"/>
  <c r="P245" i="1"/>
  <c r="H71" i="11" l="1"/>
  <c r="I66" i="1"/>
  <c r="H89" i="1"/>
  <c r="H89" i="11" s="1"/>
  <c r="H84" i="11"/>
  <c r="H83" i="11"/>
  <c r="H90" i="1"/>
  <c r="H95" i="1" s="1"/>
  <c r="H255" i="1" s="1"/>
  <c r="J143" i="16"/>
  <c r="I143" i="16"/>
  <c r="H143" i="16"/>
  <c r="G143" i="16"/>
  <c r="F143" i="16"/>
  <c r="E143" i="16"/>
  <c r="D143" i="16"/>
  <c r="J142" i="16"/>
  <c r="I142" i="16"/>
  <c r="H142" i="16"/>
  <c r="G142" i="16"/>
  <c r="F142" i="16"/>
  <c r="E142" i="16"/>
  <c r="D142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J136" i="16"/>
  <c r="I136" i="16"/>
  <c r="H136" i="16"/>
  <c r="G136" i="16"/>
  <c r="F136" i="16"/>
  <c r="E136" i="16"/>
  <c r="D136" i="16"/>
  <c r="J135" i="16"/>
  <c r="I135" i="16"/>
  <c r="H135" i="16"/>
  <c r="G135" i="16"/>
  <c r="F135" i="16"/>
  <c r="E135" i="16"/>
  <c r="D135" i="16"/>
  <c r="J133" i="16"/>
  <c r="I133" i="16"/>
  <c r="H133" i="16"/>
  <c r="G133" i="16"/>
  <c r="F133" i="16"/>
  <c r="E133" i="16"/>
  <c r="D133" i="16"/>
  <c r="J132" i="16"/>
  <c r="I132" i="16"/>
  <c r="H132" i="16"/>
  <c r="G132" i="16"/>
  <c r="F132" i="16"/>
  <c r="E132" i="16"/>
  <c r="D132" i="16"/>
  <c r="J131" i="16"/>
  <c r="I131" i="16"/>
  <c r="H131" i="16"/>
  <c r="G131" i="16"/>
  <c r="F131" i="16"/>
  <c r="E131" i="16"/>
  <c r="D131" i="16"/>
  <c r="J130" i="16"/>
  <c r="I130" i="16"/>
  <c r="H130" i="16"/>
  <c r="G130" i="16"/>
  <c r="F130" i="16"/>
  <c r="E130" i="16"/>
  <c r="D130" i="16"/>
  <c r="J128" i="16"/>
  <c r="I128" i="16"/>
  <c r="H128" i="16"/>
  <c r="G128" i="16"/>
  <c r="F128" i="16"/>
  <c r="E128" i="16"/>
  <c r="D128" i="16"/>
  <c r="J127" i="16"/>
  <c r="I127" i="16"/>
  <c r="H127" i="16"/>
  <c r="G127" i="16"/>
  <c r="F127" i="16"/>
  <c r="E127" i="16"/>
  <c r="D127" i="16"/>
  <c r="J126" i="16"/>
  <c r="I126" i="16"/>
  <c r="H126" i="16"/>
  <c r="G126" i="16"/>
  <c r="F126" i="16"/>
  <c r="E126" i="16"/>
  <c r="D126" i="16"/>
  <c r="J125" i="16"/>
  <c r="I125" i="16"/>
  <c r="H125" i="16"/>
  <c r="G125" i="16"/>
  <c r="F125" i="16"/>
  <c r="E125" i="16"/>
  <c r="D125" i="16"/>
  <c r="D50" i="12"/>
  <c r="E50" i="12"/>
  <c r="F50" i="12"/>
  <c r="G50" i="12"/>
  <c r="H50" i="12"/>
  <c r="I50" i="12"/>
  <c r="J50" i="12"/>
  <c r="D51" i="12"/>
  <c r="E51" i="12"/>
  <c r="F51" i="12"/>
  <c r="G51" i="12"/>
  <c r="H51" i="12"/>
  <c r="I51" i="12"/>
  <c r="J51" i="12"/>
  <c r="P75" i="1"/>
  <c r="P74" i="1"/>
  <c r="P73" i="1"/>
  <c r="P72" i="1"/>
  <c r="J87" i="16"/>
  <c r="I87" i="16"/>
  <c r="H87" i="16"/>
  <c r="G87" i="16"/>
  <c r="F87" i="16"/>
  <c r="E87" i="16"/>
  <c r="D87" i="16"/>
  <c r="J86" i="16"/>
  <c r="I86" i="16"/>
  <c r="H86" i="16"/>
  <c r="G86" i="16"/>
  <c r="F86" i="16"/>
  <c r="E86" i="16"/>
  <c r="D86" i="16"/>
  <c r="J85" i="16"/>
  <c r="I85" i="16"/>
  <c r="H85" i="16"/>
  <c r="G85" i="16"/>
  <c r="F85" i="16"/>
  <c r="E85" i="16"/>
  <c r="D85" i="16"/>
  <c r="J84" i="16"/>
  <c r="I84" i="16"/>
  <c r="H84" i="16"/>
  <c r="G84" i="16"/>
  <c r="F84" i="16"/>
  <c r="E84" i="16"/>
  <c r="D84" i="16"/>
  <c r="J81" i="16"/>
  <c r="I81" i="16"/>
  <c r="H81" i="16"/>
  <c r="G81" i="16"/>
  <c r="F81" i="16"/>
  <c r="E81" i="16"/>
  <c r="D81" i="16"/>
  <c r="K82" i="16"/>
  <c r="J80" i="16"/>
  <c r="I80" i="16"/>
  <c r="I82" i="16" s="1"/>
  <c r="H80" i="16"/>
  <c r="G80" i="16"/>
  <c r="F80" i="16"/>
  <c r="E80" i="16"/>
  <c r="D80" i="16"/>
  <c r="J79" i="16"/>
  <c r="I79" i="16"/>
  <c r="H79" i="16"/>
  <c r="G79" i="16"/>
  <c r="F79" i="16"/>
  <c r="E79" i="16"/>
  <c r="D79" i="16"/>
  <c r="J78" i="16"/>
  <c r="I78" i="16"/>
  <c r="H78" i="16"/>
  <c r="G78" i="16"/>
  <c r="F78" i="16"/>
  <c r="E78" i="16"/>
  <c r="J75" i="16"/>
  <c r="I75" i="16"/>
  <c r="H75" i="16"/>
  <c r="G75" i="16"/>
  <c r="F75" i="16"/>
  <c r="E75" i="16"/>
  <c r="D75" i="16"/>
  <c r="K76" i="16"/>
  <c r="J74" i="16"/>
  <c r="I74" i="16"/>
  <c r="H74" i="16"/>
  <c r="G74" i="16"/>
  <c r="G76" i="16" s="1"/>
  <c r="F74" i="16"/>
  <c r="F76" i="16" s="1"/>
  <c r="E74" i="16"/>
  <c r="D74" i="16"/>
  <c r="J73" i="16"/>
  <c r="I73" i="16"/>
  <c r="H73" i="16"/>
  <c r="G73" i="16"/>
  <c r="F73" i="16"/>
  <c r="E73" i="16"/>
  <c r="D73" i="16"/>
  <c r="J72" i="16"/>
  <c r="I72" i="16"/>
  <c r="H72" i="16"/>
  <c r="G72" i="16"/>
  <c r="F72" i="16"/>
  <c r="E72" i="16"/>
  <c r="D72" i="16"/>
  <c r="J66" i="16"/>
  <c r="I66" i="16"/>
  <c r="H66" i="16"/>
  <c r="G66" i="16"/>
  <c r="F66" i="16"/>
  <c r="E66" i="16"/>
  <c r="P86" i="1"/>
  <c r="P87" i="1"/>
  <c r="D87" i="17" s="1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I66" i="11" l="1"/>
  <c r="I71" i="1"/>
  <c r="H255" i="11"/>
  <c r="G82" i="16"/>
  <c r="M133" i="16"/>
  <c r="I78" i="11"/>
  <c r="I90" i="1"/>
  <c r="I95" i="1" s="1"/>
  <c r="I255" i="1" s="1"/>
  <c r="M51" i="12"/>
  <c r="M50" i="12"/>
  <c r="M143" i="16"/>
  <c r="M125" i="16"/>
  <c r="M135" i="16"/>
  <c r="J88" i="16"/>
  <c r="J89" i="16" s="1"/>
  <c r="M81" i="16"/>
  <c r="M80" i="16"/>
  <c r="M79" i="16"/>
  <c r="M142" i="16"/>
  <c r="M132" i="16"/>
  <c r="M141" i="16"/>
  <c r="M131" i="16"/>
  <c r="M75" i="16"/>
  <c r="M74" i="16"/>
  <c r="M140" i="16"/>
  <c r="M130" i="16"/>
  <c r="M87" i="16"/>
  <c r="M85" i="16"/>
  <c r="M73" i="16"/>
  <c r="M72" i="16"/>
  <c r="M138" i="16"/>
  <c r="M128" i="16"/>
  <c r="M137" i="16"/>
  <c r="M127" i="16"/>
  <c r="M136" i="16"/>
  <c r="M126" i="16"/>
  <c r="E88" i="16"/>
  <c r="E89" i="16" s="1"/>
  <c r="M86" i="16"/>
  <c r="J144" i="16"/>
  <c r="I88" i="16"/>
  <c r="I89" i="16" s="1"/>
  <c r="K144" i="16"/>
  <c r="K88" i="16"/>
  <c r="K89" i="16" s="1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J76" i="16"/>
  <c r="J77" i="16" s="1"/>
  <c r="D82" i="16"/>
  <c r="E144" i="16"/>
  <c r="H144" i="16"/>
  <c r="E76" i="16"/>
  <c r="E77" i="16" s="1"/>
  <c r="E82" i="16"/>
  <c r="E83" i="16" s="1"/>
  <c r="D88" i="16"/>
  <c r="D89" i="16" s="1"/>
  <c r="P76" i="1"/>
  <c r="P77" i="1" s="1"/>
  <c r="K90" i="16"/>
  <c r="J90" i="16"/>
  <c r="J82" i="16"/>
  <c r="J83" i="16" s="1"/>
  <c r="J90" i="17"/>
  <c r="I83" i="16"/>
  <c r="I90" i="16"/>
  <c r="H90" i="16"/>
  <c r="G83" i="16"/>
  <c r="G77" i="16"/>
  <c r="G90" i="16"/>
  <c r="F82" i="16"/>
  <c r="F83" i="16" s="1"/>
  <c r="F77" i="16"/>
  <c r="F90" i="16"/>
  <c r="P263" i="1"/>
  <c r="K83" i="16"/>
  <c r="K77" i="16"/>
  <c r="I71" i="11" l="1"/>
  <c r="J66" i="1"/>
  <c r="J66" i="11" s="1"/>
  <c r="M144" i="16"/>
  <c r="M139" i="16"/>
  <c r="M134" i="16"/>
  <c r="M129" i="16"/>
  <c r="J122" i="16"/>
  <c r="I122" i="16"/>
  <c r="H122" i="16"/>
  <c r="G122" i="16"/>
  <c r="F122" i="16"/>
  <c r="E122" i="16"/>
  <c r="D122" i="16"/>
  <c r="J121" i="16"/>
  <c r="I121" i="16"/>
  <c r="H121" i="16"/>
  <c r="G121" i="16"/>
  <c r="F121" i="16"/>
  <c r="E121" i="16"/>
  <c r="D121" i="16"/>
  <c r="J116" i="16"/>
  <c r="I116" i="16"/>
  <c r="H116" i="16"/>
  <c r="G116" i="16"/>
  <c r="F116" i="16"/>
  <c r="E116" i="16"/>
  <c r="D116" i="16"/>
  <c r="J115" i="16"/>
  <c r="I115" i="16"/>
  <c r="H115" i="16"/>
  <c r="G115" i="16"/>
  <c r="F115" i="16"/>
  <c r="E115" i="16"/>
  <c r="D115" i="16"/>
  <c r="J114" i="16"/>
  <c r="I114" i="16"/>
  <c r="H114" i="16"/>
  <c r="G114" i="16"/>
  <c r="F114" i="16"/>
  <c r="E114" i="16"/>
  <c r="D114" i="16"/>
  <c r="J113" i="16"/>
  <c r="I113" i="16"/>
  <c r="H113" i="16"/>
  <c r="G113" i="16"/>
  <c r="F113" i="16"/>
  <c r="E113" i="16"/>
  <c r="D113" i="16"/>
  <c r="J110" i="16"/>
  <c r="I110" i="16"/>
  <c r="H110" i="16"/>
  <c r="G110" i="16"/>
  <c r="F110" i="16"/>
  <c r="E110" i="16"/>
  <c r="D110" i="16"/>
  <c r="J109" i="16"/>
  <c r="I109" i="16"/>
  <c r="H109" i="16"/>
  <c r="G109" i="16"/>
  <c r="F109" i="16"/>
  <c r="E109" i="16"/>
  <c r="D109" i="16"/>
  <c r="J108" i="16"/>
  <c r="I108" i="16"/>
  <c r="H108" i="16"/>
  <c r="G108" i="16"/>
  <c r="F108" i="16"/>
  <c r="E108" i="16"/>
  <c r="D108" i="16"/>
  <c r="J107" i="16"/>
  <c r="I107" i="16"/>
  <c r="H107" i="16"/>
  <c r="G107" i="16"/>
  <c r="F107" i="16"/>
  <c r="E107" i="16"/>
  <c r="D107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J98" i="16"/>
  <c r="I98" i="16"/>
  <c r="H98" i="16"/>
  <c r="G98" i="16"/>
  <c r="F98" i="16"/>
  <c r="E98" i="16"/>
  <c r="D98" i="16"/>
  <c r="D144" i="16"/>
  <c r="K139" i="16"/>
  <c r="J139" i="16"/>
  <c r="I139" i="16"/>
  <c r="H139" i="16"/>
  <c r="G139" i="16"/>
  <c r="F139" i="16"/>
  <c r="E139" i="16"/>
  <c r="D139" i="16"/>
  <c r="K134" i="16"/>
  <c r="J134" i="16"/>
  <c r="I134" i="16"/>
  <c r="H134" i="16"/>
  <c r="G134" i="16"/>
  <c r="F134" i="16"/>
  <c r="E134" i="16"/>
  <c r="D134" i="16"/>
  <c r="K148" i="16"/>
  <c r="J148" i="16"/>
  <c r="I148" i="16"/>
  <c r="H148" i="16"/>
  <c r="G148" i="16"/>
  <c r="F148" i="16"/>
  <c r="E148" i="16"/>
  <c r="D148" i="16"/>
  <c r="K147" i="16"/>
  <c r="J147" i="16"/>
  <c r="I147" i="16"/>
  <c r="H147" i="16"/>
  <c r="G147" i="16"/>
  <c r="F147" i="16"/>
  <c r="E147" i="16"/>
  <c r="D147" i="16"/>
  <c r="K146" i="16"/>
  <c r="J146" i="16"/>
  <c r="I146" i="16"/>
  <c r="H146" i="16"/>
  <c r="G146" i="16"/>
  <c r="F146" i="16"/>
  <c r="E146" i="16"/>
  <c r="D146" i="16"/>
  <c r="K145" i="16"/>
  <c r="J145" i="16"/>
  <c r="I145" i="16"/>
  <c r="H145" i="16"/>
  <c r="G145" i="16"/>
  <c r="F145" i="16"/>
  <c r="E145" i="16"/>
  <c r="D145" i="16"/>
  <c r="M263" i="16"/>
  <c r="J257" i="16"/>
  <c r="I257" i="16"/>
  <c r="H257" i="16"/>
  <c r="G257" i="16"/>
  <c r="F257" i="16"/>
  <c r="E257" i="16"/>
  <c r="D257" i="16"/>
  <c r="J254" i="16"/>
  <c r="I254" i="16"/>
  <c r="H254" i="16"/>
  <c r="G254" i="16"/>
  <c r="F254" i="16"/>
  <c r="E254" i="16"/>
  <c r="D254" i="16"/>
  <c r="J253" i="16"/>
  <c r="I253" i="16"/>
  <c r="H253" i="16"/>
  <c r="G253" i="16"/>
  <c r="F253" i="16"/>
  <c r="E253" i="16"/>
  <c r="D253" i="16"/>
  <c r="J262" i="16"/>
  <c r="I262" i="16"/>
  <c r="H262" i="16"/>
  <c r="G262" i="16"/>
  <c r="F262" i="16"/>
  <c r="E262" i="16"/>
  <c r="D262" i="16"/>
  <c r="J261" i="16"/>
  <c r="I261" i="16"/>
  <c r="H261" i="16"/>
  <c r="G261" i="16"/>
  <c r="F261" i="16"/>
  <c r="E261" i="16"/>
  <c r="D261" i="16"/>
  <c r="J241" i="16"/>
  <c r="I241" i="16"/>
  <c r="H241" i="16"/>
  <c r="G241" i="16"/>
  <c r="F241" i="16"/>
  <c r="E241" i="16"/>
  <c r="D241" i="16"/>
  <c r="J240" i="16"/>
  <c r="I240" i="16"/>
  <c r="H240" i="16"/>
  <c r="G240" i="16"/>
  <c r="F240" i="16"/>
  <c r="E240" i="16"/>
  <c r="D240" i="16"/>
  <c r="J239" i="16"/>
  <c r="I239" i="16"/>
  <c r="H239" i="16"/>
  <c r="G239" i="16"/>
  <c r="F239" i="16"/>
  <c r="E239" i="16"/>
  <c r="D239" i="16"/>
  <c r="J238" i="16"/>
  <c r="I238" i="16"/>
  <c r="H238" i="16"/>
  <c r="G238" i="16"/>
  <c r="F238" i="16"/>
  <c r="E238" i="16"/>
  <c r="D238" i="16"/>
  <c r="J235" i="16"/>
  <c r="I235" i="16"/>
  <c r="H235" i="16"/>
  <c r="G235" i="16"/>
  <c r="F235" i="16"/>
  <c r="E235" i="16"/>
  <c r="D235" i="16"/>
  <c r="J234" i="16"/>
  <c r="I234" i="16"/>
  <c r="H234" i="16"/>
  <c r="G234" i="16"/>
  <c r="F234" i="16"/>
  <c r="E234" i="16"/>
  <c r="D234" i="16"/>
  <c r="J233" i="16"/>
  <c r="I233" i="16"/>
  <c r="H233" i="16"/>
  <c r="G233" i="16"/>
  <c r="F233" i="16"/>
  <c r="E233" i="16"/>
  <c r="D233" i="16"/>
  <c r="J232" i="16"/>
  <c r="I232" i="16"/>
  <c r="H232" i="16"/>
  <c r="G232" i="16"/>
  <c r="F232" i="16"/>
  <c r="E232" i="16"/>
  <c r="D232" i="16"/>
  <c r="J228" i="16"/>
  <c r="I228" i="16"/>
  <c r="H228" i="16"/>
  <c r="G228" i="16"/>
  <c r="F228" i="16"/>
  <c r="E228" i="16"/>
  <c r="D228" i="16"/>
  <c r="J227" i="16"/>
  <c r="I227" i="16"/>
  <c r="H227" i="16"/>
  <c r="G227" i="16"/>
  <c r="F227" i="16"/>
  <c r="E227" i="16"/>
  <c r="D227" i="16"/>
  <c r="J226" i="16"/>
  <c r="I226" i="16"/>
  <c r="H226" i="16"/>
  <c r="G226" i="16"/>
  <c r="F226" i="16"/>
  <c r="E226" i="16"/>
  <c r="D226" i="16"/>
  <c r="J225" i="16"/>
  <c r="I225" i="16"/>
  <c r="H225" i="16"/>
  <c r="G225" i="16"/>
  <c r="F225" i="16"/>
  <c r="E225" i="16"/>
  <c r="D225" i="16"/>
  <c r="J222" i="16"/>
  <c r="I222" i="16"/>
  <c r="H222" i="16"/>
  <c r="G222" i="16"/>
  <c r="F222" i="16"/>
  <c r="E222" i="16"/>
  <c r="D222" i="16"/>
  <c r="J221" i="16"/>
  <c r="I221" i="16"/>
  <c r="H221" i="16"/>
  <c r="G221" i="16"/>
  <c r="F221" i="16"/>
  <c r="E221" i="16"/>
  <c r="D221" i="16"/>
  <c r="J220" i="16"/>
  <c r="I220" i="16"/>
  <c r="H220" i="16"/>
  <c r="G220" i="16"/>
  <c r="F220" i="16"/>
  <c r="E220" i="16"/>
  <c r="D220" i="16"/>
  <c r="J219" i="16"/>
  <c r="I219" i="16"/>
  <c r="H219" i="16"/>
  <c r="G219" i="16"/>
  <c r="F219" i="16"/>
  <c r="E219" i="16"/>
  <c r="D219" i="16"/>
  <c r="J215" i="16"/>
  <c r="I215" i="16"/>
  <c r="H215" i="16"/>
  <c r="G215" i="16"/>
  <c r="F215" i="16"/>
  <c r="E215" i="16"/>
  <c r="D215" i="16"/>
  <c r="J214" i="16"/>
  <c r="I214" i="16"/>
  <c r="H214" i="16"/>
  <c r="G214" i="16"/>
  <c r="F214" i="16"/>
  <c r="E214" i="16"/>
  <c r="D214" i="16"/>
  <c r="J213" i="16"/>
  <c r="I213" i="16"/>
  <c r="H213" i="16"/>
  <c r="G213" i="16"/>
  <c r="F213" i="16"/>
  <c r="E213" i="16"/>
  <c r="D213" i="16"/>
  <c r="J212" i="16"/>
  <c r="I212" i="16"/>
  <c r="H212" i="16"/>
  <c r="G212" i="16"/>
  <c r="F212" i="16"/>
  <c r="E212" i="16"/>
  <c r="D212" i="16"/>
  <c r="J209" i="16"/>
  <c r="I209" i="16"/>
  <c r="H209" i="16"/>
  <c r="G209" i="16"/>
  <c r="F209" i="16"/>
  <c r="E209" i="16"/>
  <c r="D209" i="16"/>
  <c r="J208" i="16"/>
  <c r="I208" i="16"/>
  <c r="H208" i="16"/>
  <c r="G208" i="16"/>
  <c r="F208" i="16"/>
  <c r="E208" i="16"/>
  <c r="D208" i="16"/>
  <c r="J207" i="16"/>
  <c r="I207" i="16"/>
  <c r="H207" i="16"/>
  <c r="G207" i="16"/>
  <c r="F207" i="16"/>
  <c r="E207" i="16"/>
  <c r="D207" i="16"/>
  <c r="J206" i="16"/>
  <c r="I206" i="16"/>
  <c r="H206" i="16"/>
  <c r="G206" i="16"/>
  <c r="F206" i="16"/>
  <c r="E206" i="16"/>
  <c r="D206" i="16"/>
  <c r="J203" i="16"/>
  <c r="I203" i="16"/>
  <c r="H203" i="16"/>
  <c r="G203" i="16"/>
  <c r="F203" i="16"/>
  <c r="E203" i="16"/>
  <c r="D203" i="16"/>
  <c r="J202" i="16"/>
  <c r="I202" i="16"/>
  <c r="H202" i="16"/>
  <c r="G202" i="16"/>
  <c r="F202" i="16"/>
  <c r="E202" i="16"/>
  <c r="D202" i="16"/>
  <c r="J201" i="16"/>
  <c r="I201" i="16"/>
  <c r="H201" i="16"/>
  <c r="G201" i="16"/>
  <c r="F201" i="16"/>
  <c r="E201" i="16"/>
  <c r="D201" i="16"/>
  <c r="J200" i="16"/>
  <c r="I200" i="16"/>
  <c r="H200" i="16"/>
  <c r="G200" i="16"/>
  <c r="F200" i="16"/>
  <c r="E200" i="16"/>
  <c r="D200" i="16"/>
  <c r="J199" i="16"/>
  <c r="I199" i="16"/>
  <c r="H199" i="16"/>
  <c r="G199" i="16"/>
  <c r="F199" i="16"/>
  <c r="E199" i="16"/>
  <c r="D199" i="16"/>
  <c r="J197" i="16"/>
  <c r="I197" i="16"/>
  <c r="H197" i="16"/>
  <c r="G197" i="16"/>
  <c r="F197" i="16"/>
  <c r="E197" i="16"/>
  <c r="D197" i="16"/>
  <c r="J196" i="16"/>
  <c r="I196" i="16"/>
  <c r="H196" i="16"/>
  <c r="G196" i="16"/>
  <c r="F196" i="16"/>
  <c r="E196" i="16"/>
  <c r="D196" i="16"/>
  <c r="J195" i="16"/>
  <c r="I195" i="16"/>
  <c r="H195" i="16"/>
  <c r="G195" i="16"/>
  <c r="F195" i="16"/>
  <c r="E195" i="16"/>
  <c r="D195" i="16"/>
  <c r="J194" i="16"/>
  <c r="I194" i="16"/>
  <c r="H194" i="16"/>
  <c r="G194" i="16"/>
  <c r="F194" i="16"/>
  <c r="E194" i="16"/>
  <c r="D194" i="16"/>
  <c r="J187" i="16"/>
  <c r="I187" i="16"/>
  <c r="H187" i="16"/>
  <c r="G187" i="16"/>
  <c r="F187" i="16"/>
  <c r="E187" i="16"/>
  <c r="D187" i="16"/>
  <c r="J186" i="16"/>
  <c r="I186" i="16"/>
  <c r="H186" i="16"/>
  <c r="G186" i="16"/>
  <c r="F186" i="16"/>
  <c r="E186" i="16"/>
  <c r="D186" i="16"/>
  <c r="J185" i="16"/>
  <c r="I185" i="16"/>
  <c r="H185" i="16"/>
  <c r="G185" i="16"/>
  <c r="F185" i="16"/>
  <c r="E185" i="16"/>
  <c r="D185" i="16"/>
  <c r="J184" i="16"/>
  <c r="I184" i="16"/>
  <c r="H184" i="16"/>
  <c r="G184" i="16"/>
  <c r="F184" i="16"/>
  <c r="E184" i="16"/>
  <c r="D184" i="16"/>
  <c r="J182" i="16"/>
  <c r="I182" i="16"/>
  <c r="H182" i="16"/>
  <c r="G182" i="16"/>
  <c r="F182" i="16"/>
  <c r="E182" i="16"/>
  <c r="D182" i="16"/>
  <c r="J181" i="16"/>
  <c r="I181" i="16"/>
  <c r="H181" i="16"/>
  <c r="G181" i="16"/>
  <c r="F181" i="16"/>
  <c r="E181" i="16"/>
  <c r="D181" i="16"/>
  <c r="J180" i="16"/>
  <c r="I180" i="16"/>
  <c r="H180" i="16"/>
  <c r="G180" i="16"/>
  <c r="F180" i="16"/>
  <c r="E180" i="16"/>
  <c r="D180" i="16"/>
  <c r="J179" i="16"/>
  <c r="I179" i="16"/>
  <c r="H179" i="16"/>
  <c r="G179" i="16"/>
  <c r="F179" i="16"/>
  <c r="E179" i="16"/>
  <c r="D179" i="16"/>
  <c r="J178" i="16"/>
  <c r="I178" i="16"/>
  <c r="H178" i="16"/>
  <c r="G178" i="16"/>
  <c r="F178" i="16"/>
  <c r="E178" i="16"/>
  <c r="D178" i="16"/>
  <c r="J177" i="16"/>
  <c r="I177" i="16"/>
  <c r="H177" i="16"/>
  <c r="G177" i="16"/>
  <c r="F177" i="16"/>
  <c r="E177" i="16"/>
  <c r="D177" i="16"/>
  <c r="J175" i="16"/>
  <c r="I175" i="16"/>
  <c r="H175" i="16"/>
  <c r="G175" i="16"/>
  <c r="F175" i="16"/>
  <c r="E175" i="16"/>
  <c r="D175" i="16"/>
  <c r="J174" i="16"/>
  <c r="I174" i="16"/>
  <c r="H174" i="16"/>
  <c r="G174" i="16"/>
  <c r="F174" i="16"/>
  <c r="E174" i="16"/>
  <c r="D174" i="16"/>
  <c r="J173" i="16"/>
  <c r="I173" i="16"/>
  <c r="H173" i="16"/>
  <c r="G173" i="16"/>
  <c r="F173" i="16"/>
  <c r="E173" i="16"/>
  <c r="D173" i="16"/>
  <c r="J172" i="16"/>
  <c r="I172" i="16"/>
  <c r="H172" i="16"/>
  <c r="G172" i="16"/>
  <c r="F172" i="16"/>
  <c r="E172" i="16"/>
  <c r="D172" i="16"/>
  <c r="J171" i="16"/>
  <c r="I171" i="16"/>
  <c r="H171" i="16"/>
  <c r="G171" i="16"/>
  <c r="F171" i="16"/>
  <c r="E171" i="16"/>
  <c r="D171" i="16"/>
  <c r="J170" i="16"/>
  <c r="I170" i="16"/>
  <c r="H170" i="16"/>
  <c r="G170" i="16"/>
  <c r="F170" i="16"/>
  <c r="E170" i="16"/>
  <c r="D170" i="16"/>
  <c r="J169" i="16"/>
  <c r="I169" i="16"/>
  <c r="H169" i="16"/>
  <c r="G169" i="16"/>
  <c r="F169" i="16"/>
  <c r="E169" i="16"/>
  <c r="D169" i="16"/>
  <c r="J168" i="16"/>
  <c r="I168" i="16"/>
  <c r="H168" i="16"/>
  <c r="G168" i="16"/>
  <c r="F168" i="16"/>
  <c r="E168" i="16"/>
  <c r="D168" i="16"/>
  <c r="J167" i="16"/>
  <c r="I167" i="16"/>
  <c r="H167" i="16"/>
  <c r="G167" i="16"/>
  <c r="F167" i="16"/>
  <c r="E167" i="16"/>
  <c r="D167" i="16"/>
  <c r="J165" i="16"/>
  <c r="I165" i="16"/>
  <c r="H165" i="16"/>
  <c r="G165" i="16"/>
  <c r="F165" i="16"/>
  <c r="E165" i="16"/>
  <c r="D165" i="16"/>
  <c r="J164" i="16"/>
  <c r="I164" i="16"/>
  <c r="H164" i="16"/>
  <c r="G164" i="16"/>
  <c r="F164" i="16"/>
  <c r="E164" i="16"/>
  <c r="D164" i="16"/>
  <c r="J163" i="16"/>
  <c r="I163" i="16"/>
  <c r="H163" i="16"/>
  <c r="G163" i="16"/>
  <c r="F163" i="16"/>
  <c r="E163" i="16"/>
  <c r="D163" i="16"/>
  <c r="J162" i="16"/>
  <c r="I162" i="16"/>
  <c r="H162" i="16"/>
  <c r="G162" i="16"/>
  <c r="F162" i="16"/>
  <c r="E162" i="16"/>
  <c r="D162" i="16"/>
  <c r="J161" i="16"/>
  <c r="I161" i="16"/>
  <c r="H161" i="16"/>
  <c r="G161" i="16"/>
  <c r="F161" i="16"/>
  <c r="E161" i="16"/>
  <c r="D161" i="16"/>
  <c r="J160" i="16"/>
  <c r="I160" i="16"/>
  <c r="H160" i="16"/>
  <c r="G160" i="16"/>
  <c r="F160" i="16"/>
  <c r="E160" i="16"/>
  <c r="D160" i="16"/>
  <c r="J159" i="16"/>
  <c r="I159" i="16"/>
  <c r="H159" i="16"/>
  <c r="G159" i="16"/>
  <c r="F159" i="16"/>
  <c r="E159" i="16"/>
  <c r="D159" i="16"/>
  <c r="J158" i="16"/>
  <c r="I158" i="16"/>
  <c r="H158" i="16"/>
  <c r="G158" i="16"/>
  <c r="F158" i="16"/>
  <c r="E158" i="16"/>
  <c r="D158" i="16"/>
  <c r="J157" i="16"/>
  <c r="I157" i="16"/>
  <c r="H157" i="16"/>
  <c r="G157" i="16"/>
  <c r="F157" i="16"/>
  <c r="E157" i="16"/>
  <c r="D157" i="16"/>
  <c r="J156" i="16"/>
  <c r="I156" i="16"/>
  <c r="H156" i="16"/>
  <c r="G156" i="16"/>
  <c r="F156" i="16"/>
  <c r="E156" i="16"/>
  <c r="D156" i="16"/>
  <c r="J155" i="16"/>
  <c r="I155" i="16"/>
  <c r="H155" i="16"/>
  <c r="G155" i="16"/>
  <c r="F155" i="16"/>
  <c r="E155" i="16"/>
  <c r="D155" i="16"/>
  <c r="J154" i="16"/>
  <c r="I154" i="16"/>
  <c r="H154" i="16"/>
  <c r="G154" i="16"/>
  <c r="F154" i="16"/>
  <c r="E154" i="16"/>
  <c r="D154" i="16"/>
  <c r="J153" i="16"/>
  <c r="I153" i="16"/>
  <c r="H153" i="16"/>
  <c r="G153" i="16"/>
  <c r="F153" i="16"/>
  <c r="E153" i="16"/>
  <c r="D153" i="16"/>
  <c r="K93" i="16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K92" i="16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K91" i="16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J56" i="16"/>
  <c r="I56" i="16"/>
  <c r="H56" i="16"/>
  <c r="G56" i="16"/>
  <c r="F56" i="16"/>
  <c r="E56" i="16"/>
  <c r="D56" i="16"/>
  <c r="J55" i="16"/>
  <c r="I55" i="16"/>
  <c r="H55" i="16"/>
  <c r="G55" i="16"/>
  <c r="F55" i="16"/>
  <c r="E55" i="16"/>
  <c r="D55" i="16"/>
  <c r="J54" i="16"/>
  <c r="I54" i="16"/>
  <c r="H54" i="16"/>
  <c r="G54" i="16"/>
  <c r="F54" i="16"/>
  <c r="E54" i="16"/>
  <c r="D54" i="16"/>
  <c r="J51" i="16"/>
  <c r="I51" i="16"/>
  <c r="H51" i="16"/>
  <c r="G51" i="16"/>
  <c r="F51" i="16"/>
  <c r="E51" i="16"/>
  <c r="D51" i="16"/>
  <c r="J50" i="16"/>
  <c r="I50" i="16"/>
  <c r="H50" i="16"/>
  <c r="G50" i="16"/>
  <c r="F50" i="16"/>
  <c r="E50" i="16"/>
  <c r="D50" i="16"/>
  <c r="J49" i="16"/>
  <c r="I49" i="16"/>
  <c r="H49" i="16"/>
  <c r="G49" i="16"/>
  <c r="F49" i="16"/>
  <c r="E49" i="16"/>
  <c r="D49" i="16"/>
  <c r="J44" i="16"/>
  <c r="I44" i="16"/>
  <c r="H44" i="16"/>
  <c r="G44" i="16"/>
  <c r="F44" i="16"/>
  <c r="E44" i="16"/>
  <c r="D44" i="16"/>
  <c r="J35" i="16"/>
  <c r="I35" i="16"/>
  <c r="H35" i="16"/>
  <c r="G35" i="16"/>
  <c r="F35" i="16"/>
  <c r="E35" i="16"/>
  <c r="D35" i="16"/>
  <c r="J33" i="16"/>
  <c r="I33" i="16"/>
  <c r="H33" i="16"/>
  <c r="G33" i="16"/>
  <c r="F33" i="16"/>
  <c r="E33" i="16"/>
  <c r="D33" i="16"/>
  <c r="J31" i="16"/>
  <c r="I31" i="16"/>
  <c r="H31" i="16"/>
  <c r="G31" i="16"/>
  <c r="F31" i="16"/>
  <c r="E31" i="16"/>
  <c r="D31" i="16"/>
  <c r="J29" i="16"/>
  <c r="I29" i="16"/>
  <c r="H29" i="16"/>
  <c r="G29" i="16"/>
  <c r="F29" i="16"/>
  <c r="E29" i="16"/>
  <c r="D29" i="16"/>
  <c r="J20" i="16"/>
  <c r="I20" i="16"/>
  <c r="H20" i="16"/>
  <c r="G20" i="16"/>
  <c r="F20" i="16"/>
  <c r="E20" i="16"/>
  <c r="J19" i="16"/>
  <c r="I19" i="16"/>
  <c r="H19" i="16"/>
  <c r="G19" i="16"/>
  <c r="F19" i="16"/>
  <c r="E19" i="16"/>
  <c r="J18" i="16"/>
  <c r="I18" i="16"/>
  <c r="H18" i="16"/>
  <c r="G18" i="16"/>
  <c r="F18" i="16"/>
  <c r="E18" i="16"/>
  <c r="J17" i="16"/>
  <c r="I17" i="16"/>
  <c r="H17" i="16"/>
  <c r="G17" i="16"/>
  <c r="F17" i="16"/>
  <c r="E17" i="16"/>
  <c r="J14" i="16"/>
  <c r="I14" i="16"/>
  <c r="H14" i="16"/>
  <c r="G14" i="16"/>
  <c r="F14" i="16"/>
  <c r="E14" i="16"/>
  <c r="J13" i="16"/>
  <c r="I13" i="16"/>
  <c r="H13" i="16"/>
  <c r="G13" i="16"/>
  <c r="F13" i="16"/>
  <c r="E13" i="16"/>
  <c r="J12" i="16"/>
  <c r="I12" i="16"/>
  <c r="H12" i="16"/>
  <c r="G12" i="16"/>
  <c r="F12" i="16"/>
  <c r="E12" i="16"/>
  <c r="J11" i="16"/>
  <c r="I11" i="16"/>
  <c r="H11" i="16"/>
  <c r="G11" i="16"/>
  <c r="F11" i="16"/>
  <c r="E11" i="16"/>
  <c r="J9" i="16"/>
  <c r="I9" i="16"/>
  <c r="H9" i="16"/>
  <c r="G9" i="16"/>
  <c r="F9" i="16"/>
  <c r="E9" i="16"/>
  <c r="G94" i="16" l="1"/>
  <c r="G95" i="16" s="1"/>
  <c r="M31" i="16"/>
  <c r="M104" i="16"/>
  <c r="M159" i="16"/>
  <c r="M175" i="16"/>
  <c r="M177" i="16"/>
  <c r="M186" i="16"/>
  <c r="M185" i="16"/>
  <c r="M238" i="16"/>
  <c r="E263" i="16"/>
  <c r="M194" i="16"/>
  <c r="M170" i="16"/>
  <c r="M115" i="16"/>
  <c r="M212" i="16"/>
  <c r="M33" i="16"/>
  <c r="M178" i="16"/>
  <c r="M239" i="16"/>
  <c r="M103" i="16"/>
  <c r="M187" i="16"/>
  <c r="M174" i="16"/>
  <c r="M181" i="16"/>
  <c r="M162" i="16"/>
  <c r="M180" i="16"/>
  <c r="M98" i="16"/>
  <c r="M182" i="16"/>
  <c r="M172" i="16"/>
  <c r="M179" i="16"/>
  <c r="M116" i="16"/>
  <c r="M184" i="16"/>
  <c r="M173" i="16"/>
  <c r="J263" i="16"/>
  <c r="M171" i="16"/>
  <c r="M114" i="16"/>
  <c r="M101" i="16"/>
  <c r="M113" i="16"/>
  <c r="M102" i="16"/>
  <c r="M110" i="16"/>
  <c r="M109" i="16"/>
  <c r="M165" i="16"/>
  <c r="M108" i="16"/>
  <c r="M164" i="16"/>
  <c r="M107" i="16"/>
  <c r="M257" i="16"/>
  <c r="M253" i="16"/>
  <c r="M213" i="16"/>
  <c r="M254" i="16"/>
  <c r="M228" i="16"/>
  <c r="M227" i="16"/>
  <c r="M226" i="16"/>
  <c r="M225" i="16"/>
  <c r="M202" i="16"/>
  <c r="M169" i="16"/>
  <c r="M168" i="16"/>
  <c r="M158" i="16"/>
  <c r="M67" i="16"/>
  <c r="M203" i="16"/>
  <c r="M201" i="16"/>
  <c r="M200" i="16"/>
  <c r="M195" i="16"/>
  <c r="I263" i="16"/>
  <c r="M234" i="16"/>
  <c r="M167" i="16"/>
  <c r="M235" i="16"/>
  <c r="M233" i="16"/>
  <c r="M219" i="16"/>
  <c r="M209" i="16"/>
  <c r="M207" i="16"/>
  <c r="M199" i="16"/>
  <c r="M155" i="16"/>
  <c r="M29" i="16"/>
  <c r="M232" i="16"/>
  <c r="M221" i="16"/>
  <c r="M220" i="16"/>
  <c r="M163" i="16"/>
  <c r="M161" i="16"/>
  <c r="M208" i="16"/>
  <c r="M197" i="16"/>
  <c r="M157" i="16"/>
  <c r="M156" i="16"/>
  <c r="M56" i="16"/>
  <c r="M55" i="16"/>
  <c r="M54" i="16"/>
  <c r="M51" i="16"/>
  <c r="M50" i="16"/>
  <c r="M241" i="16"/>
  <c r="M240" i="16"/>
  <c r="M222" i="16"/>
  <c r="M215" i="16"/>
  <c r="M214" i="16"/>
  <c r="M206" i="16"/>
  <c r="M154" i="16"/>
  <c r="M153" i="16"/>
  <c r="M160" i="16"/>
  <c r="M49" i="16"/>
  <c r="M44" i="16"/>
  <c r="D91" i="16"/>
  <c r="M91" i="16" s="1"/>
  <c r="D92" i="16"/>
  <c r="M92" i="16" s="1"/>
  <c r="M68" i="16"/>
  <c r="D93" i="16"/>
  <c r="M93" i="16" s="1"/>
  <c r="M69" i="16"/>
  <c r="K263" i="16"/>
  <c r="G263" i="16"/>
  <c r="D236" i="16"/>
  <c r="K236" i="16"/>
  <c r="F263" i="16"/>
  <c r="G236" i="16"/>
  <c r="K94" i="16"/>
  <c r="K95" i="16" s="1"/>
  <c r="J236" i="16"/>
  <c r="J94" i="16"/>
  <c r="J95" i="16" s="1"/>
  <c r="I236" i="16"/>
  <c r="I94" i="16"/>
  <c r="I95" i="16" s="1"/>
  <c r="H263" i="16"/>
  <c r="H236" i="16"/>
  <c r="H94" i="16"/>
  <c r="H95" i="16" s="1"/>
  <c r="F236" i="16"/>
  <c r="F94" i="16"/>
  <c r="F95" i="16" s="1"/>
  <c r="E236" i="16"/>
  <c r="E94" i="16"/>
  <c r="E95" i="16" s="1"/>
  <c r="D263" i="16"/>
  <c r="K149" i="16"/>
  <c r="D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E129" i="16"/>
  <c r="M70" i="16" l="1"/>
  <c r="D94" i="16"/>
  <c r="M111" i="16"/>
  <c r="M117" i="16"/>
  <c r="M105" i="16"/>
  <c r="M118" i="16" l="1"/>
  <c r="M119" i="16" s="1"/>
  <c r="N117" i="1" l="1"/>
  <c r="N46" i="11"/>
  <c r="J256" i="16" l="1"/>
  <c r="J46" i="16"/>
  <c r="K256" i="16"/>
  <c r="J255" i="16" l="1"/>
  <c r="K255" i="16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17" i="1"/>
  <c r="M46" i="11" l="1"/>
  <c r="D46" i="16" l="1"/>
  <c r="M46" i="16" s="1"/>
  <c r="J46" i="18" l="1"/>
  <c r="I46" i="18"/>
  <c r="M46" i="18" l="1"/>
  <c r="M47" i="18" s="1"/>
  <c r="I47" i="18"/>
  <c r="I58" i="18"/>
  <c r="J47" i="18"/>
  <c r="J58" i="18"/>
  <c r="M58" i="18" l="1"/>
  <c r="I249" i="18"/>
  <c r="I60" i="18"/>
  <c r="I59" i="18"/>
  <c r="J60" i="18"/>
  <c r="J59" i="18"/>
  <c r="J249" i="18"/>
  <c r="M59" i="18" l="1"/>
  <c r="M249" i="18"/>
  <c r="M60" i="18"/>
  <c r="J46" i="11" l="1"/>
  <c r="K46" i="11"/>
  <c r="L46" i="11"/>
  <c r="K117" i="1" l="1"/>
  <c r="K122" i="15" l="1"/>
  <c r="J122" i="15"/>
  <c r="I122" i="15"/>
  <c r="H122" i="15"/>
  <c r="G122" i="15"/>
  <c r="F122" i="15"/>
  <c r="E122" i="15"/>
  <c r="D122" i="15"/>
  <c r="K121" i="15"/>
  <c r="J121" i="15"/>
  <c r="I121" i="15"/>
  <c r="H121" i="15"/>
  <c r="G121" i="15"/>
  <c r="F121" i="15"/>
  <c r="E121" i="15"/>
  <c r="D121" i="15"/>
  <c r="K116" i="15"/>
  <c r="J116" i="15"/>
  <c r="I116" i="15"/>
  <c r="H116" i="15"/>
  <c r="G116" i="15"/>
  <c r="F116" i="15"/>
  <c r="E116" i="15"/>
  <c r="D116" i="15"/>
  <c r="K115" i="15"/>
  <c r="J115" i="15"/>
  <c r="I115" i="15"/>
  <c r="H115" i="15"/>
  <c r="G115" i="15"/>
  <c r="F115" i="15"/>
  <c r="E115" i="15"/>
  <c r="D115" i="15"/>
  <c r="K114" i="15"/>
  <c r="J114" i="15"/>
  <c r="I114" i="15"/>
  <c r="H114" i="15"/>
  <c r="G114" i="15"/>
  <c r="F114" i="15"/>
  <c r="E114" i="15"/>
  <c r="D114" i="15"/>
  <c r="K113" i="15"/>
  <c r="J113" i="15"/>
  <c r="I113" i="15"/>
  <c r="H113" i="15"/>
  <c r="G113" i="15"/>
  <c r="F113" i="15"/>
  <c r="E113" i="15"/>
  <c r="D113" i="15"/>
  <c r="K110" i="15"/>
  <c r="J110" i="15"/>
  <c r="I110" i="15"/>
  <c r="H110" i="15"/>
  <c r="G110" i="15"/>
  <c r="F110" i="15"/>
  <c r="E110" i="15"/>
  <c r="D110" i="15"/>
  <c r="K109" i="15"/>
  <c r="J109" i="15"/>
  <c r="I109" i="15"/>
  <c r="H109" i="15"/>
  <c r="G109" i="15"/>
  <c r="F109" i="15"/>
  <c r="E109" i="15"/>
  <c r="D109" i="15"/>
  <c r="K108" i="15"/>
  <c r="J108" i="15"/>
  <c r="I108" i="15"/>
  <c r="H108" i="15"/>
  <c r="G108" i="15"/>
  <c r="F108" i="15"/>
  <c r="E108" i="15"/>
  <c r="D108" i="15"/>
  <c r="K107" i="15"/>
  <c r="J107" i="15"/>
  <c r="I107" i="15"/>
  <c r="H107" i="15"/>
  <c r="G107" i="15"/>
  <c r="F107" i="15"/>
  <c r="E107" i="15"/>
  <c r="D107" i="15"/>
  <c r="K104" i="15"/>
  <c r="J104" i="15"/>
  <c r="I104" i="15"/>
  <c r="H104" i="15"/>
  <c r="G104" i="15"/>
  <c r="F104" i="15"/>
  <c r="E104" i="15"/>
  <c r="D104" i="15"/>
  <c r="K103" i="15"/>
  <c r="J103" i="15"/>
  <c r="I103" i="15"/>
  <c r="H103" i="15"/>
  <c r="G103" i="15"/>
  <c r="F103" i="15"/>
  <c r="E103" i="15"/>
  <c r="D103" i="15"/>
  <c r="K102" i="15"/>
  <c r="J102" i="15"/>
  <c r="I102" i="15"/>
  <c r="H102" i="15"/>
  <c r="G102" i="15"/>
  <c r="F102" i="15"/>
  <c r="E102" i="15"/>
  <c r="D102" i="15"/>
  <c r="K101" i="15"/>
  <c r="J101" i="15"/>
  <c r="I101" i="15"/>
  <c r="H101" i="15"/>
  <c r="G101" i="15"/>
  <c r="F101" i="15"/>
  <c r="E101" i="15"/>
  <c r="D101" i="15"/>
  <c r="K140" i="15"/>
  <c r="J140" i="15"/>
  <c r="I140" i="15"/>
  <c r="H140" i="15"/>
  <c r="G140" i="15"/>
  <c r="F140" i="15"/>
  <c r="E140" i="15"/>
  <c r="D140" i="15"/>
  <c r="K135" i="15"/>
  <c r="J135" i="15"/>
  <c r="I135" i="15"/>
  <c r="H135" i="15"/>
  <c r="G135" i="15"/>
  <c r="F135" i="15"/>
  <c r="E135" i="15"/>
  <c r="D135" i="15"/>
  <c r="K130" i="15"/>
  <c r="J130" i="15"/>
  <c r="I130" i="15"/>
  <c r="H130" i="15"/>
  <c r="G130" i="15"/>
  <c r="F130" i="15"/>
  <c r="E130" i="15"/>
  <c r="D130" i="15"/>
  <c r="K125" i="15"/>
  <c r="I125" i="15"/>
  <c r="H125" i="15"/>
  <c r="G125" i="15"/>
  <c r="F125" i="15"/>
  <c r="E125" i="15"/>
  <c r="D125" i="15"/>
  <c r="K84" i="15"/>
  <c r="J84" i="15"/>
  <c r="I84" i="15"/>
  <c r="H84" i="15"/>
  <c r="G84" i="15"/>
  <c r="F84" i="15"/>
  <c r="E84" i="15"/>
  <c r="D84" i="15"/>
  <c r="K78" i="15"/>
  <c r="J78" i="15"/>
  <c r="H78" i="15"/>
  <c r="G78" i="15"/>
  <c r="F78" i="15"/>
  <c r="E78" i="15"/>
  <c r="K72" i="15"/>
  <c r="J72" i="15"/>
  <c r="I72" i="15"/>
  <c r="H72" i="15"/>
  <c r="G72" i="15"/>
  <c r="F72" i="15"/>
  <c r="E72" i="15"/>
  <c r="D72" i="15"/>
  <c r="K66" i="15"/>
  <c r="J66" i="15"/>
  <c r="I66" i="15"/>
  <c r="H66" i="15"/>
  <c r="G66" i="15"/>
  <c r="F66" i="15"/>
  <c r="E66" i="15"/>
  <c r="D66" i="15"/>
  <c r="L263" i="15"/>
  <c r="K262" i="15"/>
  <c r="J262" i="15"/>
  <c r="I262" i="15"/>
  <c r="H262" i="15"/>
  <c r="G262" i="15"/>
  <c r="F262" i="15"/>
  <c r="E262" i="15"/>
  <c r="D262" i="15"/>
  <c r="K261" i="15"/>
  <c r="J261" i="15"/>
  <c r="J263" i="15" s="1"/>
  <c r="I261" i="15"/>
  <c r="I263" i="15" s="1"/>
  <c r="H261" i="15"/>
  <c r="G261" i="15"/>
  <c r="F261" i="15"/>
  <c r="F263" i="15" s="1"/>
  <c r="E261" i="15"/>
  <c r="D261" i="15"/>
  <c r="K257" i="15"/>
  <c r="J257" i="15"/>
  <c r="I257" i="15"/>
  <c r="H257" i="15"/>
  <c r="G257" i="15"/>
  <c r="F257" i="15"/>
  <c r="E257" i="15"/>
  <c r="D257" i="15"/>
  <c r="K254" i="15"/>
  <c r="J254" i="15"/>
  <c r="I254" i="15"/>
  <c r="H254" i="15"/>
  <c r="G254" i="15"/>
  <c r="F254" i="15"/>
  <c r="E254" i="15"/>
  <c r="D254" i="15"/>
  <c r="K253" i="15"/>
  <c r="J253" i="15"/>
  <c r="I253" i="15"/>
  <c r="H253" i="15"/>
  <c r="G253" i="15"/>
  <c r="F253" i="15"/>
  <c r="E253" i="15"/>
  <c r="D253" i="15"/>
  <c r="K246" i="15"/>
  <c r="J246" i="15"/>
  <c r="I246" i="15"/>
  <c r="H246" i="15"/>
  <c r="G246" i="15"/>
  <c r="F246" i="15"/>
  <c r="E246" i="15"/>
  <c r="D246" i="15"/>
  <c r="K245" i="15"/>
  <c r="J245" i="15"/>
  <c r="I245" i="15"/>
  <c r="I247" i="15" s="1"/>
  <c r="H245" i="15"/>
  <c r="G245" i="15"/>
  <c r="F245" i="15"/>
  <c r="E245" i="15"/>
  <c r="D245" i="15"/>
  <c r="K241" i="15"/>
  <c r="J241" i="15"/>
  <c r="I241" i="15"/>
  <c r="H241" i="15"/>
  <c r="G241" i="15"/>
  <c r="F241" i="15"/>
  <c r="E241" i="15"/>
  <c r="D241" i="15"/>
  <c r="K240" i="15"/>
  <c r="J240" i="15"/>
  <c r="I240" i="15"/>
  <c r="H240" i="15"/>
  <c r="G240" i="15"/>
  <c r="F240" i="15"/>
  <c r="E240" i="15"/>
  <c r="D240" i="15"/>
  <c r="K239" i="15"/>
  <c r="J239" i="15"/>
  <c r="I239" i="15"/>
  <c r="H239" i="15"/>
  <c r="G239" i="15"/>
  <c r="F239" i="15"/>
  <c r="E239" i="15"/>
  <c r="D239" i="15"/>
  <c r="K238" i="15"/>
  <c r="J238" i="15"/>
  <c r="I238" i="15"/>
  <c r="H238" i="15"/>
  <c r="G238" i="15"/>
  <c r="F238" i="15"/>
  <c r="E238" i="15"/>
  <c r="D238" i="15"/>
  <c r="K235" i="15"/>
  <c r="J235" i="15"/>
  <c r="I235" i="15"/>
  <c r="H235" i="15"/>
  <c r="G235" i="15"/>
  <c r="F235" i="15"/>
  <c r="E235" i="15"/>
  <c r="D235" i="15"/>
  <c r="K234" i="15"/>
  <c r="J234" i="15"/>
  <c r="I234" i="15"/>
  <c r="H234" i="15"/>
  <c r="G234" i="15"/>
  <c r="F234" i="15"/>
  <c r="E234" i="15"/>
  <c r="D234" i="15"/>
  <c r="K233" i="15"/>
  <c r="J233" i="15"/>
  <c r="I233" i="15"/>
  <c r="H233" i="15"/>
  <c r="G233" i="15"/>
  <c r="F233" i="15"/>
  <c r="E233" i="15"/>
  <c r="D233" i="15"/>
  <c r="K232" i="15"/>
  <c r="J232" i="15"/>
  <c r="I232" i="15"/>
  <c r="H232" i="15"/>
  <c r="G232" i="15"/>
  <c r="F232" i="15"/>
  <c r="E232" i="15"/>
  <c r="D232" i="15"/>
  <c r="K228" i="15"/>
  <c r="J228" i="15"/>
  <c r="I228" i="15"/>
  <c r="H228" i="15"/>
  <c r="G228" i="15"/>
  <c r="F228" i="15"/>
  <c r="E228" i="15"/>
  <c r="D228" i="15"/>
  <c r="K227" i="15"/>
  <c r="J227" i="15"/>
  <c r="I227" i="15"/>
  <c r="H227" i="15"/>
  <c r="G227" i="15"/>
  <c r="F227" i="15"/>
  <c r="E227" i="15"/>
  <c r="D227" i="15"/>
  <c r="K226" i="15"/>
  <c r="J226" i="15"/>
  <c r="I226" i="15"/>
  <c r="H226" i="15"/>
  <c r="G226" i="15"/>
  <c r="F226" i="15"/>
  <c r="E226" i="15"/>
  <c r="D226" i="15"/>
  <c r="K225" i="15"/>
  <c r="J225" i="15"/>
  <c r="I225" i="15"/>
  <c r="H225" i="15"/>
  <c r="G225" i="15"/>
  <c r="F225" i="15"/>
  <c r="E225" i="15"/>
  <c r="D225" i="15"/>
  <c r="K222" i="15"/>
  <c r="J222" i="15"/>
  <c r="I222" i="15"/>
  <c r="H222" i="15"/>
  <c r="G222" i="15"/>
  <c r="F222" i="15"/>
  <c r="E222" i="15"/>
  <c r="D222" i="15"/>
  <c r="K221" i="15"/>
  <c r="J221" i="15"/>
  <c r="I221" i="15"/>
  <c r="H221" i="15"/>
  <c r="G221" i="15"/>
  <c r="F221" i="15"/>
  <c r="E221" i="15"/>
  <c r="D221" i="15"/>
  <c r="K220" i="15"/>
  <c r="J220" i="15"/>
  <c r="I220" i="15"/>
  <c r="H220" i="15"/>
  <c r="G220" i="15"/>
  <c r="F220" i="15"/>
  <c r="E220" i="15"/>
  <c r="D220" i="15"/>
  <c r="K219" i="15"/>
  <c r="J219" i="15"/>
  <c r="I219" i="15"/>
  <c r="H219" i="15"/>
  <c r="G219" i="15"/>
  <c r="F219" i="15"/>
  <c r="E219" i="15"/>
  <c r="D219" i="15"/>
  <c r="K215" i="15"/>
  <c r="J215" i="15"/>
  <c r="I215" i="15"/>
  <c r="H215" i="15"/>
  <c r="G215" i="15"/>
  <c r="F215" i="15"/>
  <c r="E215" i="15"/>
  <c r="D215" i="15"/>
  <c r="K214" i="15"/>
  <c r="J214" i="15"/>
  <c r="I214" i="15"/>
  <c r="H214" i="15"/>
  <c r="G214" i="15"/>
  <c r="F214" i="15"/>
  <c r="E214" i="15"/>
  <c r="D214" i="15"/>
  <c r="K213" i="15"/>
  <c r="J213" i="15"/>
  <c r="I213" i="15"/>
  <c r="H213" i="15"/>
  <c r="G213" i="15"/>
  <c r="F213" i="15"/>
  <c r="E213" i="15"/>
  <c r="D213" i="15"/>
  <c r="K212" i="15"/>
  <c r="J212" i="15"/>
  <c r="I212" i="15"/>
  <c r="H212" i="15"/>
  <c r="G212" i="15"/>
  <c r="F212" i="15"/>
  <c r="E212" i="15"/>
  <c r="D212" i="15"/>
  <c r="K209" i="15"/>
  <c r="J209" i="15"/>
  <c r="I209" i="15"/>
  <c r="H209" i="15"/>
  <c r="G209" i="15"/>
  <c r="F209" i="15"/>
  <c r="E209" i="15"/>
  <c r="D209" i="15"/>
  <c r="K208" i="15"/>
  <c r="J208" i="15"/>
  <c r="I208" i="15"/>
  <c r="H208" i="15"/>
  <c r="G208" i="15"/>
  <c r="F208" i="15"/>
  <c r="E208" i="15"/>
  <c r="D208" i="15"/>
  <c r="K207" i="15"/>
  <c r="J207" i="15"/>
  <c r="I207" i="15"/>
  <c r="H207" i="15"/>
  <c r="G207" i="15"/>
  <c r="F207" i="15"/>
  <c r="E207" i="15"/>
  <c r="D207" i="15"/>
  <c r="K206" i="15"/>
  <c r="J206" i="15"/>
  <c r="I206" i="15"/>
  <c r="H206" i="15"/>
  <c r="G206" i="15"/>
  <c r="F206" i="15"/>
  <c r="E206" i="15"/>
  <c r="D206" i="15"/>
  <c r="K203" i="15"/>
  <c r="J203" i="15"/>
  <c r="I203" i="15"/>
  <c r="H203" i="15"/>
  <c r="G203" i="15"/>
  <c r="F203" i="15"/>
  <c r="E203" i="15"/>
  <c r="D203" i="15"/>
  <c r="K202" i="15"/>
  <c r="J202" i="15"/>
  <c r="I202" i="15"/>
  <c r="H202" i="15"/>
  <c r="G202" i="15"/>
  <c r="F202" i="15"/>
  <c r="E202" i="15"/>
  <c r="D202" i="15"/>
  <c r="K201" i="15"/>
  <c r="J201" i="15"/>
  <c r="I201" i="15"/>
  <c r="H201" i="15"/>
  <c r="G201" i="15"/>
  <c r="F201" i="15"/>
  <c r="E201" i="15"/>
  <c r="D201" i="15"/>
  <c r="K200" i="15"/>
  <c r="J200" i="15"/>
  <c r="I200" i="15"/>
  <c r="H200" i="15"/>
  <c r="G200" i="15"/>
  <c r="F200" i="15"/>
  <c r="E200" i="15"/>
  <c r="D200" i="15"/>
  <c r="K199" i="15"/>
  <c r="J199" i="15"/>
  <c r="I199" i="15"/>
  <c r="H199" i="15"/>
  <c r="G199" i="15"/>
  <c r="F199" i="15"/>
  <c r="E199" i="15"/>
  <c r="D199" i="15"/>
  <c r="K197" i="15"/>
  <c r="J197" i="15"/>
  <c r="I197" i="15"/>
  <c r="H197" i="15"/>
  <c r="G197" i="15"/>
  <c r="F197" i="15"/>
  <c r="E197" i="15"/>
  <c r="D197" i="15"/>
  <c r="K196" i="15"/>
  <c r="J196" i="15"/>
  <c r="I196" i="15"/>
  <c r="H196" i="15"/>
  <c r="G196" i="15"/>
  <c r="F196" i="15"/>
  <c r="E196" i="15"/>
  <c r="D196" i="15"/>
  <c r="K195" i="15"/>
  <c r="J195" i="15"/>
  <c r="I195" i="15"/>
  <c r="H195" i="15"/>
  <c r="G195" i="15"/>
  <c r="F195" i="15"/>
  <c r="E195" i="15"/>
  <c r="D195" i="15"/>
  <c r="K194" i="15"/>
  <c r="J194" i="15"/>
  <c r="I194" i="15"/>
  <c r="H194" i="15"/>
  <c r="G194" i="15"/>
  <c r="F194" i="15"/>
  <c r="E194" i="15"/>
  <c r="D194" i="15"/>
  <c r="K192" i="15"/>
  <c r="J192" i="15"/>
  <c r="I192" i="15"/>
  <c r="H192" i="15"/>
  <c r="G192" i="15"/>
  <c r="F192" i="15"/>
  <c r="E192" i="15"/>
  <c r="D192" i="15"/>
  <c r="K191" i="15"/>
  <c r="J191" i="15"/>
  <c r="I191" i="15"/>
  <c r="H191" i="15"/>
  <c r="G191" i="15"/>
  <c r="F191" i="15"/>
  <c r="E191" i="15"/>
  <c r="D191" i="15"/>
  <c r="K190" i="15"/>
  <c r="J190" i="15"/>
  <c r="I190" i="15"/>
  <c r="H190" i="15"/>
  <c r="G190" i="15"/>
  <c r="F190" i="15"/>
  <c r="E190" i="15"/>
  <c r="D190" i="15"/>
  <c r="K189" i="15"/>
  <c r="J189" i="15"/>
  <c r="I189" i="15"/>
  <c r="H189" i="15"/>
  <c r="G189" i="15"/>
  <c r="F189" i="15"/>
  <c r="E189" i="15"/>
  <c r="D189" i="15"/>
  <c r="K187" i="15"/>
  <c r="J187" i="15"/>
  <c r="I187" i="15"/>
  <c r="H187" i="15"/>
  <c r="G187" i="15"/>
  <c r="F187" i="15"/>
  <c r="E187" i="15"/>
  <c r="D187" i="15"/>
  <c r="K186" i="15"/>
  <c r="J186" i="15"/>
  <c r="I186" i="15"/>
  <c r="H186" i="15"/>
  <c r="G186" i="15"/>
  <c r="F186" i="15"/>
  <c r="E186" i="15"/>
  <c r="D186" i="15"/>
  <c r="K185" i="15"/>
  <c r="J185" i="15"/>
  <c r="I185" i="15"/>
  <c r="H185" i="15"/>
  <c r="G185" i="15"/>
  <c r="F185" i="15"/>
  <c r="E185" i="15"/>
  <c r="D185" i="15"/>
  <c r="K184" i="15"/>
  <c r="J184" i="15"/>
  <c r="I184" i="15"/>
  <c r="H184" i="15"/>
  <c r="G184" i="15"/>
  <c r="F184" i="15"/>
  <c r="E184" i="15"/>
  <c r="D184" i="15"/>
  <c r="K182" i="15"/>
  <c r="J182" i="15"/>
  <c r="I182" i="15"/>
  <c r="H182" i="15"/>
  <c r="G182" i="15"/>
  <c r="F182" i="15"/>
  <c r="E182" i="15"/>
  <c r="D182" i="15"/>
  <c r="K181" i="15"/>
  <c r="J181" i="15"/>
  <c r="I181" i="15"/>
  <c r="H181" i="15"/>
  <c r="G181" i="15"/>
  <c r="F181" i="15"/>
  <c r="E181" i="15"/>
  <c r="D181" i="15"/>
  <c r="K180" i="15"/>
  <c r="J180" i="15"/>
  <c r="I180" i="15"/>
  <c r="H180" i="15"/>
  <c r="G180" i="15"/>
  <c r="F180" i="15"/>
  <c r="E180" i="15"/>
  <c r="D180" i="15"/>
  <c r="K179" i="15"/>
  <c r="J179" i="15"/>
  <c r="I179" i="15"/>
  <c r="H179" i="15"/>
  <c r="G179" i="15"/>
  <c r="F179" i="15"/>
  <c r="E179" i="15"/>
  <c r="D179" i="15"/>
  <c r="K178" i="15"/>
  <c r="J178" i="15"/>
  <c r="I178" i="15"/>
  <c r="H178" i="15"/>
  <c r="G178" i="15"/>
  <c r="F178" i="15"/>
  <c r="E178" i="15"/>
  <c r="D178" i="15"/>
  <c r="K177" i="15"/>
  <c r="J177" i="15"/>
  <c r="I177" i="15"/>
  <c r="H177" i="15"/>
  <c r="G177" i="15"/>
  <c r="F177" i="15"/>
  <c r="E177" i="15"/>
  <c r="D177" i="15"/>
  <c r="K175" i="15"/>
  <c r="J175" i="15"/>
  <c r="I175" i="15"/>
  <c r="H175" i="15"/>
  <c r="G175" i="15"/>
  <c r="F175" i="15"/>
  <c r="E175" i="15"/>
  <c r="D175" i="15"/>
  <c r="K174" i="15"/>
  <c r="J174" i="15"/>
  <c r="I174" i="15"/>
  <c r="H174" i="15"/>
  <c r="G174" i="15"/>
  <c r="F174" i="15"/>
  <c r="E174" i="15"/>
  <c r="D174" i="15"/>
  <c r="K173" i="15"/>
  <c r="J173" i="15"/>
  <c r="I173" i="15"/>
  <c r="H173" i="15"/>
  <c r="G173" i="15"/>
  <c r="F173" i="15"/>
  <c r="E173" i="15"/>
  <c r="D173" i="15"/>
  <c r="K172" i="15"/>
  <c r="J172" i="15"/>
  <c r="I172" i="15"/>
  <c r="H172" i="15"/>
  <c r="G172" i="15"/>
  <c r="F172" i="15"/>
  <c r="E172" i="15"/>
  <c r="D172" i="15"/>
  <c r="K171" i="15"/>
  <c r="J171" i="15"/>
  <c r="I171" i="15"/>
  <c r="H171" i="15"/>
  <c r="G171" i="15"/>
  <c r="F171" i="15"/>
  <c r="E171" i="15"/>
  <c r="D171" i="15"/>
  <c r="K170" i="15"/>
  <c r="J170" i="15"/>
  <c r="I170" i="15"/>
  <c r="H170" i="15"/>
  <c r="G170" i="15"/>
  <c r="F170" i="15"/>
  <c r="E170" i="15"/>
  <c r="D170" i="15"/>
  <c r="K169" i="15"/>
  <c r="J169" i="15"/>
  <c r="I169" i="15"/>
  <c r="H169" i="15"/>
  <c r="G169" i="15"/>
  <c r="F169" i="15"/>
  <c r="E169" i="15"/>
  <c r="D169" i="15"/>
  <c r="K168" i="15"/>
  <c r="J168" i="15"/>
  <c r="I168" i="15"/>
  <c r="H168" i="15"/>
  <c r="G168" i="15"/>
  <c r="F168" i="15"/>
  <c r="E168" i="15"/>
  <c r="D168" i="15"/>
  <c r="K167" i="15"/>
  <c r="J167" i="15"/>
  <c r="I167" i="15"/>
  <c r="H167" i="15"/>
  <c r="G167" i="15"/>
  <c r="F167" i="15"/>
  <c r="E167" i="15"/>
  <c r="D167" i="15"/>
  <c r="K165" i="15"/>
  <c r="J165" i="15"/>
  <c r="I165" i="15"/>
  <c r="H165" i="15"/>
  <c r="G165" i="15"/>
  <c r="F165" i="15"/>
  <c r="E165" i="15"/>
  <c r="D165" i="15"/>
  <c r="K164" i="15"/>
  <c r="J164" i="15"/>
  <c r="I164" i="15"/>
  <c r="H164" i="15"/>
  <c r="G164" i="15"/>
  <c r="F164" i="15"/>
  <c r="E164" i="15"/>
  <c r="D164" i="15"/>
  <c r="K163" i="15"/>
  <c r="J163" i="15"/>
  <c r="I163" i="15"/>
  <c r="H163" i="15"/>
  <c r="G163" i="15"/>
  <c r="F163" i="15"/>
  <c r="E163" i="15"/>
  <c r="D163" i="15"/>
  <c r="K162" i="15"/>
  <c r="J162" i="15"/>
  <c r="I162" i="15"/>
  <c r="H162" i="15"/>
  <c r="G162" i="15"/>
  <c r="F162" i="15"/>
  <c r="E162" i="15"/>
  <c r="D162" i="15"/>
  <c r="K161" i="15"/>
  <c r="J161" i="15"/>
  <c r="I161" i="15"/>
  <c r="H161" i="15"/>
  <c r="G161" i="15"/>
  <c r="F161" i="15"/>
  <c r="E161" i="15"/>
  <c r="D161" i="15"/>
  <c r="K160" i="15"/>
  <c r="J160" i="15"/>
  <c r="I160" i="15"/>
  <c r="H160" i="15"/>
  <c r="G160" i="15"/>
  <c r="F160" i="15"/>
  <c r="E160" i="15"/>
  <c r="D160" i="15"/>
  <c r="K159" i="15"/>
  <c r="J159" i="15"/>
  <c r="I159" i="15"/>
  <c r="H159" i="15"/>
  <c r="G159" i="15"/>
  <c r="F159" i="15"/>
  <c r="E159" i="15"/>
  <c r="D159" i="15"/>
  <c r="K158" i="15"/>
  <c r="J158" i="15"/>
  <c r="I158" i="15"/>
  <c r="H158" i="15"/>
  <c r="G158" i="15"/>
  <c r="F158" i="15"/>
  <c r="E158" i="15"/>
  <c r="D158" i="15"/>
  <c r="K157" i="15"/>
  <c r="J157" i="15"/>
  <c r="I157" i="15"/>
  <c r="H157" i="15"/>
  <c r="G157" i="15"/>
  <c r="F157" i="15"/>
  <c r="E157" i="15"/>
  <c r="D157" i="15"/>
  <c r="K156" i="15"/>
  <c r="J156" i="15"/>
  <c r="I156" i="15"/>
  <c r="H156" i="15"/>
  <c r="G156" i="15"/>
  <c r="F156" i="15"/>
  <c r="E156" i="15"/>
  <c r="D156" i="15"/>
  <c r="K155" i="15"/>
  <c r="J155" i="15"/>
  <c r="I155" i="15"/>
  <c r="H155" i="15"/>
  <c r="G155" i="15"/>
  <c r="F155" i="15"/>
  <c r="E155" i="15"/>
  <c r="D155" i="15"/>
  <c r="K154" i="15"/>
  <c r="J154" i="15"/>
  <c r="I154" i="15"/>
  <c r="H154" i="15"/>
  <c r="G154" i="15"/>
  <c r="F154" i="15"/>
  <c r="E154" i="15"/>
  <c r="D154" i="15"/>
  <c r="K153" i="15"/>
  <c r="J153" i="15"/>
  <c r="I153" i="15"/>
  <c r="G153" i="15"/>
  <c r="F153" i="15"/>
  <c r="E153" i="15"/>
  <c r="D153" i="15"/>
  <c r="K143" i="15"/>
  <c r="J143" i="15"/>
  <c r="I143" i="15"/>
  <c r="H143" i="15"/>
  <c r="G143" i="15"/>
  <c r="F143" i="15"/>
  <c r="E143" i="15"/>
  <c r="D143" i="15"/>
  <c r="K142" i="15"/>
  <c r="J142" i="15"/>
  <c r="I142" i="15"/>
  <c r="H142" i="15"/>
  <c r="G142" i="15"/>
  <c r="F142" i="15"/>
  <c r="E142" i="15"/>
  <c r="D142" i="15"/>
  <c r="K141" i="15"/>
  <c r="J141" i="15"/>
  <c r="I141" i="15"/>
  <c r="H141" i="15"/>
  <c r="G141" i="15"/>
  <c r="F141" i="15"/>
  <c r="E141" i="15"/>
  <c r="D141" i="15"/>
  <c r="K138" i="15"/>
  <c r="J138" i="15"/>
  <c r="I138" i="15"/>
  <c r="H138" i="15"/>
  <c r="G138" i="15"/>
  <c r="F138" i="15"/>
  <c r="E138" i="15"/>
  <c r="D138" i="15"/>
  <c r="K137" i="15"/>
  <c r="J137" i="15"/>
  <c r="I137" i="15"/>
  <c r="H137" i="15"/>
  <c r="G137" i="15"/>
  <c r="F137" i="15"/>
  <c r="E137" i="15"/>
  <c r="D137" i="15"/>
  <c r="K136" i="15"/>
  <c r="J136" i="15"/>
  <c r="I136" i="15"/>
  <c r="H136" i="15"/>
  <c r="G136" i="15"/>
  <c r="F136" i="15"/>
  <c r="E136" i="15"/>
  <c r="D136" i="15"/>
  <c r="K133" i="15"/>
  <c r="J133" i="15"/>
  <c r="I133" i="15"/>
  <c r="H133" i="15"/>
  <c r="G133" i="15"/>
  <c r="F133" i="15"/>
  <c r="E133" i="15"/>
  <c r="D133" i="15"/>
  <c r="K132" i="15"/>
  <c r="J132" i="15"/>
  <c r="I132" i="15"/>
  <c r="H132" i="15"/>
  <c r="G132" i="15"/>
  <c r="F132" i="15"/>
  <c r="E132" i="15"/>
  <c r="D132" i="15"/>
  <c r="K131" i="15"/>
  <c r="J131" i="15"/>
  <c r="I131" i="15"/>
  <c r="H131" i="15"/>
  <c r="G131" i="15"/>
  <c r="F131" i="15"/>
  <c r="E131" i="15"/>
  <c r="D131" i="15"/>
  <c r="K128" i="15"/>
  <c r="J128" i="15"/>
  <c r="I128" i="15"/>
  <c r="H128" i="15"/>
  <c r="G128" i="15"/>
  <c r="F128" i="15"/>
  <c r="E128" i="15"/>
  <c r="D128" i="15"/>
  <c r="K127" i="15"/>
  <c r="J127" i="15"/>
  <c r="I127" i="15"/>
  <c r="H127" i="15"/>
  <c r="G127" i="15"/>
  <c r="F127" i="15"/>
  <c r="E127" i="15"/>
  <c r="D127" i="15"/>
  <c r="K126" i="15"/>
  <c r="J126" i="15"/>
  <c r="I126" i="15"/>
  <c r="H126" i="15"/>
  <c r="G126" i="15"/>
  <c r="F126" i="15"/>
  <c r="E126" i="15"/>
  <c r="D126" i="15"/>
  <c r="K98" i="15"/>
  <c r="J98" i="15"/>
  <c r="I98" i="15"/>
  <c r="H98" i="15"/>
  <c r="G98" i="15"/>
  <c r="F98" i="15"/>
  <c r="E98" i="15"/>
  <c r="D98" i="15"/>
  <c r="K87" i="15"/>
  <c r="J87" i="15"/>
  <c r="I87" i="15"/>
  <c r="H87" i="15"/>
  <c r="G87" i="15"/>
  <c r="F87" i="15"/>
  <c r="E87" i="15"/>
  <c r="D87" i="15"/>
  <c r="K86" i="15"/>
  <c r="J86" i="15"/>
  <c r="I86" i="15"/>
  <c r="H86" i="15"/>
  <c r="G86" i="15"/>
  <c r="F86" i="15"/>
  <c r="E86" i="15"/>
  <c r="D86" i="15"/>
  <c r="K85" i="15"/>
  <c r="J85" i="15"/>
  <c r="I85" i="15"/>
  <c r="H85" i="15"/>
  <c r="G85" i="15"/>
  <c r="F85" i="15"/>
  <c r="E85" i="15"/>
  <c r="D85" i="15"/>
  <c r="K81" i="15"/>
  <c r="J81" i="15"/>
  <c r="I81" i="15"/>
  <c r="H81" i="15"/>
  <c r="G81" i="15"/>
  <c r="F81" i="15"/>
  <c r="E81" i="15"/>
  <c r="D81" i="15"/>
  <c r="K80" i="15"/>
  <c r="J80" i="15"/>
  <c r="I80" i="15"/>
  <c r="H80" i="15"/>
  <c r="G80" i="15"/>
  <c r="F80" i="15"/>
  <c r="E80" i="15"/>
  <c r="D80" i="15"/>
  <c r="K79" i="15"/>
  <c r="J79" i="15"/>
  <c r="I79" i="15"/>
  <c r="H79" i="15"/>
  <c r="G79" i="15"/>
  <c r="F79" i="15"/>
  <c r="E79" i="15"/>
  <c r="D79" i="15"/>
  <c r="K75" i="15"/>
  <c r="J75" i="15"/>
  <c r="I75" i="15"/>
  <c r="H75" i="15"/>
  <c r="G75" i="15"/>
  <c r="F75" i="15"/>
  <c r="E75" i="15"/>
  <c r="D75" i="15"/>
  <c r="K74" i="15"/>
  <c r="J74" i="15"/>
  <c r="I74" i="15"/>
  <c r="H74" i="15"/>
  <c r="G74" i="15"/>
  <c r="F74" i="15"/>
  <c r="E74" i="15"/>
  <c r="D74" i="15"/>
  <c r="K73" i="15"/>
  <c r="J73" i="15"/>
  <c r="I73" i="15"/>
  <c r="H73" i="15"/>
  <c r="G73" i="15"/>
  <c r="F73" i="15"/>
  <c r="E73" i="15"/>
  <c r="D73" i="15"/>
  <c r="K69" i="15"/>
  <c r="J69" i="15"/>
  <c r="I69" i="15"/>
  <c r="H69" i="15"/>
  <c r="G69" i="15"/>
  <c r="F69" i="15"/>
  <c r="E69" i="15"/>
  <c r="D69" i="15"/>
  <c r="K68" i="15"/>
  <c r="J68" i="15"/>
  <c r="I68" i="15"/>
  <c r="H68" i="15"/>
  <c r="G68" i="15"/>
  <c r="F68" i="15"/>
  <c r="E68" i="15"/>
  <c r="D68" i="15"/>
  <c r="K67" i="15"/>
  <c r="J67" i="15"/>
  <c r="I67" i="15"/>
  <c r="H67" i="15"/>
  <c r="G67" i="15"/>
  <c r="F67" i="15"/>
  <c r="E67" i="15"/>
  <c r="D67" i="15"/>
  <c r="K56" i="15"/>
  <c r="J56" i="15"/>
  <c r="I56" i="15"/>
  <c r="H56" i="15"/>
  <c r="G56" i="15"/>
  <c r="F56" i="15"/>
  <c r="E56" i="15"/>
  <c r="D56" i="15"/>
  <c r="K55" i="15"/>
  <c r="J55" i="15"/>
  <c r="I55" i="15"/>
  <c r="H55" i="15"/>
  <c r="G55" i="15"/>
  <c r="F55" i="15"/>
  <c r="E55" i="15"/>
  <c r="D55" i="15"/>
  <c r="K54" i="15"/>
  <c r="J54" i="15"/>
  <c r="I54" i="15"/>
  <c r="H54" i="15"/>
  <c r="G54" i="15"/>
  <c r="F54" i="15"/>
  <c r="E54" i="15"/>
  <c r="D54" i="15"/>
  <c r="K51" i="15"/>
  <c r="J51" i="15"/>
  <c r="I51" i="15"/>
  <c r="H51" i="15"/>
  <c r="G51" i="15"/>
  <c r="F51" i="15"/>
  <c r="E51" i="15"/>
  <c r="D51" i="15"/>
  <c r="K50" i="15"/>
  <c r="J50" i="15"/>
  <c r="I50" i="15"/>
  <c r="H50" i="15"/>
  <c r="G50" i="15"/>
  <c r="F50" i="15"/>
  <c r="E50" i="15"/>
  <c r="D50" i="15"/>
  <c r="K49" i="15"/>
  <c r="J49" i="15"/>
  <c r="I49" i="15"/>
  <c r="H49" i="15"/>
  <c r="G49" i="15"/>
  <c r="F49" i="15"/>
  <c r="E49" i="15"/>
  <c r="D49" i="15"/>
  <c r="H139" i="15" l="1"/>
  <c r="G139" i="15"/>
  <c r="K247" i="15"/>
  <c r="H145" i="15"/>
  <c r="I145" i="15"/>
  <c r="L72" i="15"/>
  <c r="E145" i="15"/>
  <c r="G90" i="15"/>
  <c r="G145" i="15"/>
  <c r="G148" i="15"/>
  <c r="J139" i="15"/>
  <c r="I139" i="15"/>
  <c r="E247" i="15"/>
  <c r="K92" i="15"/>
  <c r="J247" i="15"/>
  <c r="I93" i="15"/>
  <c r="L245" i="15"/>
  <c r="G111" i="15"/>
  <c r="L246" i="15"/>
  <c r="E134" i="15"/>
  <c r="F247" i="15"/>
  <c r="H111" i="15"/>
  <c r="D247" i="15"/>
  <c r="H263" i="15"/>
  <c r="D145" i="15"/>
  <c r="E90" i="15"/>
  <c r="J90" i="15"/>
  <c r="G247" i="15"/>
  <c r="H90" i="15"/>
  <c r="F145" i="15"/>
  <c r="H247" i="15"/>
  <c r="K144" i="15"/>
  <c r="F92" i="15"/>
  <c r="D111" i="15"/>
  <c r="I91" i="15"/>
  <c r="G92" i="15"/>
  <c r="K148" i="15"/>
  <c r="K139" i="15"/>
  <c r="K90" i="15"/>
  <c r="D117" i="15"/>
  <c r="K147" i="15"/>
  <c r="H91" i="15"/>
  <c r="J91" i="15"/>
  <c r="F90" i="15"/>
  <c r="K145" i="15"/>
  <c r="J117" i="15"/>
  <c r="J111" i="15"/>
  <c r="I92" i="15"/>
  <c r="G93" i="15"/>
  <c r="E148" i="15"/>
  <c r="E139" i="15"/>
  <c r="G91" i="15"/>
  <c r="I111" i="15"/>
  <c r="H117" i="15"/>
  <c r="E263" i="15"/>
  <c r="G117" i="15"/>
  <c r="L66" i="15"/>
  <c r="K111" i="15"/>
  <c r="K91" i="15"/>
  <c r="L84" i="15"/>
  <c r="K93" i="15"/>
  <c r="K263" i="15"/>
  <c r="K134" i="15"/>
  <c r="K105" i="15"/>
  <c r="K117" i="15"/>
  <c r="J148" i="15"/>
  <c r="J144" i="15"/>
  <c r="J147" i="15"/>
  <c r="J134" i="15"/>
  <c r="J105" i="15"/>
  <c r="J92" i="15"/>
  <c r="J93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L103" i="15"/>
  <c r="E91" i="15"/>
  <c r="F111" i="15"/>
  <c r="E111" i="15"/>
  <c r="L108" i="15"/>
  <c r="L110" i="15"/>
  <c r="L109" i="15"/>
  <c r="L102" i="15"/>
  <c r="L101" i="15"/>
  <c r="L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K146" i="15"/>
  <c r="K129" i="15"/>
  <c r="J146" i="15"/>
  <c r="G144" i="15"/>
  <c r="G147" i="15"/>
  <c r="G134" i="15"/>
  <c r="G146" i="15"/>
  <c r="E144" i="15"/>
  <c r="E129" i="15"/>
  <c r="E146" i="15"/>
  <c r="L114" i="15"/>
  <c r="L116" i="15"/>
  <c r="E117" i="15"/>
  <c r="E93" i="15"/>
  <c r="E92" i="15"/>
  <c r="L68" i="15"/>
  <c r="L75" i="15"/>
  <c r="L85" i="15"/>
  <c r="L79" i="15"/>
  <c r="L86" i="15"/>
  <c r="L73" i="15"/>
  <c r="L80" i="15"/>
  <c r="L87" i="15"/>
  <c r="L67" i="15"/>
  <c r="L74" i="15"/>
  <c r="L81" i="15"/>
  <c r="D263" i="15"/>
  <c r="D129" i="15"/>
  <c r="D144" i="15"/>
  <c r="D139" i="15"/>
  <c r="D148" i="15"/>
  <c r="D147" i="15"/>
  <c r="D134" i="15"/>
  <c r="D146" i="15"/>
  <c r="D93" i="15"/>
  <c r="D91" i="15"/>
  <c r="D92" i="15"/>
  <c r="L69" i="15"/>
  <c r="L115" i="15"/>
  <c r="L113" i="15"/>
  <c r="L107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K29" i="15"/>
  <c r="J29" i="15"/>
  <c r="I29" i="15"/>
  <c r="H29" i="15"/>
  <c r="G29" i="15"/>
  <c r="K20" i="15"/>
  <c r="K19" i="15"/>
  <c r="K18" i="15"/>
  <c r="K17" i="15"/>
  <c r="K12" i="15"/>
  <c r="K13" i="15"/>
  <c r="K14" i="15"/>
  <c r="K11" i="15"/>
  <c r="K9" i="15"/>
  <c r="J20" i="15"/>
  <c r="J19" i="15"/>
  <c r="J18" i="15"/>
  <c r="J17" i="15"/>
  <c r="J12" i="15"/>
  <c r="J13" i="15"/>
  <c r="J14" i="15"/>
  <c r="J11" i="15"/>
  <c r="J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I94" i="15" l="1"/>
  <c r="D118" i="15"/>
  <c r="F118" i="15"/>
  <c r="E118" i="15"/>
  <c r="F94" i="15"/>
  <c r="F95" i="15" s="1"/>
  <c r="G118" i="15"/>
  <c r="H118" i="15"/>
  <c r="K94" i="15"/>
  <c r="K95" i="15" s="1"/>
  <c r="I118" i="15"/>
  <c r="J94" i="15"/>
  <c r="J95" i="15" s="1"/>
  <c r="L91" i="15"/>
  <c r="G94" i="15"/>
  <c r="G95" i="15" s="1"/>
  <c r="J118" i="15"/>
  <c r="H94" i="15"/>
  <c r="H95" i="15" s="1"/>
  <c r="K149" i="15"/>
  <c r="E21" i="15"/>
  <c r="K118" i="15"/>
  <c r="H149" i="15"/>
  <c r="G149" i="15"/>
  <c r="F149" i="15"/>
  <c r="E149" i="15"/>
  <c r="L105" i="15"/>
  <c r="E94" i="15"/>
  <c r="E95" i="15" s="1"/>
  <c r="L111" i="15"/>
  <c r="L92" i="15"/>
  <c r="I149" i="15"/>
  <c r="L117" i="15"/>
  <c r="L93" i="15"/>
  <c r="L88" i="15"/>
  <c r="L89" i="15" s="1"/>
  <c r="D149" i="15"/>
  <c r="D89" i="15"/>
  <c r="D94" i="15"/>
  <c r="L94" i="15" l="1"/>
  <c r="J256" i="15" l="1"/>
  <c r="I256" i="15"/>
  <c r="H256" i="15"/>
  <c r="J255" i="15" l="1"/>
  <c r="H255" i="15"/>
  <c r="G256" i="15" l="1"/>
  <c r="G255" i="15" l="1"/>
  <c r="F256" i="15" l="1"/>
  <c r="F255" i="15" l="1"/>
  <c r="E83" i="15"/>
  <c r="E256" i="15"/>
  <c r="E255" i="15" l="1"/>
  <c r="D256" i="15" l="1"/>
  <c r="J45" i="1"/>
  <c r="K144" i="11" l="1"/>
  <c r="P88" i="1"/>
  <c r="K256" i="15" l="1"/>
  <c r="K255" i="15" l="1"/>
  <c r="J236" i="1" l="1"/>
  <c r="K236" i="1"/>
  <c r="L236" i="1"/>
  <c r="M236" i="1"/>
  <c r="N236" i="1"/>
  <c r="K61" i="13" l="1"/>
  <c r="J61" i="13"/>
  <c r="I61" i="13"/>
  <c r="H61" i="13"/>
  <c r="G61" i="13"/>
  <c r="F61" i="13"/>
  <c r="E61" i="13"/>
  <c r="D61" i="13"/>
  <c r="L61" i="13" l="1"/>
  <c r="I83" i="1"/>
  <c r="J78" i="1" l="1"/>
  <c r="D78" i="15" s="1"/>
  <c r="I83" i="11"/>
  <c r="J90" i="1" l="1"/>
  <c r="J95" i="1" s="1"/>
  <c r="J255" i="1" s="1"/>
  <c r="J78" i="11"/>
  <c r="I259" i="1"/>
  <c r="I255" i="11"/>
  <c r="D90" i="15"/>
  <c r="J259" i="1" l="1"/>
  <c r="J255" i="11"/>
  <c r="D95" i="15"/>
  <c r="J125" i="15" l="1"/>
  <c r="J129" i="15" l="1"/>
  <c r="J145" i="15"/>
  <c r="J149" i="15" s="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O134" i="11"/>
  <c r="L146" i="11"/>
  <c r="K145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M204" i="11"/>
  <c r="I204" i="11"/>
  <c r="K216" i="11"/>
  <c r="O263" i="11"/>
  <c r="O193" i="11"/>
  <c r="O148" i="11"/>
  <c r="O145" i="11"/>
  <c r="O139" i="11"/>
  <c r="O216" i="11"/>
  <c r="O236" i="11"/>
  <c r="N263" i="11"/>
  <c r="N193" i="11"/>
  <c r="N147" i="11"/>
  <c r="N139" i="11"/>
  <c r="N148" i="11"/>
  <c r="N146" i="11"/>
  <c r="N145" i="11"/>
  <c r="N134" i="11"/>
  <c r="N129" i="11"/>
  <c r="O117" i="11"/>
  <c r="O93" i="11"/>
  <c r="N93" i="11"/>
  <c r="N92" i="11"/>
  <c r="N91" i="1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93" i="11"/>
  <c r="M92" i="11"/>
  <c r="M236" i="11"/>
  <c r="M216" i="11"/>
  <c r="L263" i="11"/>
  <c r="L129" i="11"/>
  <c r="L134" i="11"/>
  <c r="L236" i="11"/>
  <c r="L216" i="11"/>
  <c r="L204" i="11"/>
  <c r="L193" i="11"/>
  <c r="L117" i="11"/>
  <c r="L91" i="11"/>
  <c r="L258" i="11" s="1"/>
  <c r="L92" i="11"/>
  <c r="L93" i="11"/>
  <c r="K263" i="11"/>
  <c r="K193" i="11"/>
  <c r="L139" i="11"/>
  <c r="K134" i="11"/>
  <c r="K129" i="11"/>
  <c r="K139" i="11"/>
  <c r="K117" i="11"/>
  <c r="K91" i="11"/>
  <c r="K258" i="11" s="1"/>
  <c r="K92" i="11"/>
  <c r="K93" i="11"/>
  <c r="J263" i="11"/>
  <c r="J204" i="11"/>
  <c r="J134" i="11"/>
  <c r="J129" i="11"/>
  <c r="J93" i="11"/>
  <c r="J92" i="11"/>
  <c r="J91" i="11"/>
  <c r="J258" i="11" s="1"/>
  <c r="J139" i="11"/>
  <c r="J193" i="11"/>
  <c r="K236" i="11"/>
  <c r="J236" i="11"/>
  <c r="J216" i="11"/>
  <c r="I247" i="11"/>
  <c r="J117" i="11"/>
  <c r="I129" i="11"/>
  <c r="I134" i="11"/>
  <c r="I263" i="11"/>
  <c r="I193" i="11"/>
  <c r="I139" i="11"/>
  <c r="I117" i="11"/>
  <c r="I91" i="11"/>
  <c r="I258" i="11" s="1"/>
  <c r="I92" i="11"/>
  <c r="I93" i="11"/>
  <c r="O91" i="11"/>
  <c r="O92" i="11"/>
  <c r="M91" i="11"/>
  <c r="M258" i="11" s="1"/>
  <c r="K262" i="13"/>
  <c r="J262" i="13"/>
  <c r="I262" i="13"/>
  <c r="H262" i="13"/>
  <c r="G262" i="13"/>
  <c r="F262" i="13"/>
  <c r="E262" i="13"/>
  <c r="D262" i="13"/>
  <c r="K261" i="13"/>
  <c r="J261" i="13"/>
  <c r="I261" i="13"/>
  <c r="I263" i="13" s="1"/>
  <c r="H261" i="13"/>
  <c r="G261" i="13"/>
  <c r="F261" i="13"/>
  <c r="E261" i="13"/>
  <c r="D261" i="13"/>
  <c r="K257" i="13"/>
  <c r="J257" i="13"/>
  <c r="I257" i="13"/>
  <c r="H257" i="13"/>
  <c r="G257" i="13"/>
  <c r="F257" i="13"/>
  <c r="E257" i="13"/>
  <c r="D257" i="13"/>
  <c r="K254" i="13"/>
  <c r="J254" i="13"/>
  <c r="I254" i="13"/>
  <c r="H254" i="13"/>
  <c r="G254" i="13"/>
  <c r="F254" i="13"/>
  <c r="E254" i="13"/>
  <c r="D254" i="13"/>
  <c r="K253" i="13"/>
  <c r="J253" i="13"/>
  <c r="I253" i="13"/>
  <c r="H253" i="13"/>
  <c r="G253" i="13"/>
  <c r="F253" i="13"/>
  <c r="E253" i="13"/>
  <c r="D253" i="13"/>
  <c r="K246" i="13"/>
  <c r="J246" i="13"/>
  <c r="I246" i="13"/>
  <c r="H246" i="13"/>
  <c r="G246" i="13"/>
  <c r="F246" i="13"/>
  <c r="E246" i="13"/>
  <c r="D246" i="13"/>
  <c r="K245" i="13"/>
  <c r="J245" i="13"/>
  <c r="I245" i="13"/>
  <c r="H245" i="13"/>
  <c r="G245" i="13"/>
  <c r="F245" i="13"/>
  <c r="E245" i="13"/>
  <c r="D245" i="13"/>
  <c r="K241" i="13"/>
  <c r="J241" i="13"/>
  <c r="I241" i="13"/>
  <c r="H241" i="13"/>
  <c r="G241" i="13"/>
  <c r="F241" i="13"/>
  <c r="E241" i="13"/>
  <c r="D241" i="13"/>
  <c r="K240" i="13"/>
  <c r="J240" i="13"/>
  <c r="I240" i="13"/>
  <c r="H240" i="13"/>
  <c r="G240" i="13"/>
  <c r="F240" i="13"/>
  <c r="E240" i="13"/>
  <c r="D240" i="13"/>
  <c r="K239" i="13"/>
  <c r="J239" i="13"/>
  <c r="I239" i="13"/>
  <c r="H239" i="13"/>
  <c r="G239" i="13"/>
  <c r="F239" i="13"/>
  <c r="E239" i="13"/>
  <c r="D239" i="13"/>
  <c r="K238" i="13"/>
  <c r="J238" i="13"/>
  <c r="I238" i="13"/>
  <c r="H238" i="13"/>
  <c r="G238" i="13"/>
  <c r="F238" i="13"/>
  <c r="E238" i="13"/>
  <c r="D238" i="13"/>
  <c r="K235" i="13"/>
  <c r="J235" i="13"/>
  <c r="I235" i="13"/>
  <c r="H235" i="13"/>
  <c r="G235" i="13"/>
  <c r="F235" i="13"/>
  <c r="E235" i="13"/>
  <c r="D235" i="13"/>
  <c r="K234" i="13"/>
  <c r="J234" i="13"/>
  <c r="I234" i="13"/>
  <c r="H234" i="13"/>
  <c r="G234" i="13"/>
  <c r="F234" i="13"/>
  <c r="E234" i="13"/>
  <c r="D234" i="13"/>
  <c r="K233" i="13"/>
  <c r="J233" i="13"/>
  <c r="I233" i="13"/>
  <c r="H233" i="13"/>
  <c r="G233" i="13"/>
  <c r="F233" i="13"/>
  <c r="E233" i="13"/>
  <c r="D233" i="13"/>
  <c r="K232" i="13"/>
  <c r="J232" i="13"/>
  <c r="I232" i="13"/>
  <c r="H232" i="13"/>
  <c r="G232" i="13"/>
  <c r="F232" i="13"/>
  <c r="E232" i="13"/>
  <c r="D232" i="13"/>
  <c r="K228" i="13"/>
  <c r="J228" i="13"/>
  <c r="I228" i="13"/>
  <c r="H228" i="13"/>
  <c r="G228" i="13"/>
  <c r="F228" i="13"/>
  <c r="E228" i="13"/>
  <c r="D228" i="13"/>
  <c r="K227" i="13"/>
  <c r="J227" i="13"/>
  <c r="I227" i="13"/>
  <c r="H227" i="13"/>
  <c r="G227" i="13"/>
  <c r="F227" i="13"/>
  <c r="E227" i="13"/>
  <c r="D227" i="13"/>
  <c r="K226" i="13"/>
  <c r="J226" i="13"/>
  <c r="I226" i="13"/>
  <c r="H226" i="13"/>
  <c r="G226" i="13"/>
  <c r="F226" i="13"/>
  <c r="E226" i="13"/>
  <c r="D226" i="13"/>
  <c r="K225" i="13"/>
  <c r="J225" i="13"/>
  <c r="I225" i="13"/>
  <c r="H225" i="13"/>
  <c r="G225" i="13"/>
  <c r="F225" i="13"/>
  <c r="E225" i="13"/>
  <c r="D225" i="13"/>
  <c r="K222" i="13"/>
  <c r="J222" i="13"/>
  <c r="I222" i="13"/>
  <c r="H222" i="13"/>
  <c r="G222" i="13"/>
  <c r="F222" i="13"/>
  <c r="E222" i="13"/>
  <c r="D222" i="13"/>
  <c r="K221" i="13"/>
  <c r="J221" i="13"/>
  <c r="I221" i="13"/>
  <c r="H221" i="13"/>
  <c r="G221" i="13"/>
  <c r="F221" i="13"/>
  <c r="E221" i="13"/>
  <c r="D221" i="13"/>
  <c r="K220" i="13"/>
  <c r="J220" i="13"/>
  <c r="I220" i="13"/>
  <c r="H220" i="13"/>
  <c r="G220" i="13"/>
  <c r="F220" i="13"/>
  <c r="E220" i="13"/>
  <c r="D220" i="13"/>
  <c r="K219" i="13"/>
  <c r="J219" i="13"/>
  <c r="I219" i="13"/>
  <c r="H219" i="13"/>
  <c r="G219" i="13"/>
  <c r="F219" i="13"/>
  <c r="E219" i="13"/>
  <c r="D219" i="13"/>
  <c r="K215" i="13"/>
  <c r="J215" i="13"/>
  <c r="I215" i="13"/>
  <c r="H215" i="13"/>
  <c r="G215" i="13"/>
  <c r="F215" i="13"/>
  <c r="E215" i="13"/>
  <c r="D215" i="13"/>
  <c r="K214" i="13"/>
  <c r="J214" i="13"/>
  <c r="I214" i="13"/>
  <c r="H214" i="13"/>
  <c r="G214" i="13"/>
  <c r="F214" i="13"/>
  <c r="E214" i="13"/>
  <c r="D214" i="13"/>
  <c r="K213" i="13"/>
  <c r="J213" i="13"/>
  <c r="I213" i="13"/>
  <c r="H213" i="13"/>
  <c r="G213" i="13"/>
  <c r="F213" i="13"/>
  <c r="E213" i="13"/>
  <c r="D213" i="13"/>
  <c r="K212" i="13"/>
  <c r="J212" i="13"/>
  <c r="I212" i="13"/>
  <c r="H212" i="13"/>
  <c r="G212" i="13"/>
  <c r="F212" i="13"/>
  <c r="E212" i="13"/>
  <c r="D212" i="13"/>
  <c r="K209" i="13"/>
  <c r="J209" i="13"/>
  <c r="I209" i="13"/>
  <c r="H209" i="13"/>
  <c r="G209" i="13"/>
  <c r="F209" i="13"/>
  <c r="E209" i="13"/>
  <c r="D209" i="13"/>
  <c r="K208" i="13"/>
  <c r="J208" i="13"/>
  <c r="I208" i="13"/>
  <c r="H208" i="13"/>
  <c r="G208" i="13"/>
  <c r="F208" i="13"/>
  <c r="E208" i="13"/>
  <c r="D208" i="13"/>
  <c r="K207" i="13"/>
  <c r="J207" i="13"/>
  <c r="I207" i="13"/>
  <c r="H207" i="13"/>
  <c r="G207" i="13"/>
  <c r="F207" i="13"/>
  <c r="E207" i="13"/>
  <c r="D207" i="13"/>
  <c r="K206" i="13"/>
  <c r="J206" i="13"/>
  <c r="I206" i="13"/>
  <c r="H206" i="13"/>
  <c r="G206" i="13"/>
  <c r="F206" i="13"/>
  <c r="E206" i="13"/>
  <c r="D206" i="13"/>
  <c r="K203" i="13"/>
  <c r="J203" i="13"/>
  <c r="I203" i="13"/>
  <c r="H203" i="13"/>
  <c r="G203" i="13"/>
  <c r="F203" i="13"/>
  <c r="E203" i="13"/>
  <c r="D203" i="13"/>
  <c r="K202" i="13"/>
  <c r="J202" i="13"/>
  <c r="I202" i="13"/>
  <c r="H202" i="13"/>
  <c r="G202" i="13"/>
  <c r="F202" i="13"/>
  <c r="E202" i="13"/>
  <c r="D202" i="13"/>
  <c r="K201" i="13"/>
  <c r="J201" i="13"/>
  <c r="I201" i="13"/>
  <c r="H201" i="13"/>
  <c r="G201" i="13"/>
  <c r="F201" i="13"/>
  <c r="E201" i="13"/>
  <c r="D201" i="13"/>
  <c r="K200" i="13"/>
  <c r="J200" i="13"/>
  <c r="I200" i="13"/>
  <c r="H200" i="13"/>
  <c r="G200" i="13"/>
  <c r="F200" i="13"/>
  <c r="E200" i="13"/>
  <c r="D200" i="13"/>
  <c r="K199" i="13"/>
  <c r="J199" i="13"/>
  <c r="I199" i="13"/>
  <c r="H199" i="13"/>
  <c r="G199" i="13"/>
  <c r="F199" i="13"/>
  <c r="E199" i="13"/>
  <c r="D199" i="13"/>
  <c r="K197" i="13"/>
  <c r="J197" i="13"/>
  <c r="I197" i="13"/>
  <c r="H197" i="13"/>
  <c r="G197" i="13"/>
  <c r="F197" i="13"/>
  <c r="E197" i="13"/>
  <c r="D197" i="13"/>
  <c r="K196" i="13"/>
  <c r="J196" i="13"/>
  <c r="I196" i="13"/>
  <c r="H196" i="13"/>
  <c r="F196" i="13"/>
  <c r="E196" i="13"/>
  <c r="D196" i="13"/>
  <c r="K195" i="13"/>
  <c r="J195" i="13"/>
  <c r="I195" i="13"/>
  <c r="H195" i="13"/>
  <c r="G195" i="13"/>
  <c r="F195" i="13"/>
  <c r="E195" i="13"/>
  <c r="D195" i="13"/>
  <c r="K194" i="13"/>
  <c r="J194" i="13"/>
  <c r="I194" i="13"/>
  <c r="H194" i="13"/>
  <c r="G194" i="13"/>
  <c r="F194" i="13"/>
  <c r="E194" i="13"/>
  <c r="D194" i="13"/>
  <c r="K192" i="13"/>
  <c r="J192" i="13"/>
  <c r="I192" i="13"/>
  <c r="H192" i="13"/>
  <c r="G192" i="13"/>
  <c r="F192" i="13"/>
  <c r="D192" i="13"/>
  <c r="K191" i="13"/>
  <c r="J191" i="13"/>
  <c r="I191" i="13"/>
  <c r="H191" i="13"/>
  <c r="G191" i="13"/>
  <c r="F191" i="13"/>
  <c r="E191" i="13"/>
  <c r="D191" i="13"/>
  <c r="K190" i="13"/>
  <c r="J190" i="13"/>
  <c r="I190" i="13"/>
  <c r="H190" i="13"/>
  <c r="G190" i="13"/>
  <c r="F190" i="13"/>
  <c r="E190" i="13"/>
  <c r="D190" i="13"/>
  <c r="K189" i="13"/>
  <c r="J189" i="13"/>
  <c r="I189" i="13"/>
  <c r="H189" i="13"/>
  <c r="G189" i="13"/>
  <c r="F189" i="13"/>
  <c r="E189" i="13"/>
  <c r="D189" i="13"/>
  <c r="K187" i="13"/>
  <c r="J187" i="13"/>
  <c r="I187" i="13"/>
  <c r="H187" i="13"/>
  <c r="G187" i="13"/>
  <c r="F187" i="13"/>
  <c r="E187" i="13"/>
  <c r="D187" i="13"/>
  <c r="K186" i="13"/>
  <c r="J186" i="13"/>
  <c r="I186" i="13"/>
  <c r="H186" i="13"/>
  <c r="G186" i="13"/>
  <c r="F186" i="13"/>
  <c r="E186" i="13"/>
  <c r="D186" i="13"/>
  <c r="K185" i="13"/>
  <c r="J185" i="13"/>
  <c r="I185" i="13"/>
  <c r="H185" i="13"/>
  <c r="G185" i="13"/>
  <c r="F185" i="13"/>
  <c r="E185" i="13"/>
  <c r="D185" i="13"/>
  <c r="K184" i="13"/>
  <c r="J184" i="13"/>
  <c r="I184" i="13"/>
  <c r="H184" i="13"/>
  <c r="G184" i="13"/>
  <c r="F184" i="13"/>
  <c r="E184" i="13"/>
  <c r="D184" i="13"/>
  <c r="K182" i="13"/>
  <c r="J182" i="13"/>
  <c r="I182" i="13"/>
  <c r="H182" i="13"/>
  <c r="G182" i="13"/>
  <c r="F182" i="13"/>
  <c r="E182" i="13"/>
  <c r="D182" i="13"/>
  <c r="K181" i="13"/>
  <c r="J181" i="13"/>
  <c r="I181" i="13"/>
  <c r="H181" i="13"/>
  <c r="G181" i="13"/>
  <c r="F181" i="13"/>
  <c r="E181" i="13"/>
  <c r="D181" i="13"/>
  <c r="K180" i="13"/>
  <c r="J180" i="13"/>
  <c r="I180" i="13"/>
  <c r="H180" i="13"/>
  <c r="G180" i="13"/>
  <c r="F180" i="13"/>
  <c r="E180" i="13"/>
  <c r="D180" i="13"/>
  <c r="K179" i="13"/>
  <c r="J179" i="13"/>
  <c r="I179" i="13"/>
  <c r="H179" i="13"/>
  <c r="G179" i="13"/>
  <c r="F179" i="13"/>
  <c r="E179" i="13"/>
  <c r="D179" i="13"/>
  <c r="K178" i="13"/>
  <c r="J178" i="13"/>
  <c r="I178" i="13"/>
  <c r="H178" i="13"/>
  <c r="G178" i="13"/>
  <c r="F178" i="13"/>
  <c r="E178" i="13"/>
  <c r="D178" i="13"/>
  <c r="K177" i="13"/>
  <c r="J177" i="13"/>
  <c r="I177" i="13"/>
  <c r="H177" i="13"/>
  <c r="G177" i="13"/>
  <c r="F177" i="13"/>
  <c r="E177" i="13"/>
  <c r="D177" i="13"/>
  <c r="K175" i="13"/>
  <c r="J175" i="13"/>
  <c r="I175" i="13"/>
  <c r="H175" i="13"/>
  <c r="G175" i="13"/>
  <c r="F175" i="13"/>
  <c r="E175" i="13"/>
  <c r="D175" i="13"/>
  <c r="K174" i="13"/>
  <c r="J174" i="13"/>
  <c r="I174" i="13"/>
  <c r="H174" i="13"/>
  <c r="G174" i="13"/>
  <c r="F174" i="13"/>
  <c r="E174" i="13"/>
  <c r="D174" i="13"/>
  <c r="K173" i="13"/>
  <c r="J173" i="13"/>
  <c r="I173" i="13"/>
  <c r="H173" i="13"/>
  <c r="G173" i="13"/>
  <c r="F173" i="13"/>
  <c r="E173" i="13"/>
  <c r="D173" i="13"/>
  <c r="K172" i="13"/>
  <c r="J172" i="13"/>
  <c r="I172" i="13"/>
  <c r="H172" i="13"/>
  <c r="G172" i="13"/>
  <c r="F172" i="13"/>
  <c r="E172" i="13"/>
  <c r="D172" i="13"/>
  <c r="K171" i="13"/>
  <c r="J171" i="13"/>
  <c r="I171" i="13"/>
  <c r="H171" i="13"/>
  <c r="G171" i="13"/>
  <c r="F171" i="13"/>
  <c r="E171" i="13"/>
  <c r="D171" i="13"/>
  <c r="K170" i="13"/>
  <c r="J170" i="13"/>
  <c r="I170" i="13"/>
  <c r="H170" i="13"/>
  <c r="G170" i="13"/>
  <c r="F170" i="13"/>
  <c r="E170" i="13"/>
  <c r="D170" i="13"/>
  <c r="K169" i="13"/>
  <c r="J169" i="13"/>
  <c r="I169" i="13"/>
  <c r="H169" i="13"/>
  <c r="G169" i="13"/>
  <c r="F169" i="13"/>
  <c r="E169" i="13"/>
  <c r="D169" i="13"/>
  <c r="K168" i="13"/>
  <c r="J168" i="13"/>
  <c r="I168" i="13"/>
  <c r="H168" i="13"/>
  <c r="G168" i="13"/>
  <c r="F168" i="13"/>
  <c r="E168" i="13"/>
  <c r="D168" i="13"/>
  <c r="K167" i="13"/>
  <c r="J167" i="13"/>
  <c r="I167" i="13"/>
  <c r="H167" i="13"/>
  <c r="G167" i="13"/>
  <c r="F167" i="13"/>
  <c r="E167" i="13"/>
  <c r="D167" i="13"/>
  <c r="K165" i="13"/>
  <c r="J165" i="13"/>
  <c r="I165" i="13"/>
  <c r="H165" i="13"/>
  <c r="G165" i="13"/>
  <c r="F165" i="13"/>
  <c r="E165" i="13"/>
  <c r="D165" i="13"/>
  <c r="K164" i="13"/>
  <c r="J164" i="13"/>
  <c r="I164" i="13"/>
  <c r="H164" i="13"/>
  <c r="G164" i="13"/>
  <c r="F164" i="13"/>
  <c r="E164" i="13"/>
  <c r="D164" i="13"/>
  <c r="K163" i="13"/>
  <c r="J163" i="13"/>
  <c r="I163" i="13"/>
  <c r="H163" i="13"/>
  <c r="G163" i="13"/>
  <c r="F163" i="13"/>
  <c r="E163" i="13"/>
  <c r="D163" i="13"/>
  <c r="K162" i="13"/>
  <c r="J162" i="13"/>
  <c r="I162" i="13"/>
  <c r="H162" i="13"/>
  <c r="G162" i="13"/>
  <c r="F162" i="13"/>
  <c r="E162" i="13"/>
  <c r="D162" i="13"/>
  <c r="K161" i="13"/>
  <c r="J161" i="13"/>
  <c r="I161" i="13"/>
  <c r="H161" i="13"/>
  <c r="G161" i="13"/>
  <c r="F161" i="13"/>
  <c r="E161" i="13"/>
  <c r="D161" i="13"/>
  <c r="K160" i="13"/>
  <c r="J160" i="13"/>
  <c r="I160" i="13"/>
  <c r="H160" i="13"/>
  <c r="G160" i="13"/>
  <c r="F160" i="13"/>
  <c r="E160" i="13"/>
  <c r="D160" i="13"/>
  <c r="K159" i="13"/>
  <c r="J159" i="13"/>
  <c r="I159" i="13"/>
  <c r="H159" i="13"/>
  <c r="G159" i="13"/>
  <c r="F159" i="13"/>
  <c r="E159" i="13"/>
  <c r="D159" i="13"/>
  <c r="K158" i="13"/>
  <c r="J158" i="13"/>
  <c r="I158" i="13"/>
  <c r="H158" i="13"/>
  <c r="G158" i="13"/>
  <c r="F158" i="13"/>
  <c r="E158" i="13"/>
  <c r="D158" i="13"/>
  <c r="K157" i="13"/>
  <c r="J157" i="13"/>
  <c r="I157" i="13"/>
  <c r="H157" i="13"/>
  <c r="G157" i="13"/>
  <c r="F157" i="13"/>
  <c r="E157" i="13"/>
  <c r="D157" i="13"/>
  <c r="K156" i="13"/>
  <c r="J156" i="13"/>
  <c r="I156" i="13"/>
  <c r="H156" i="13"/>
  <c r="G156" i="13"/>
  <c r="F156" i="13"/>
  <c r="E156" i="13"/>
  <c r="D156" i="13"/>
  <c r="K155" i="13"/>
  <c r="J155" i="13"/>
  <c r="I155" i="13"/>
  <c r="H155" i="13"/>
  <c r="G155" i="13"/>
  <c r="F155" i="13"/>
  <c r="E155" i="13"/>
  <c r="D155" i="13"/>
  <c r="K154" i="13"/>
  <c r="J154" i="13"/>
  <c r="I154" i="13"/>
  <c r="H154" i="13"/>
  <c r="G154" i="13"/>
  <c r="F154" i="13"/>
  <c r="E154" i="13"/>
  <c r="D154" i="13"/>
  <c r="K153" i="13"/>
  <c r="J153" i="13"/>
  <c r="I153" i="13"/>
  <c r="H153" i="13"/>
  <c r="G153" i="13"/>
  <c r="F153" i="13"/>
  <c r="E153" i="13"/>
  <c r="D153" i="13"/>
  <c r="K143" i="13"/>
  <c r="J143" i="13"/>
  <c r="I143" i="13"/>
  <c r="H143" i="13"/>
  <c r="G143" i="13"/>
  <c r="F143" i="13"/>
  <c r="E143" i="13"/>
  <c r="D143" i="13"/>
  <c r="K142" i="13"/>
  <c r="J142" i="13"/>
  <c r="I142" i="13"/>
  <c r="H142" i="13"/>
  <c r="G142" i="13"/>
  <c r="F142" i="13"/>
  <c r="E142" i="13"/>
  <c r="K141" i="13"/>
  <c r="J141" i="13"/>
  <c r="I141" i="13"/>
  <c r="H141" i="13"/>
  <c r="G141" i="13"/>
  <c r="F141" i="13"/>
  <c r="E141" i="13"/>
  <c r="D141" i="13"/>
  <c r="K138" i="13"/>
  <c r="J138" i="13"/>
  <c r="I138" i="13"/>
  <c r="H138" i="13"/>
  <c r="G138" i="13"/>
  <c r="F138" i="13"/>
  <c r="E138" i="13"/>
  <c r="D138" i="13"/>
  <c r="K137" i="13"/>
  <c r="J137" i="13"/>
  <c r="I137" i="13"/>
  <c r="H137" i="13"/>
  <c r="G137" i="13"/>
  <c r="F137" i="13"/>
  <c r="E137" i="13"/>
  <c r="D137" i="13"/>
  <c r="K136" i="13"/>
  <c r="J136" i="13"/>
  <c r="I136" i="13"/>
  <c r="H136" i="13"/>
  <c r="G136" i="13"/>
  <c r="F136" i="13"/>
  <c r="E136" i="13"/>
  <c r="D136" i="13"/>
  <c r="K133" i="13"/>
  <c r="J133" i="13"/>
  <c r="I133" i="13"/>
  <c r="H133" i="13"/>
  <c r="G133" i="13"/>
  <c r="F133" i="13"/>
  <c r="E133" i="13"/>
  <c r="D133" i="13"/>
  <c r="K132" i="13"/>
  <c r="J132" i="13"/>
  <c r="I132" i="13"/>
  <c r="H132" i="13"/>
  <c r="G132" i="13"/>
  <c r="F132" i="13"/>
  <c r="E132" i="13"/>
  <c r="D132" i="13"/>
  <c r="K131" i="13"/>
  <c r="J131" i="13"/>
  <c r="I131" i="13"/>
  <c r="H131" i="13"/>
  <c r="G131" i="13"/>
  <c r="F131" i="13"/>
  <c r="E131" i="13"/>
  <c r="D131" i="13"/>
  <c r="K128" i="13"/>
  <c r="J128" i="13"/>
  <c r="I128" i="13"/>
  <c r="H128" i="13"/>
  <c r="G128" i="13"/>
  <c r="F128" i="13"/>
  <c r="E128" i="13"/>
  <c r="D128" i="13"/>
  <c r="K127" i="13"/>
  <c r="J127" i="13"/>
  <c r="I127" i="13"/>
  <c r="H127" i="13"/>
  <c r="G127" i="13"/>
  <c r="F127" i="13"/>
  <c r="E127" i="13"/>
  <c r="D127" i="13"/>
  <c r="K126" i="13"/>
  <c r="J126" i="13"/>
  <c r="I126" i="13"/>
  <c r="H126" i="13"/>
  <c r="G126" i="13"/>
  <c r="F126" i="13"/>
  <c r="E126" i="13"/>
  <c r="D126" i="13"/>
  <c r="K140" i="13"/>
  <c r="J140" i="13"/>
  <c r="I140" i="13"/>
  <c r="H140" i="13"/>
  <c r="G140" i="13"/>
  <c r="E140" i="13"/>
  <c r="D140" i="13"/>
  <c r="K135" i="13"/>
  <c r="J135" i="13"/>
  <c r="I135" i="13"/>
  <c r="H135" i="13"/>
  <c r="G135" i="13"/>
  <c r="F135" i="13"/>
  <c r="E135" i="13"/>
  <c r="D135" i="13"/>
  <c r="K130" i="13"/>
  <c r="J130" i="13"/>
  <c r="I130" i="13"/>
  <c r="H130" i="13"/>
  <c r="G130" i="13"/>
  <c r="F130" i="13"/>
  <c r="E130" i="13"/>
  <c r="D130" i="13"/>
  <c r="K125" i="13"/>
  <c r="J125" i="13"/>
  <c r="I125" i="13"/>
  <c r="H125" i="13"/>
  <c r="G125" i="13"/>
  <c r="F125" i="13"/>
  <c r="E125" i="13"/>
  <c r="D125" i="13"/>
  <c r="K122" i="13"/>
  <c r="J122" i="13"/>
  <c r="I122" i="13"/>
  <c r="H122" i="13"/>
  <c r="G122" i="13"/>
  <c r="F122" i="13"/>
  <c r="E122" i="13"/>
  <c r="D122" i="13"/>
  <c r="K121" i="13"/>
  <c r="J121" i="13"/>
  <c r="I121" i="13"/>
  <c r="H121" i="13"/>
  <c r="G121" i="13"/>
  <c r="F121" i="13"/>
  <c r="E121" i="13"/>
  <c r="D121" i="13"/>
  <c r="K116" i="13"/>
  <c r="J116" i="13"/>
  <c r="I116" i="13"/>
  <c r="H116" i="13"/>
  <c r="G116" i="13"/>
  <c r="F116" i="13"/>
  <c r="E116" i="13"/>
  <c r="D116" i="13"/>
  <c r="K115" i="13"/>
  <c r="J115" i="13"/>
  <c r="I115" i="13"/>
  <c r="H115" i="13"/>
  <c r="G115" i="13"/>
  <c r="F115" i="13"/>
  <c r="E115" i="13"/>
  <c r="D115" i="13"/>
  <c r="K114" i="13"/>
  <c r="J114" i="13"/>
  <c r="I114" i="13"/>
  <c r="H114" i="13"/>
  <c r="G114" i="13"/>
  <c r="F114" i="13"/>
  <c r="E114" i="13"/>
  <c r="D114" i="13"/>
  <c r="K113" i="13"/>
  <c r="J113" i="13"/>
  <c r="I113" i="13"/>
  <c r="H113" i="13"/>
  <c r="G113" i="13"/>
  <c r="F113" i="13"/>
  <c r="E113" i="13"/>
  <c r="D113" i="13"/>
  <c r="K110" i="13"/>
  <c r="J110" i="13"/>
  <c r="I110" i="13"/>
  <c r="H110" i="13"/>
  <c r="G110" i="13"/>
  <c r="F110" i="13"/>
  <c r="E110" i="13"/>
  <c r="D110" i="13"/>
  <c r="K109" i="13"/>
  <c r="J109" i="13"/>
  <c r="I109" i="13"/>
  <c r="H109" i="13"/>
  <c r="G109" i="13"/>
  <c r="F109" i="13"/>
  <c r="E109" i="13"/>
  <c r="D109" i="13"/>
  <c r="K108" i="13"/>
  <c r="J108" i="13"/>
  <c r="H108" i="13"/>
  <c r="G108" i="13"/>
  <c r="F108" i="13"/>
  <c r="E108" i="13"/>
  <c r="D108" i="13"/>
  <c r="K107" i="13"/>
  <c r="J107" i="13"/>
  <c r="I107" i="13"/>
  <c r="H107" i="13"/>
  <c r="G107" i="13"/>
  <c r="F107" i="13"/>
  <c r="E107" i="13"/>
  <c r="D107" i="13"/>
  <c r="D111" i="13" s="1"/>
  <c r="K104" i="13"/>
  <c r="J104" i="13"/>
  <c r="I104" i="13"/>
  <c r="H104" i="13"/>
  <c r="G104" i="13"/>
  <c r="F104" i="13"/>
  <c r="E104" i="13"/>
  <c r="D104" i="13"/>
  <c r="K103" i="13"/>
  <c r="J103" i="13"/>
  <c r="I103" i="13"/>
  <c r="H103" i="13"/>
  <c r="G103" i="13"/>
  <c r="F103" i="13"/>
  <c r="E103" i="13"/>
  <c r="D103" i="13"/>
  <c r="K102" i="13"/>
  <c r="J102" i="13"/>
  <c r="I102" i="13"/>
  <c r="H102" i="13"/>
  <c r="G102" i="13"/>
  <c r="F102" i="13"/>
  <c r="E102" i="13"/>
  <c r="D102" i="13"/>
  <c r="K101" i="13"/>
  <c r="J101" i="13"/>
  <c r="I101" i="13"/>
  <c r="H101" i="13"/>
  <c r="G101" i="13"/>
  <c r="F101" i="13"/>
  <c r="E101" i="13"/>
  <c r="D101" i="13"/>
  <c r="K98" i="13"/>
  <c r="J98" i="13"/>
  <c r="I98" i="13"/>
  <c r="H98" i="13"/>
  <c r="F98" i="13"/>
  <c r="E98" i="13"/>
  <c r="D98" i="13"/>
  <c r="K87" i="13"/>
  <c r="J87" i="13"/>
  <c r="I87" i="13"/>
  <c r="H87" i="13"/>
  <c r="G87" i="13"/>
  <c r="F87" i="13"/>
  <c r="E87" i="13"/>
  <c r="D87" i="13"/>
  <c r="K86" i="13"/>
  <c r="J86" i="13"/>
  <c r="I86" i="13"/>
  <c r="H86" i="13"/>
  <c r="G86" i="13"/>
  <c r="F86" i="13"/>
  <c r="E86" i="13"/>
  <c r="D86" i="13"/>
  <c r="K85" i="13"/>
  <c r="J85" i="13"/>
  <c r="I85" i="13"/>
  <c r="H85" i="13"/>
  <c r="G85" i="13"/>
  <c r="F85" i="13"/>
  <c r="E85" i="13"/>
  <c r="D85" i="13"/>
  <c r="K84" i="13"/>
  <c r="J84" i="13"/>
  <c r="I84" i="13"/>
  <c r="H84" i="13"/>
  <c r="G84" i="13"/>
  <c r="F84" i="13"/>
  <c r="E84" i="13"/>
  <c r="D84" i="13"/>
  <c r="K81" i="13"/>
  <c r="J81" i="13"/>
  <c r="I81" i="13"/>
  <c r="H81" i="13"/>
  <c r="G81" i="13"/>
  <c r="F81" i="13"/>
  <c r="E81" i="13"/>
  <c r="D81" i="13"/>
  <c r="K80" i="13"/>
  <c r="J80" i="13"/>
  <c r="I80" i="13"/>
  <c r="H80" i="13"/>
  <c r="G80" i="13"/>
  <c r="F80" i="13"/>
  <c r="E80" i="13"/>
  <c r="D80" i="13"/>
  <c r="K79" i="13"/>
  <c r="J79" i="13"/>
  <c r="I79" i="13"/>
  <c r="H79" i="13"/>
  <c r="G79" i="13"/>
  <c r="F79" i="13"/>
  <c r="E79" i="13"/>
  <c r="D79" i="13"/>
  <c r="K78" i="13"/>
  <c r="J78" i="13"/>
  <c r="I78" i="13"/>
  <c r="H78" i="13"/>
  <c r="G78" i="13"/>
  <c r="F78" i="13"/>
  <c r="E78" i="13"/>
  <c r="D78" i="13"/>
  <c r="K75" i="13"/>
  <c r="J75" i="13"/>
  <c r="I75" i="13"/>
  <c r="H75" i="13"/>
  <c r="G75" i="13"/>
  <c r="F75" i="13"/>
  <c r="E75" i="13"/>
  <c r="D75" i="13"/>
  <c r="K74" i="13"/>
  <c r="J74" i="13"/>
  <c r="I74" i="13"/>
  <c r="H74" i="13"/>
  <c r="G74" i="13"/>
  <c r="F74" i="13"/>
  <c r="E74" i="13"/>
  <c r="D74" i="13"/>
  <c r="K73" i="13"/>
  <c r="J73" i="13"/>
  <c r="I73" i="13"/>
  <c r="H73" i="13"/>
  <c r="G73" i="13"/>
  <c r="F73" i="13"/>
  <c r="E73" i="13"/>
  <c r="D73" i="13"/>
  <c r="K72" i="13"/>
  <c r="J72" i="13"/>
  <c r="I72" i="13"/>
  <c r="H72" i="13"/>
  <c r="G72" i="13"/>
  <c r="F72" i="13"/>
  <c r="E72" i="13"/>
  <c r="D72" i="13"/>
  <c r="J263" i="13" l="1"/>
  <c r="D105" i="13"/>
  <c r="D236" i="13"/>
  <c r="K148" i="13"/>
  <c r="I148" i="13"/>
  <c r="E144" i="13"/>
  <c r="G263" i="13"/>
  <c r="H88" i="13"/>
  <c r="H89" i="13" s="1"/>
  <c r="E88" i="13"/>
  <c r="E89" i="13" s="1"/>
  <c r="E263" i="13"/>
  <c r="D88" i="13"/>
  <c r="D89" i="13" s="1"/>
  <c r="F111" i="13"/>
  <c r="H139" i="13"/>
  <c r="H148" i="13"/>
  <c r="K147" i="13"/>
  <c r="K117" i="13"/>
  <c r="K88" i="13"/>
  <c r="K89" i="13" s="1"/>
  <c r="L84" i="13"/>
  <c r="J148" i="13"/>
  <c r="J88" i="13"/>
  <c r="J89" i="13" s="1"/>
  <c r="L195" i="13"/>
  <c r="I146" i="13"/>
  <c r="I111" i="13"/>
  <c r="I88" i="13"/>
  <c r="I89" i="13" s="1"/>
  <c r="L109" i="13"/>
  <c r="H111" i="13"/>
  <c r="L125" i="13"/>
  <c r="G88" i="13"/>
  <c r="G89" i="13" s="1"/>
  <c r="F263" i="13"/>
  <c r="F88" i="13"/>
  <c r="F89" i="13" s="1"/>
  <c r="L86" i="13"/>
  <c r="E236" i="13"/>
  <c r="J149" i="11"/>
  <c r="L72" i="13"/>
  <c r="L78" i="13"/>
  <c r="O149" i="11"/>
  <c r="L149" i="11"/>
  <c r="K149" i="11"/>
  <c r="O94" i="11"/>
  <c r="K263" i="13"/>
  <c r="N94" i="11"/>
  <c r="N149" i="11"/>
  <c r="M149" i="11"/>
  <c r="M94" i="11"/>
  <c r="L94" i="11"/>
  <c r="K94" i="11"/>
  <c r="J94" i="11"/>
  <c r="D263" i="13"/>
  <c r="D117" i="13"/>
  <c r="D118" i="13" s="1"/>
  <c r="H263" i="13"/>
  <c r="L262" i="13"/>
  <c r="L126" i="13"/>
  <c r="H146" i="13"/>
  <c r="G147" i="13"/>
  <c r="G144" i="13"/>
  <c r="I117" i="13"/>
  <c r="F146" i="13"/>
  <c r="F134" i="13"/>
  <c r="J146" i="13"/>
  <c r="L261" i="13"/>
  <c r="J129" i="13"/>
  <c r="L101" i="13"/>
  <c r="I94" i="11"/>
  <c r="L80" i="13"/>
  <c r="L79" i="13"/>
  <c r="L75" i="13"/>
  <c r="K236" i="13"/>
  <c r="K111" i="13"/>
  <c r="J236" i="13"/>
  <c r="I236" i="13"/>
  <c r="H236" i="13"/>
  <c r="L113" i="13"/>
  <c r="G236" i="13"/>
  <c r="L110" i="13"/>
  <c r="G111" i="13"/>
  <c r="F236" i="13"/>
  <c r="E117" i="13"/>
  <c r="E129" i="13"/>
  <c r="J144" i="13"/>
  <c r="L103" i="13"/>
  <c r="L104" i="13"/>
  <c r="G117" i="13"/>
  <c r="L130" i="13"/>
  <c r="I145" i="13"/>
  <c r="I139" i="13"/>
  <c r="J111" i="13"/>
  <c r="L115" i="13"/>
  <c r="L133" i="13"/>
  <c r="J117" i="13"/>
  <c r="L116" i="13"/>
  <c r="D148" i="13"/>
  <c r="L127" i="13"/>
  <c r="J139" i="13"/>
  <c r="L138" i="13"/>
  <c r="L121" i="13"/>
  <c r="L128" i="13"/>
  <c r="K134" i="13"/>
  <c r="G134" i="13"/>
  <c r="H117" i="13"/>
  <c r="L132" i="13"/>
  <c r="L102" i="13"/>
  <c r="L107" i="13"/>
  <c r="L108" i="13"/>
  <c r="J134" i="13"/>
  <c r="L137" i="13"/>
  <c r="H145" i="13"/>
  <c r="E111" i="13"/>
  <c r="L122" i="13"/>
  <c r="K129" i="13"/>
  <c r="L131" i="13"/>
  <c r="G139" i="13"/>
  <c r="L143" i="13"/>
  <c r="D146" i="13"/>
  <c r="L141" i="13"/>
  <c r="E147" i="13"/>
  <c r="I147" i="13"/>
  <c r="F139" i="13"/>
  <c r="F148" i="13"/>
  <c r="L136" i="13"/>
  <c r="D139" i="13"/>
  <c r="G146" i="13"/>
  <c r="K139" i="13"/>
  <c r="F129" i="13"/>
  <c r="J147" i="13"/>
  <c r="G148" i="13"/>
  <c r="E146" i="13"/>
  <c r="I144" i="13"/>
  <c r="D145" i="13"/>
  <c r="H144" i="13"/>
  <c r="K144" i="13"/>
  <c r="L135" i="13"/>
  <c r="J145" i="13"/>
  <c r="K145" i="13"/>
  <c r="E139" i="13"/>
  <c r="E134" i="13"/>
  <c r="I134" i="13"/>
  <c r="E145" i="13"/>
  <c r="G145" i="13"/>
  <c r="H129" i="13"/>
  <c r="D134" i="13"/>
  <c r="D129" i="13"/>
  <c r="F147" i="13"/>
  <c r="K146" i="13"/>
  <c r="H147" i="13"/>
  <c r="E148" i="13"/>
  <c r="G129" i="13"/>
  <c r="H134" i="13"/>
  <c r="I129" i="13"/>
  <c r="L114" i="13"/>
  <c r="F117" i="13"/>
  <c r="D119" i="13" l="1"/>
  <c r="I149" i="13"/>
  <c r="K149" i="13"/>
  <c r="L263" i="13"/>
  <c r="L117" i="13"/>
  <c r="L146" i="13"/>
  <c r="H149" i="13"/>
  <c r="L111" i="13"/>
  <c r="L134" i="13"/>
  <c r="L148" i="13"/>
  <c r="G149" i="13"/>
  <c r="J149" i="13"/>
  <c r="L139" i="13"/>
  <c r="E149" i="13"/>
  <c r="L129" i="13"/>
  <c r="K66" i="13" l="1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K63" i="13"/>
  <c r="J63" i="13"/>
  <c r="I63" i="13"/>
  <c r="H63" i="13"/>
  <c r="G63" i="13"/>
  <c r="F63" i="13"/>
  <c r="E63" i="13"/>
  <c r="D63" i="13"/>
  <c r="K56" i="13"/>
  <c r="J56" i="13"/>
  <c r="I56" i="13"/>
  <c r="H56" i="13"/>
  <c r="G56" i="13"/>
  <c r="F56" i="13"/>
  <c r="E56" i="13"/>
  <c r="D56" i="13"/>
  <c r="K55" i="13"/>
  <c r="J55" i="13"/>
  <c r="I55" i="13"/>
  <c r="H55" i="13"/>
  <c r="G55" i="13"/>
  <c r="F55" i="13"/>
  <c r="E55" i="13"/>
  <c r="D55" i="13"/>
  <c r="K54" i="13"/>
  <c r="J54" i="13"/>
  <c r="I54" i="13"/>
  <c r="H54" i="13"/>
  <c r="G54" i="13"/>
  <c r="F54" i="13"/>
  <c r="E54" i="13"/>
  <c r="D54" i="13"/>
  <c r="K51" i="13"/>
  <c r="J51" i="13"/>
  <c r="I51" i="13"/>
  <c r="H51" i="13"/>
  <c r="G51" i="13"/>
  <c r="F51" i="13"/>
  <c r="E51" i="13"/>
  <c r="D51" i="13"/>
  <c r="K50" i="13"/>
  <c r="J50" i="13"/>
  <c r="I50" i="13"/>
  <c r="H50" i="13"/>
  <c r="G50" i="13"/>
  <c r="F50" i="13"/>
  <c r="E50" i="13"/>
  <c r="D50" i="13"/>
  <c r="K49" i="13"/>
  <c r="J49" i="13"/>
  <c r="I49" i="13"/>
  <c r="H49" i="13"/>
  <c r="G49" i="13"/>
  <c r="F49" i="13"/>
  <c r="E49" i="13"/>
  <c r="D49" i="13"/>
  <c r="K46" i="13"/>
  <c r="J46" i="13"/>
  <c r="I46" i="13"/>
  <c r="H46" i="13"/>
  <c r="G46" i="13"/>
  <c r="F46" i="13"/>
  <c r="E46" i="13"/>
  <c r="D46" i="13"/>
  <c r="K44" i="13"/>
  <c r="J44" i="13"/>
  <c r="I44" i="13"/>
  <c r="H44" i="13"/>
  <c r="G44" i="13"/>
  <c r="F44" i="13"/>
  <c r="E44" i="13"/>
  <c r="D44" i="13"/>
  <c r="J39" i="13"/>
  <c r="I39" i="13"/>
  <c r="H39" i="13"/>
  <c r="G39" i="13"/>
  <c r="F39" i="13"/>
  <c r="E39" i="13"/>
  <c r="D39" i="13"/>
  <c r="J37" i="13"/>
  <c r="I37" i="13"/>
  <c r="H37" i="13"/>
  <c r="G37" i="13"/>
  <c r="F37" i="13"/>
  <c r="E37" i="13"/>
  <c r="D37" i="13"/>
  <c r="K35" i="13"/>
  <c r="J35" i="13"/>
  <c r="I35" i="13"/>
  <c r="H35" i="13"/>
  <c r="G35" i="13"/>
  <c r="F35" i="13"/>
  <c r="E35" i="13"/>
  <c r="D35" i="13"/>
  <c r="K33" i="13"/>
  <c r="J33" i="13"/>
  <c r="I33" i="13"/>
  <c r="H33" i="13"/>
  <c r="G33" i="13"/>
  <c r="F33" i="13"/>
  <c r="E33" i="13"/>
  <c r="D33" i="13"/>
  <c r="K31" i="13"/>
  <c r="J31" i="13"/>
  <c r="I31" i="13"/>
  <c r="H31" i="13"/>
  <c r="G31" i="13"/>
  <c r="F31" i="13"/>
  <c r="E31" i="13"/>
  <c r="D31" i="13"/>
  <c r="K29" i="13"/>
  <c r="J29" i="13"/>
  <c r="I29" i="13"/>
  <c r="H29" i="13"/>
  <c r="G29" i="13"/>
  <c r="F29" i="13"/>
  <c r="E29" i="13"/>
  <c r="D29" i="13"/>
  <c r="K20" i="13"/>
  <c r="K19" i="13"/>
  <c r="K18" i="13"/>
  <c r="K17" i="13"/>
  <c r="K12" i="13"/>
  <c r="K13" i="13"/>
  <c r="K14" i="13"/>
  <c r="K11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134" i="11" l="1"/>
  <c r="H236" i="11"/>
  <c r="H148" i="11"/>
  <c r="H117" i="11"/>
  <c r="H147" i="11"/>
  <c r="H242" i="11"/>
  <c r="H92" i="11"/>
  <c r="H139" i="11"/>
  <c r="H146" i="11"/>
  <c r="H91" i="11"/>
  <c r="H258" i="11" s="1"/>
  <c r="H129" i="11"/>
  <c r="H263" i="11"/>
  <c r="K94" i="13"/>
  <c r="K95" i="13" s="1"/>
  <c r="H193" i="11"/>
  <c r="H93" i="11"/>
  <c r="J94" i="13"/>
  <c r="J95" i="13" s="1"/>
  <c r="D94" i="13"/>
  <c r="L93" i="13"/>
  <c r="E94" i="13"/>
  <c r="E95" i="13" s="1"/>
  <c r="F94" i="13"/>
  <c r="F95" i="13" s="1"/>
  <c r="D90" i="13"/>
  <c r="L66" i="13"/>
  <c r="I15" i="13"/>
  <c r="G94" i="13"/>
  <c r="G95" i="13" s="1"/>
  <c r="H94" i="13"/>
  <c r="H95" i="13" s="1"/>
  <c r="I94" i="13"/>
  <c r="I95" i="13" s="1"/>
  <c r="H90" i="11"/>
  <c r="H94" i="11" l="1"/>
  <c r="H95" i="11" s="1"/>
  <c r="L90" i="13"/>
  <c r="D95" i="13"/>
  <c r="I78" i="15" l="1"/>
  <c r="I255" i="15"/>
  <c r="I90" i="11"/>
  <c r="I95" i="11" s="1"/>
  <c r="J90" i="11" l="1"/>
  <c r="J95" i="11" s="1"/>
  <c r="I90" i="15"/>
  <c r="L78" i="15"/>
  <c r="I95" i="15" l="1"/>
  <c r="L90" i="15"/>
  <c r="L95" i="15" s="1"/>
  <c r="H242" i="1" l="1"/>
  <c r="H236" i="1"/>
  <c r="H117" i="1" l="1"/>
  <c r="G111" i="11" l="1"/>
  <c r="G247" i="11"/>
  <c r="G139" i="11"/>
  <c r="G105" i="11"/>
  <c r="G146" i="11"/>
  <c r="G129" i="11"/>
  <c r="G236" i="11"/>
  <c r="G91" i="11"/>
  <c r="G258" i="11" s="1"/>
  <c r="G117" i="11"/>
  <c r="G134" i="11"/>
  <c r="G148" i="11"/>
  <c r="G216" i="11"/>
  <c r="G242" i="11"/>
  <c r="G263" i="11"/>
  <c r="G90" i="11"/>
  <c r="G93" i="11"/>
  <c r="G92" i="11"/>
  <c r="G118" i="11" l="1"/>
  <c r="G119" i="11" s="1"/>
  <c r="G94" i="11"/>
  <c r="G95" i="11" s="1"/>
  <c r="K256" i="13" l="1"/>
  <c r="K255" i="13" l="1"/>
  <c r="J256" i="13"/>
  <c r="I256" i="13"/>
  <c r="J255" i="13" l="1"/>
  <c r="I255" i="13"/>
  <c r="F256" i="13" l="1"/>
  <c r="H256" i="13"/>
  <c r="H255" i="13" l="1"/>
  <c r="F255" i="13"/>
  <c r="G256" i="13" l="1"/>
  <c r="G98" i="13" l="1"/>
  <c r="E256" i="13" l="1"/>
  <c r="D256" i="13"/>
  <c r="E255" i="13" l="1"/>
  <c r="G236" i="1"/>
  <c r="D246" i="12" l="1"/>
  <c r="E246" i="12"/>
  <c r="F246" i="12"/>
  <c r="G246" i="12"/>
  <c r="H246" i="12"/>
  <c r="I246" i="12"/>
  <c r="J246" i="12"/>
  <c r="G245" i="12"/>
  <c r="H245" i="12"/>
  <c r="I245" i="12"/>
  <c r="J245" i="12"/>
  <c r="F245" i="12"/>
  <c r="E245" i="12"/>
  <c r="D245" i="12"/>
  <c r="M246" i="12" l="1"/>
  <c r="M245" i="12"/>
  <c r="F147" i="11"/>
  <c r="F146" i="11"/>
  <c r="F148" i="11"/>
  <c r="F236" i="11"/>
  <c r="F263" i="11"/>
  <c r="F117" i="11"/>
  <c r="F92" i="11"/>
  <c r="F129" i="11"/>
  <c r="F91" i="11"/>
  <c r="F258" i="11" s="1"/>
  <c r="F134" i="11"/>
  <c r="F90" i="11"/>
  <c r="F139" i="11"/>
  <c r="F93" i="11"/>
  <c r="D142" i="13" l="1"/>
  <c r="G147" i="11"/>
  <c r="D147" i="13" l="1"/>
  <c r="D149" i="13" s="1"/>
  <c r="D144" i="13"/>
  <c r="L142" i="13"/>
  <c r="F236" i="1"/>
  <c r="L147" i="13" l="1"/>
  <c r="E247" i="11" l="1"/>
  <c r="E146" i="11" l="1"/>
  <c r="E148" i="11"/>
  <c r="E242" i="11"/>
  <c r="E117" i="11"/>
  <c r="E91" i="11"/>
  <c r="E258" i="11" s="1"/>
  <c r="E236" i="11"/>
  <c r="E93" i="11"/>
  <c r="E92" i="11"/>
  <c r="E90" i="11"/>
  <c r="E263" i="11"/>
  <c r="E139" i="11"/>
  <c r="E134" i="11"/>
  <c r="E129" i="11"/>
  <c r="K262" i="17" l="1"/>
  <c r="J262" i="17"/>
  <c r="I262" i="17"/>
  <c r="H262" i="17"/>
  <c r="G262" i="17"/>
  <c r="F262" i="17"/>
  <c r="E262" i="17"/>
  <c r="D262" i="17"/>
  <c r="K261" i="17"/>
  <c r="J261" i="17"/>
  <c r="I261" i="17"/>
  <c r="H261" i="17"/>
  <c r="G261" i="17"/>
  <c r="F261" i="17"/>
  <c r="E261" i="17"/>
  <c r="D261" i="17"/>
  <c r="K246" i="17"/>
  <c r="J246" i="17"/>
  <c r="I246" i="17"/>
  <c r="H246" i="17"/>
  <c r="G246" i="17"/>
  <c r="F246" i="17"/>
  <c r="E246" i="17"/>
  <c r="D246" i="17"/>
  <c r="K245" i="17"/>
  <c r="J245" i="17"/>
  <c r="I245" i="17"/>
  <c r="H245" i="17"/>
  <c r="G245" i="17"/>
  <c r="F245" i="17"/>
  <c r="E245" i="17"/>
  <c r="D245" i="17"/>
  <c r="K196" i="17"/>
  <c r="J196" i="17"/>
  <c r="I196" i="17"/>
  <c r="H196" i="17"/>
  <c r="F196" i="17"/>
  <c r="E196" i="17"/>
  <c r="D196" i="17"/>
  <c r="K116" i="17"/>
  <c r="J116" i="17"/>
  <c r="I116" i="17"/>
  <c r="H116" i="17"/>
  <c r="G116" i="17"/>
  <c r="F116" i="17"/>
  <c r="E116" i="17"/>
  <c r="D116" i="17"/>
  <c r="K115" i="17"/>
  <c r="J115" i="17"/>
  <c r="I115" i="17"/>
  <c r="H115" i="17"/>
  <c r="G115" i="17"/>
  <c r="F115" i="17"/>
  <c r="E115" i="17"/>
  <c r="D115" i="17"/>
  <c r="K114" i="17"/>
  <c r="J114" i="17"/>
  <c r="I114" i="17"/>
  <c r="H114" i="17"/>
  <c r="G114" i="17"/>
  <c r="F114" i="17"/>
  <c r="E114" i="17"/>
  <c r="D114" i="17"/>
  <c r="K113" i="17"/>
  <c r="J113" i="17"/>
  <c r="I113" i="17"/>
  <c r="H113" i="17"/>
  <c r="G113" i="17"/>
  <c r="F113" i="17"/>
  <c r="E113" i="17"/>
  <c r="D113" i="17"/>
  <c r="D90" i="17"/>
  <c r="K86" i="17"/>
  <c r="J86" i="17"/>
  <c r="I86" i="17"/>
  <c r="H86" i="17"/>
  <c r="G86" i="17"/>
  <c r="F86" i="17"/>
  <c r="E86" i="17"/>
  <c r="D86" i="17"/>
  <c r="K80" i="17"/>
  <c r="J80" i="17"/>
  <c r="I80" i="17"/>
  <c r="H80" i="17"/>
  <c r="G80" i="17"/>
  <c r="F80" i="17"/>
  <c r="E80" i="17"/>
  <c r="D80" i="17"/>
  <c r="K75" i="17"/>
  <c r="J75" i="17"/>
  <c r="I75" i="17"/>
  <c r="H75" i="17"/>
  <c r="G75" i="17"/>
  <c r="F75" i="17"/>
  <c r="E75" i="17"/>
  <c r="D75" i="17"/>
  <c r="K35" i="17"/>
  <c r="J35" i="17"/>
  <c r="I35" i="17"/>
  <c r="H35" i="17"/>
  <c r="G35" i="17"/>
  <c r="F35" i="17"/>
  <c r="E35" i="17"/>
  <c r="D35" i="17"/>
  <c r="J262" i="12"/>
  <c r="I262" i="12"/>
  <c r="H262" i="12"/>
  <c r="G262" i="12"/>
  <c r="F262" i="12"/>
  <c r="E262" i="12"/>
  <c r="D262" i="12"/>
  <c r="J261" i="12"/>
  <c r="J263" i="12" s="1"/>
  <c r="I261" i="12"/>
  <c r="H261" i="12"/>
  <c r="G261" i="12"/>
  <c r="F261" i="12"/>
  <c r="E261" i="12"/>
  <c r="D261" i="12"/>
  <c r="J257" i="12"/>
  <c r="I257" i="12"/>
  <c r="H257" i="12"/>
  <c r="G257" i="12"/>
  <c r="F257" i="12"/>
  <c r="E257" i="12"/>
  <c r="D257" i="12"/>
  <c r="J254" i="12"/>
  <c r="I254" i="12"/>
  <c r="H254" i="12"/>
  <c r="G254" i="12"/>
  <c r="F254" i="12"/>
  <c r="E254" i="12"/>
  <c r="D254" i="12"/>
  <c r="J253" i="12"/>
  <c r="I253" i="12"/>
  <c r="H253" i="12"/>
  <c r="G253" i="12"/>
  <c r="F253" i="12"/>
  <c r="E253" i="12"/>
  <c r="D253" i="12"/>
  <c r="J241" i="12"/>
  <c r="I241" i="12"/>
  <c r="H241" i="12"/>
  <c r="G241" i="12"/>
  <c r="F241" i="12"/>
  <c r="E241" i="12"/>
  <c r="D241" i="12"/>
  <c r="J240" i="12"/>
  <c r="I240" i="12"/>
  <c r="H240" i="12"/>
  <c r="G240" i="12"/>
  <c r="F240" i="12"/>
  <c r="E240" i="12"/>
  <c r="D240" i="12"/>
  <c r="J239" i="12"/>
  <c r="I239" i="12"/>
  <c r="H239" i="12"/>
  <c r="G239" i="12"/>
  <c r="F239" i="12"/>
  <c r="E239" i="12"/>
  <c r="D239" i="12"/>
  <c r="J238" i="12"/>
  <c r="I238" i="12"/>
  <c r="H238" i="12"/>
  <c r="G238" i="12"/>
  <c r="F238" i="12"/>
  <c r="E238" i="12"/>
  <c r="D238" i="12"/>
  <c r="J235" i="12"/>
  <c r="I235" i="12"/>
  <c r="H235" i="12"/>
  <c r="G235" i="12"/>
  <c r="F235" i="12"/>
  <c r="E235" i="12"/>
  <c r="D235" i="12"/>
  <c r="J234" i="12"/>
  <c r="I234" i="12"/>
  <c r="H234" i="12"/>
  <c r="G234" i="12"/>
  <c r="F234" i="12"/>
  <c r="E234" i="12"/>
  <c r="D234" i="12"/>
  <c r="J233" i="12"/>
  <c r="I233" i="12"/>
  <c r="H233" i="12"/>
  <c r="G233" i="12"/>
  <c r="F233" i="12"/>
  <c r="E233" i="12"/>
  <c r="D233" i="12"/>
  <c r="J232" i="12"/>
  <c r="I232" i="12"/>
  <c r="H232" i="12"/>
  <c r="G232" i="12"/>
  <c r="F232" i="12"/>
  <c r="E232" i="12"/>
  <c r="D232" i="12"/>
  <c r="J228" i="12"/>
  <c r="I228" i="12"/>
  <c r="H228" i="12"/>
  <c r="G228" i="12"/>
  <c r="F228" i="12"/>
  <c r="E228" i="12"/>
  <c r="D228" i="12"/>
  <c r="J227" i="12"/>
  <c r="I227" i="12"/>
  <c r="H227" i="12"/>
  <c r="G227" i="12"/>
  <c r="F227" i="12"/>
  <c r="E227" i="12"/>
  <c r="D227" i="12"/>
  <c r="J226" i="12"/>
  <c r="I226" i="12"/>
  <c r="H226" i="12"/>
  <c r="G226" i="12"/>
  <c r="F226" i="12"/>
  <c r="E226" i="12"/>
  <c r="D226" i="12"/>
  <c r="J225" i="12"/>
  <c r="I225" i="12"/>
  <c r="H225" i="12"/>
  <c r="G225" i="12"/>
  <c r="F225" i="12"/>
  <c r="E225" i="12"/>
  <c r="D225" i="12"/>
  <c r="I222" i="12"/>
  <c r="H222" i="12"/>
  <c r="G222" i="12"/>
  <c r="F222" i="12"/>
  <c r="E222" i="12"/>
  <c r="D222" i="12"/>
  <c r="J221" i="12"/>
  <c r="I221" i="12"/>
  <c r="H221" i="12"/>
  <c r="G221" i="12"/>
  <c r="F221" i="12"/>
  <c r="E221" i="12"/>
  <c r="D221" i="12"/>
  <c r="J220" i="12"/>
  <c r="I220" i="12"/>
  <c r="H220" i="12"/>
  <c r="G220" i="12"/>
  <c r="F220" i="12"/>
  <c r="E220" i="12"/>
  <c r="D220" i="12"/>
  <c r="J219" i="12"/>
  <c r="I219" i="12"/>
  <c r="H219" i="12"/>
  <c r="G219" i="12"/>
  <c r="F219" i="12"/>
  <c r="E219" i="12"/>
  <c r="D219" i="12"/>
  <c r="J215" i="12"/>
  <c r="I215" i="12"/>
  <c r="H215" i="12"/>
  <c r="G215" i="12"/>
  <c r="F215" i="12"/>
  <c r="E215" i="12"/>
  <c r="D215" i="12"/>
  <c r="J214" i="12"/>
  <c r="I214" i="12"/>
  <c r="H214" i="12"/>
  <c r="G214" i="12"/>
  <c r="F214" i="12"/>
  <c r="E214" i="12"/>
  <c r="D214" i="12"/>
  <c r="J213" i="12"/>
  <c r="I213" i="12"/>
  <c r="H213" i="12"/>
  <c r="G213" i="12"/>
  <c r="F213" i="12"/>
  <c r="E213" i="12"/>
  <c r="D213" i="12"/>
  <c r="J212" i="12"/>
  <c r="I212" i="12"/>
  <c r="H212" i="12"/>
  <c r="G212" i="12"/>
  <c r="F212" i="12"/>
  <c r="E212" i="12"/>
  <c r="D212" i="12"/>
  <c r="J209" i="12"/>
  <c r="I209" i="12"/>
  <c r="H209" i="12"/>
  <c r="G209" i="12"/>
  <c r="F209" i="12"/>
  <c r="E209" i="12"/>
  <c r="D209" i="12"/>
  <c r="J208" i="12"/>
  <c r="I208" i="12"/>
  <c r="H208" i="12"/>
  <c r="G208" i="12"/>
  <c r="F208" i="12"/>
  <c r="E208" i="12"/>
  <c r="D208" i="12"/>
  <c r="J207" i="12"/>
  <c r="I207" i="12"/>
  <c r="H207" i="12"/>
  <c r="G207" i="12"/>
  <c r="F207" i="12"/>
  <c r="E207" i="12"/>
  <c r="D207" i="12"/>
  <c r="J206" i="12"/>
  <c r="I206" i="12"/>
  <c r="H206" i="12"/>
  <c r="G206" i="12"/>
  <c r="F206" i="12"/>
  <c r="E206" i="12"/>
  <c r="D206" i="12"/>
  <c r="J203" i="12"/>
  <c r="I203" i="12"/>
  <c r="H203" i="12"/>
  <c r="G203" i="12"/>
  <c r="F203" i="12"/>
  <c r="E203" i="12"/>
  <c r="D203" i="12"/>
  <c r="J202" i="12"/>
  <c r="I202" i="12"/>
  <c r="H202" i="12"/>
  <c r="G202" i="12"/>
  <c r="F202" i="12"/>
  <c r="E202" i="12"/>
  <c r="D202" i="12"/>
  <c r="J201" i="12"/>
  <c r="I201" i="12"/>
  <c r="H201" i="12"/>
  <c r="G201" i="12"/>
  <c r="F201" i="12"/>
  <c r="E201" i="12"/>
  <c r="D201" i="12"/>
  <c r="J200" i="12"/>
  <c r="I200" i="12"/>
  <c r="H200" i="12"/>
  <c r="G200" i="12"/>
  <c r="F200" i="12"/>
  <c r="E200" i="12"/>
  <c r="D200" i="12"/>
  <c r="J199" i="12"/>
  <c r="I199" i="12"/>
  <c r="H199" i="12"/>
  <c r="G199" i="12"/>
  <c r="F199" i="12"/>
  <c r="E199" i="12"/>
  <c r="D199" i="12"/>
  <c r="J197" i="12"/>
  <c r="I197" i="12"/>
  <c r="H197" i="12"/>
  <c r="G197" i="12"/>
  <c r="F197" i="12"/>
  <c r="E197" i="12"/>
  <c r="D197" i="12"/>
  <c r="J195" i="12"/>
  <c r="I195" i="12"/>
  <c r="H195" i="12"/>
  <c r="G195" i="12"/>
  <c r="F195" i="12"/>
  <c r="E195" i="12"/>
  <c r="D195" i="12"/>
  <c r="J194" i="12"/>
  <c r="I194" i="12"/>
  <c r="H194" i="12"/>
  <c r="G194" i="12"/>
  <c r="F194" i="12"/>
  <c r="E194" i="12"/>
  <c r="D194" i="12"/>
  <c r="J192" i="12"/>
  <c r="I192" i="12"/>
  <c r="H192" i="12"/>
  <c r="G192" i="12"/>
  <c r="F192" i="12"/>
  <c r="E192" i="12"/>
  <c r="D192" i="12"/>
  <c r="J191" i="12"/>
  <c r="I191" i="12"/>
  <c r="H191" i="12"/>
  <c r="G191" i="12"/>
  <c r="F191" i="12"/>
  <c r="E191" i="12"/>
  <c r="D191" i="12"/>
  <c r="J190" i="12"/>
  <c r="I190" i="12"/>
  <c r="H190" i="12"/>
  <c r="G190" i="12"/>
  <c r="F190" i="12"/>
  <c r="E190" i="12"/>
  <c r="D190" i="12"/>
  <c r="J189" i="12"/>
  <c r="I189" i="12"/>
  <c r="H189" i="12"/>
  <c r="G189" i="12"/>
  <c r="F189" i="12"/>
  <c r="E189" i="12"/>
  <c r="D189" i="12"/>
  <c r="J187" i="12"/>
  <c r="I187" i="12"/>
  <c r="H187" i="12"/>
  <c r="G187" i="12"/>
  <c r="F187" i="12"/>
  <c r="E187" i="12"/>
  <c r="D187" i="12"/>
  <c r="J186" i="12"/>
  <c r="I186" i="12"/>
  <c r="H186" i="12"/>
  <c r="G186" i="12"/>
  <c r="F186" i="12"/>
  <c r="E186" i="12"/>
  <c r="D186" i="12"/>
  <c r="J185" i="12"/>
  <c r="I185" i="12"/>
  <c r="H185" i="12"/>
  <c r="G185" i="12"/>
  <c r="F185" i="12"/>
  <c r="E185" i="12"/>
  <c r="D185" i="12"/>
  <c r="J184" i="12"/>
  <c r="I184" i="12"/>
  <c r="H184" i="12"/>
  <c r="G184" i="12"/>
  <c r="F184" i="12"/>
  <c r="E184" i="12"/>
  <c r="D184" i="12"/>
  <c r="J182" i="12"/>
  <c r="I182" i="12"/>
  <c r="H182" i="12"/>
  <c r="G182" i="12"/>
  <c r="F182" i="12"/>
  <c r="E182" i="12"/>
  <c r="D182" i="12"/>
  <c r="J181" i="12"/>
  <c r="I181" i="12"/>
  <c r="H181" i="12"/>
  <c r="G181" i="12"/>
  <c r="F181" i="12"/>
  <c r="E181" i="12"/>
  <c r="D181" i="12"/>
  <c r="J180" i="12"/>
  <c r="I180" i="12"/>
  <c r="H180" i="12"/>
  <c r="G180" i="12"/>
  <c r="F180" i="12"/>
  <c r="E180" i="12"/>
  <c r="D180" i="12"/>
  <c r="J179" i="12"/>
  <c r="I179" i="12"/>
  <c r="H179" i="12"/>
  <c r="G179" i="12"/>
  <c r="F179" i="12"/>
  <c r="E179" i="12"/>
  <c r="D179" i="12"/>
  <c r="J178" i="12"/>
  <c r="I178" i="12"/>
  <c r="H178" i="12"/>
  <c r="G178" i="12"/>
  <c r="F178" i="12"/>
  <c r="E178" i="12"/>
  <c r="D178" i="12"/>
  <c r="J177" i="12"/>
  <c r="I177" i="12"/>
  <c r="H177" i="12"/>
  <c r="G177" i="12"/>
  <c r="F177" i="12"/>
  <c r="E177" i="12"/>
  <c r="D177" i="12"/>
  <c r="J175" i="12"/>
  <c r="I175" i="12"/>
  <c r="H175" i="12"/>
  <c r="G175" i="12"/>
  <c r="F175" i="12"/>
  <c r="E175" i="12"/>
  <c r="D175" i="12"/>
  <c r="J174" i="12"/>
  <c r="I174" i="12"/>
  <c r="H174" i="12"/>
  <c r="G174" i="12"/>
  <c r="F174" i="12"/>
  <c r="E174" i="12"/>
  <c r="D174" i="12"/>
  <c r="J173" i="12"/>
  <c r="I173" i="12"/>
  <c r="H173" i="12"/>
  <c r="G173" i="12"/>
  <c r="F173" i="12"/>
  <c r="E173" i="12"/>
  <c r="D173" i="12"/>
  <c r="J172" i="12"/>
  <c r="I172" i="12"/>
  <c r="H172" i="12"/>
  <c r="G172" i="12"/>
  <c r="F172" i="12"/>
  <c r="E172" i="12"/>
  <c r="D172" i="12"/>
  <c r="J171" i="12"/>
  <c r="I171" i="12"/>
  <c r="H171" i="12"/>
  <c r="G171" i="12"/>
  <c r="F171" i="12"/>
  <c r="E171" i="12"/>
  <c r="D171" i="12"/>
  <c r="J170" i="12"/>
  <c r="I170" i="12"/>
  <c r="H170" i="12"/>
  <c r="G170" i="12"/>
  <c r="F170" i="12"/>
  <c r="E170" i="12"/>
  <c r="D170" i="12"/>
  <c r="J169" i="12"/>
  <c r="I169" i="12"/>
  <c r="H169" i="12"/>
  <c r="G169" i="12"/>
  <c r="F169" i="12"/>
  <c r="E169" i="12"/>
  <c r="D169" i="12"/>
  <c r="J168" i="12"/>
  <c r="I168" i="12"/>
  <c r="H168" i="12"/>
  <c r="G168" i="12"/>
  <c r="F168" i="12"/>
  <c r="E168" i="12"/>
  <c r="D168" i="12"/>
  <c r="J167" i="12"/>
  <c r="I167" i="12"/>
  <c r="H167" i="12"/>
  <c r="G167" i="12"/>
  <c r="F167" i="12"/>
  <c r="E167" i="12"/>
  <c r="D167" i="12"/>
  <c r="J165" i="12"/>
  <c r="I165" i="12"/>
  <c r="H165" i="12"/>
  <c r="G165" i="12"/>
  <c r="F165" i="12"/>
  <c r="E165" i="12"/>
  <c r="D165" i="12"/>
  <c r="J164" i="12"/>
  <c r="I164" i="12"/>
  <c r="H164" i="12"/>
  <c r="G164" i="12"/>
  <c r="F164" i="12"/>
  <c r="E164" i="12"/>
  <c r="D164" i="12"/>
  <c r="J163" i="12"/>
  <c r="I163" i="12"/>
  <c r="H163" i="12"/>
  <c r="G163" i="12"/>
  <c r="F163" i="12"/>
  <c r="E163" i="12"/>
  <c r="D163" i="12"/>
  <c r="J162" i="12"/>
  <c r="I162" i="12"/>
  <c r="H162" i="12"/>
  <c r="G162" i="12"/>
  <c r="F162" i="12"/>
  <c r="E162" i="12"/>
  <c r="D162" i="12"/>
  <c r="J161" i="12"/>
  <c r="I161" i="12"/>
  <c r="H161" i="12"/>
  <c r="G161" i="12"/>
  <c r="F161" i="12"/>
  <c r="E161" i="12"/>
  <c r="D161" i="12"/>
  <c r="J160" i="12"/>
  <c r="I160" i="12"/>
  <c r="H160" i="12"/>
  <c r="G160" i="12"/>
  <c r="F160" i="12"/>
  <c r="E160" i="12"/>
  <c r="D160" i="12"/>
  <c r="J159" i="12"/>
  <c r="I159" i="12"/>
  <c r="H159" i="12"/>
  <c r="G159" i="12"/>
  <c r="F159" i="12"/>
  <c r="E159" i="12"/>
  <c r="D159" i="12"/>
  <c r="J158" i="12"/>
  <c r="I158" i="12"/>
  <c r="H158" i="12"/>
  <c r="G158" i="12"/>
  <c r="F158" i="12"/>
  <c r="E158" i="12"/>
  <c r="D158" i="12"/>
  <c r="J157" i="12"/>
  <c r="I157" i="12"/>
  <c r="H157" i="12"/>
  <c r="G157" i="12"/>
  <c r="F157" i="12"/>
  <c r="E157" i="12"/>
  <c r="D157" i="12"/>
  <c r="J156" i="12"/>
  <c r="I156" i="12"/>
  <c r="H156" i="12"/>
  <c r="G156" i="12"/>
  <c r="F156" i="12"/>
  <c r="E156" i="12"/>
  <c r="D156" i="12"/>
  <c r="J155" i="12"/>
  <c r="I155" i="12"/>
  <c r="H155" i="12"/>
  <c r="G155" i="12"/>
  <c r="F155" i="12"/>
  <c r="E155" i="12"/>
  <c r="D155" i="12"/>
  <c r="J154" i="12"/>
  <c r="I154" i="12"/>
  <c r="H154" i="12"/>
  <c r="G154" i="12"/>
  <c r="F154" i="12"/>
  <c r="E154" i="12"/>
  <c r="D154" i="12"/>
  <c r="J153" i="12"/>
  <c r="I153" i="12"/>
  <c r="H153" i="12"/>
  <c r="G153" i="12"/>
  <c r="F153" i="12"/>
  <c r="E153" i="12"/>
  <c r="D153" i="12"/>
  <c r="J143" i="12"/>
  <c r="I143" i="12"/>
  <c r="H143" i="12"/>
  <c r="G143" i="12"/>
  <c r="F143" i="12"/>
  <c r="E143" i="12"/>
  <c r="D143" i="12"/>
  <c r="J142" i="12"/>
  <c r="I142" i="12"/>
  <c r="H142" i="12"/>
  <c r="G142" i="12"/>
  <c r="F142" i="12"/>
  <c r="E142" i="12"/>
  <c r="J141" i="12"/>
  <c r="I141" i="12"/>
  <c r="H141" i="12"/>
  <c r="G141" i="12"/>
  <c r="F141" i="12"/>
  <c r="E141" i="12"/>
  <c r="D141" i="12"/>
  <c r="J138" i="12"/>
  <c r="I138" i="12"/>
  <c r="H138" i="12"/>
  <c r="G138" i="12"/>
  <c r="F138" i="12"/>
  <c r="E138" i="12"/>
  <c r="D138" i="12"/>
  <c r="J137" i="12"/>
  <c r="I137" i="12"/>
  <c r="H137" i="12"/>
  <c r="G137" i="12"/>
  <c r="F137" i="12"/>
  <c r="E137" i="12"/>
  <c r="D137" i="12"/>
  <c r="J136" i="12"/>
  <c r="I136" i="12"/>
  <c r="H136" i="12"/>
  <c r="G136" i="12"/>
  <c r="F136" i="12"/>
  <c r="E136" i="12"/>
  <c r="D136" i="12"/>
  <c r="J133" i="12"/>
  <c r="I133" i="12"/>
  <c r="H133" i="12"/>
  <c r="G133" i="12"/>
  <c r="F133" i="12"/>
  <c r="E133" i="12"/>
  <c r="D133" i="12"/>
  <c r="J132" i="12"/>
  <c r="I132" i="12"/>
  <c r="H132" i="12"/>
  <c r="G132" i="12"/>
  <c r="F132" i="12"/>
  <c r="E132" i="12"/>
  <c r="D132" i="12"/>
  <c r="J131" i="12"/>
  <c r="I131" i="12"/>
  <c r="H131" i="12"/>
  <c r="G131" i="12"/>
  <c r="F131" i="12"/>
  <c r="E131" i="12"/>
  <c r="D131" i="12"/>
  <c r="J128" i="12"/>
  <c r="I128" i="12"/>
  <c r="H128" i="12"/>
  <c r="G128" i="12"/>
  <c r="F128" i="12"/>
  <c r="E128" i="12"/>
  <c r="D128" i="12"/>
  <c r="J127" i="12"/>
  <c r="I127" i="12"/>
  <c r="H127" i="12"/>
  <c r="G127" i="12"/>
  <c r="F127" i="12"/>
  <c r="E127" i="12"/>
  <c r="D127" i="12"/>
  <c r="J126" i="12"/>
  <c r="I126" i="12"/>
  <c r="H126" i="12"/>
  <c r="G126" i="12"/>
  <c r="F126" i="12"/>
  <c r="E126" i="12"/>
  <c r="D126" i="12"/>
  <c r="J140" i="12"/>
  <c r="I140" i="12"/>
  <c r="H140" i="12"/>
  <c r="G140" i="12"/>
  <c r="E140" i="12"/>
  <c r="D140" i="12"/>
  <c r="J135" i="12"/>
  <c r="I135" i="12"/>
  <c r="H135" i="12"/>
  <c r="G135" i="12"/>
  <c r="F135" i="12"/>
  <c r="E135" i="12"/>
  <c r="D135" i="12"/>
  <c r="J130" i="12"/>
  <c r="I130" i="12"/>
  <c r="H130" i="12"/>
  <c r="G130" i="12"/>
  <c r="F130" i="12"/>
  <c r="E130" i="12"/>
  <c r="D130" i="12"/>
  <c r="J125" i="12"/>
  <c r="I125" i="12"/>
  <c r="H125" i="12"/>
  <c r="G125" i="12"/>
  <c r="F125" i="12"/>
  <c r="E125" i="12"/>
  <c r="D125" i="12"/>
  <c r="J122" i="12"/>
  <c r="I122" i="12"/>
  <c r="H122" i="12"/>
  <c r="G122" i="12"/>
  <c r="F122" i="12"/>
  <c r="E122" i="12"/>
  <c r="D122" i="12"/>
  <c r="J121" i="12"/>
  <c r="I121" i="12"/>
  <c r="H121" i="12"/>
  <c r="G121" i="12"/>
  <c r="F121" i="12"/>
  <c r="E121" i="12"/>
  <c r="D121" i="12"/>
  <c r="J116" i="12"/>
  <c r="I116" i="12"/>
  <c r="H116" i="12"/>
  <c r="G116" i="12"/>
  <c r="F116" i="12"/>
  <c r="E116" i="12"/>
  <c r="D116" i="12"/>
  <c r="J115" i="12"/>
  <c r="I115" i="12"/>
  <c r="H115" i="12"/>
  <c r="G115" i="12"/>
  <c r="F115" i="12"/>
  <c r="E115" i="12"/>
  <c r="D115" i="12"/>
  <c r="J114" i="12"/>
  <c r="I114" i="12"/>
  <c r="H114" i="12"/>
  <c r="G114" i="12"/>
  <c r="F114" i="12"/>
  <c r="E114" i="12"/>
  <c r="D114" i="12"/>
  <c r="J113" i="12"/>
  <c r="I113" i="12"/>
  <c r="H113" i="12"/>
  <c r="G113" i="12"/>
  <c r="F113" i="12"/>
  <c r="E113" i="12"/>
  <c r="D113" i="12"/>
  <c r="J110" i="12"/>
  <c r="I110" i="12"/>
  <c r="H110" i="12"/>
  <c r="G110" i="12"/>
  <c r="F110" i="12"/>
  <c r="E110" i="12"/>
  <c r="D110" i="12"/>
  <c r="J109" i="12"/>
  <c r="I109" i="12"/>
  <c r="H109" i="12"/>
  <c r="G109" i="12"/>
  <c r="F109" i="12"/>
  <c r="E109" i="12"/>
  <c r="D109" i="12"/>
  <c r="J108" i="12"/>
  <c r="I108" i="12"/>
  <c r="H108" i="12"/>
  <c r="G108" i="12"/>
  <c r="F108" i="12"/>
  <c r="E108" i="12"/>
  <c r="D108" i="12"/>
  <c r="J107" i="12"/>
  <c r="I107" i="12"/>
  <c r="H107" i="12"/>
  <c r="G107" i="12"/>
  <c r="F107" i="12"/>
  <c r="E107" i="12"/>
  <c r="D107" i="12"/>
  <c r="J104" i="12"/>
  <c r="I104" i="12"/>
  <c r="H104" i="12"/>
  <c r="G104" i="12"/>
  <c r="F104" i="12"/>
  <c r="E104" i="12"/>
  <c r="D104" i="12"/>
  <c r="J103" i="12"/>
  <c r="I103" i="12"/>
  <c r="H103" i="12"/>
  <c r="G103" i="12"/>
  <c r="F103" i="12"/>
  <c r="E103" i="12"/>
  <c r="D103" i="12"/>
  <c r="J102" i="12"/>
  <c r="I102" i="12"/>
  <c r="H102" i="12"/>
  <c r="G102" i="12"/>
  <c r="F102" i="12"/>
  <c r="E102" i="12"/>
  <c r="D102" i="12"/>
  <c r="J101" i="12"/>
  <c r="I101" i="12"/>
  <c r="H101" i="12"/>
  <c r="G101" i="12"/>
  <c r="F101" i="12"/>
  <c r="E101" i="12"/>
  <c r="D101" i="12"/>
  <c r="J84" i="12"/>
  <c r="I84" i="12"/>
  <c r="H84" i="12"/>
  <c r="G84" i="12"/>
  <c r="F84" i="12"/>
  <c r="E84" i="12"/>
  <c r="D84" i="12"/>
  <c r="J78" i="12"/>
  <c r="I78" i="12"/>
  <c r="H78" i="12"/>
  <c r="G78" i="12"/>
  <c r="F78" i="12"/>
  <c r="E78" i="12"/>
  <c r="D78" i="12"/>
  <c r="J72" i="12"/>
  <c r="I72" i="12"/>
  <c r="H72" i="12"/>
  <c r="G72" i="12"/>
  <c r="F72" i="12"/>
  <c r="E72" i="12"/>
  <c r="D72" i="12"/>
  <c r="J66" i="12"/>
  <c r="I66" i="12"/>
  <c r="H66" i="12"/>
  <c r="G66" i="12"/>
  <c r="F66" i="12"/>
  <c r="E66" i="12"/>
  <c r="D66" i="12"/>
  <c r="J63" i="12"/>
  <c r="I63" i="12"/>
  <c r="H63" i="12"/>
  <c r="G63" i="12"/>
  <c r="F63" i="12"/>
  <c r="E63" i="12"/>
  <c r="D63" i="12"/>
  <c r="J61" i="12"/>
  <c r="I61" i="12"/>
  <c r="H61" i="12"/>
  <c r="G61" i="12"/>
  <c r="F61" i="12"/>
  <c r="E61" i="12"/>
  <c r="D61" i="12"/>
  <c r="J98" i="12"/>
  <c r="I98" i="12"/>
  <c r="H98" i="12"/>
  <c r="G98" i="12"/>
  <c r="F98" i="12"/>
  <c r="E98" i="12"/>
  <c r="D98" i="12"/>
  <c r="J87" i="12"/>
  <c r="I87" i="12"/>
  <c r="H87" i="12"/>
  <c r="G87" i="12"/>
  <c r="F87" i="12"/>
  <c r="E87" i="12"/>
  <c r="D87" i="12"/>
  <c r="J86" i="12"/>
  <c r="I86" i="12"/>
  <c r="H86" i="12"/>
  <c r="G86" i="12"/>
  <c r="F86" i="12"/>
  <c r="E86" i="12"/>
  <c r="D86" i="12"/>
  <c r="J85" i="12"/>
  <c r="I85" i="12"/>
  <c r="H85" i="12"/>
  <c r="G85" i="12"/>
  <c r="F85" i="12"/>
  <c r="E85" i="12"/>
  <c r="D85" i="12"/>
  <c r="J81" i="12"/>
  <c r="I81" i="12"/>
  <c r="H81" i="12"/>
  <c r="G81" i="12"/>
  <c r="F81" i="12"/>
  <c r="E81" i="12"/>
  <c r="D81" i="12"/>
  <c r="J80" i="12"/>
  <c r="I80" i="12"/>
  <c r="H80" i="12"/>
  <c r="G80" i="12"/>
  <c r="F80" i="12"/>
  <c r="E80" i="12"/>
  <c r="D80" i="12"/>
  <c r="J79" i="12"/>
  <c r="I79" i="12"/>
  <c r="H79" i="12"/>
  <c r="G79" i="12"/>
  <c r="F79" i="12"/>
  <c r="E79" i="12"/>
  <c r="D79" i="12"/>
  <c r="J75" i="12"/>
  <c r="I75" i="12"/>
  <c r="H75" i="12"/>
  <c r="G75" i="12"/>
  <c r="F75" i="12"/>
  <c r="E75" i="12"/>
  <c r="D75" i="12"/>
  <c r="J74" i="12"/>
  <c r="I74" i="12"/>
  <c r="H74" i="12"/>
  <c r="G74" i="12"/>
  <c r="F74" i="12"/>
  <c r="E74" i="12"/>
  <c r="D74" i="12"/>
  <c r="J73" i="12"/>
  <c r="I73" i="12"/>
  <c r="H73" i="12"/>
  <c r="G73" i="12"/>
  <c r="F73" i="12"/>
  <c r="E73" i="12"/>
  <c r="D73" i="12"/>
  <c r="J69" i="12"/>
  <c r="I69" i="12"/>
  <c r="H69" i="12"/>
  <c r="G69" i="12"/>
  <c r="F69" i="12"/>
  <c r="E69" i="12"/>
  <c r="D69" i="12"/>
  <c r="J68" i="12"/>
  <c r="I68" i="12"/>
  <c r="H68" i="12"/>
  <c r="G68" i="12"/>
  <c r="F68" i="12"/>
  <c r="E68" i="12"/>
  <c r="D68" i="12"/>
  <c r="J67" i="12"/>
  <c r="I67" i="12"/>
  <c r="H67" i="12"/>
  <c r="G67" i="12"/>
  <c r="F67" i="12"/>
  <c r="E67" i="12"/>
  <c r="D67" i="12"/>
  <c r="J56" i="12"/>
  <c r="I56" i="12"/>
  <c r="H56" i="12"/>
  <c r="G56" i="12"/>
  <c r="F56" i="12"/>
  <c r="E56" i="12"/>
  <c r="D56" i="12"/>
  <c r="J55" i="12"/>
  <c r="I55" i="12"/>
  <c r="H55" i="12"/>
  <c r="G55" i="12"/>
  <c r="F55" i="12"/>
  <c r="E55" i="12"/>
  <c r="D55" i="12"/>
  <c r="J54" i="12"/>
  <c r="I54" i="12"/>
  <c r="H54" i="12"/>
  <c r="G54" i="12"/>
  <c r="F54" i="12"/>
  <c r="E54" i="12"/>
  <c r="D54" i="12"/>
  <c r="J49" i="12"/>
  <c r="I49" i="12"/>
  <c r="H49" i="12"/>
  <c r="G49" i="12"/>
  <c r="F49" i="12"/>
  <c r="E49" i="12"/>
  <c r="D49" i="12"/>
  <c r="J46" i="12"/>
  <c r="H46" i="12"/>
  <c r="G46" i="12"/>
  <c r="F46" i="12"/>
  <c r="E46" i="12"/>
  <c r="D46" i="12"/>
  <c r="J44" i="12"/>
  <c r="I44" i="12"/>
  <c r="H44" i="12"/>
  <c r="G44" i="12"/>
  <c r="F44" i="12"/>
  <c r="E44" i="12"/>
  <c r="D44" i="12"/>
  <c r="J39" i="12"/>
  <c r="H39" i="12"/>
  <c r="G39" i="12"/>
  <c r="F39" i="12"/>
  <c r="E39" i="12"/>
  <c r="D39" i="12"/>
  <c r="J37" i="12"/>
  <c r="H37" i="12"/>
  <c r="G37" i="12"/>
  <c r="F37" i="12"/>
  <c r="E37" i="12"/>
  <c r="D37" i="12"/>
  <c r="J35" i="12"/>
  <c r="I35" i="12"/>
  <c r="H35" i="12"/>
  <c r="G35" i="12"/>
  <c r="F35" i="12"/>
  <c r="E35" i="12"/>
  <c r="D35" i="12"/>
  <c r="J33" i="12"/>
  <c r="I33" i="12"/>
  <c r="H33" i="12"/>
  <c r="G33" i="12"/>
  <c r="F33" i="12"/>
  <c r="E33" i="12"/>
  <c r="D33" i="12"/>
  <c r="J31" i="12"/>
  <c r="I31" i="12"/>
  <c r="H31" i="12"/>
  <c r="G31" i="12"/>
  <c r="F31" i="12"/>
  <c r="E31" i="12"/>
  <c r="D31" i="12"/>
  <c r="J29" i="12"/>
  <c r="I29" i="12"/>
  <c r="H29" i="12"/>
  <c r="G29" i="12"/>
  <c r="F29" i="12"/>
  <c r="E29" i="12"/>
  <c r="D29" i="12"/>
  <c r="P262" i="11"/>
  <c r="P261" i="11"/>
  <c r="M208" i="12" l="1"/>
  <c r="M221" i="12"/>
  <c r="M197" i="12"/>
  <c r="M234" i="12"/>
  <c r="E263" i="17"/>
  <c r="M72" i="12"/>
  <c r="D105" i="12"/>
  <c r="M108" i="12"/>
  <c r="D117" i="12"/>
  <c r="M128" i="12"/>
  <c r="M158" i="12"/>
  <c r="M167" i="12"/>
  <c r="M175" i="12"/>
  <c r="M185" i="12"/>
  <c r="M195" i="12"/>
  <c r="M207" i="12"/>
  <c r="M220" i="12"/>
  <c r="M233" i="12"/>
  <c r="M63" i="12"/>
  <c r="M116" i="12"/>
  <c r="M138" i="12"/>
  <c r="M156" i="12"/>
  <c r="M164" i="12"/>
  <c r="M173" i="12"/>
  <c r="M182" i="12"/>
  <c r="M192" i="12"/>
  <c r="M203" i="12"/>
  <c r="M215" i="12"/>
  <c r="M228" i="12"/>
  <c r="M241" i="12"/>
  <c r="M29" i="12"/>
  <c r="M44" i="12"/>
  <c r="M159" i="12"/>
  <c r="M168" i="12"/>
  <c r="M177" i="12"/>
  <c r="M186" i="12"/>
  <c r="M56" i="12"/>
  <c r="M66" i="12"/>
  <c r="M107" i="12"/>
  <c r="M121" i="12"/>
  <c r="M127" i="12"/>
  <c r="M157" i="12"/>
  <c r="M165" i="12"/>
  <c r="M174" i="12"/>
  <c r="M184" i="12"/>
  <c r="M194" i="12"/>
  <c r="M206" i="12"/>
  <c r="M219" i="12"/>
  <c r="M232" i="12"/>
  <c r="M103" i="12"/>
  <c r="M115" i="12"/>
  <c r="M137" i="12"/>
  <c r="M69" i="12"/>
  <c r="M84" i="12"/>
  <c r="M68" i="12"/>
  <c r="M85" i="12"/>
  <c r="M78" i="12"/>
  <c r="M109" i="12"/>
  <c r="M131" i="12"/>
  <c r="M67" i="12"/>
  <c r="M81" i="12"/>
  <c r="M35" i="12"/>
  <c r="M80" i="12"/>
  <c r="M55" i="12"/>
  <c r="M79" i="12"/>
  <c r="M104" i="12"/>
  <c r="M126" i="12"/>
  <c r="M262" i="12"/>
  <c r="M54" i="12"/>
  <c r="M75" i="12"/>
  <c r="M61" i="12"/>
  <c r="M155" i="12"/>
  <c r="M163" i="12"/>
  <c r="M172" i="12"/>
  <c r="M181" i="12"/>
  <c r="M191" i="12"/>
  <c r="M202" i="12"/>
  <c r="M214" i="12"/>
  <c r="M227" i="12"/>
  <c r="M240" i="12"/>
  <c r="M261" i="12"/>
  <c r="M49" i="12"/>
  <c r="M74" i="12"/>
  <c r="M98" i="12"/>
  <c r="M102" i="12"/>
  <c r="M114" i="12"/>
  <c r="M136" i="12"/>
  <c r="M154" i="12"/>
  <c r="M162" i="12"/>
  <c r="M171" i="12"/>
  <c r="M180" i="12"/>
  <c r="M190" i="12"/>
  <c r="M201" i="12"/>
  <c r="M213" i="12"/>
  <c r="M226" i="12"/>
  <c r="M239" i="12"/>
  <c r="M33" i="12"/>
  <c r="M73" i="12"/>
  <c r="M87" i="12"/>
  <c r="M101" i="12"/>
  <c r="M113" i="12"/>
  <c r="M133" i="12"/>
  <c r="M153" i="12"/>
  <c r="M161" i="12"/>
  <c r="M170" i="12"/>
  <c r="M179" i="12"/>
  <c r="M189" i="12"/>
  <c r="M200" i="12"/>
  <c r="M212" i="12"/>
  <c r="M225" i="12"/>
  <c r="M238" i="12"/>
  <c r="M31" i="12"/>
  <c r="M86" i="12"/>
  <c r="M110" i="12"/>
  <c r="M132" i="12"/>
  <c r="M160" i="12"/>
  <c r="M169" i="12"/>
  <c r="M178" i="12"/>
  <c r="M187" i="12"/>
  <c r="M199" i="12"/>
  <c r="M209" i="12"/>
  <c r="M222" i="12"/>
  <c r="M235" i="12"/>
  <c r="M122" i="12"/>
  <c r="M143" i="12"/>
  <c r="M257" i="12"/>
  <c r="M141" i="12"/>
  <c r="M254" i="12"/>
  <c r="M253" i="12"/>
  <c r="M261" i="17"/>
  <c r="M262" i="17"/>
  <c r="M113" i="17"/>
  <c r="M114" i="17"/>
  <c r="M115" i="17"/>
  <c r="M116" i="17"/>
  <c r="D111" i="12"/>
  <c r="M80" i="17"/>
  <c r="M86" i="17"/>
  <c r="M245" i="17"/>
  <c r="M246" i="17"/>
  <c r="D41" i="12"/>
  <c r="J148" i="12"/>
  <c r="G263" i="12"/>
  <c r="H148" i="12"/>
  <c r="K263" i="17"/>
  <c r="H263" i="12"/>
  <c r="E236" i="12"/>
  <c r="J263" i="17"/>
  <c r="I263" i="12"/>
  <c r="H88" i="12"/>
  <c r="H89" i="12" s="1"/>
  <c r="F263" i="17"/>
  <c r="K236" i="12"/>
  <c r="J236" i="12"/>
  <c r="J145" i="12"/>
  <c r="I263" i="17"/>
  <c r="P263" i="11"/>
  <c r="I236" i="12"/>
  <c r="H236" i="12"/>
  <c r="H145" i="12"/>
  <c r="G236" i="12"/>
  <c r="G145" i="12"/>
  <c r="F236" i="12"/>
  <c r="F93" i="12"/>
  <c r="E145" i="12"/>
  <c r="D236" i="12"/>
  <c r="D145" i="12"/>
  <c r="M125" i="12"/>
  <c r="D263" i="17"/>
  <c r="G263" i="17"/>
  <c r="H263" i="17"/>
  <c r="K145" i="12"/>
  <c r="D148" i="11"/>
  <c r="K263" i="12"/>
  <c r="D263" i="11"/>
  <c r="D146" i="11"/>
  <c r="J134" i="12"/>
  <c r="F263" i="12"/>
  <c r="F88" i="12"/>
  <c r="F89" i="12" s="1"/>
  <c r="H90" i="12"/>
  <c r="K134" i="12"/>
  <c r="G134" i="12"/>
  <c r="I147" i="12"/>
  <c r="G139" i="12"/>
  <c r="K139" i="12"/>
  <c r="F134" i="12"/>
  <c r="H139" i="12"/>
  <c r="J88" i="12"/>
  <c r="J89" i="12" s="1"/>
  <c r="I148" i="12"/>
  <c r="E263" i="12"/>
  <c r="I90" i="12"/>
  <c r="I144" i="12"/>
  <c r="J139" i="12"/>
  <c r="I145" i="12"/>
  <c r="I146" i="12"/>
  <c r="D147" i="11"/>
  <c r="D236" i="11"/>
  <c r="I134" i="12"/>
  <c r="I88" i="12"/>
  <c r="I139" i="12"/>
  <c r="H146" i="12"/>
  <c r="H92" i="12"/>
  <c r="F92" i="12"/>
  <c r="F91" i="12"/>
  <c r="F256" i="12" s="1"/>
  <c r="E134" i="12"/>
  <c r="K144" i="12"/>
  <c r="K148" i="12"/>
  <c r="K129" i="12"/>
  <c r="K147" i="12"/>
  <c r="D148" i="12"/>
  <c r="D139" i="12"/>
  <c r="D129" i="12"/>
  <c r="D93" i="12"/>
  <c r="K146" i="12"/>
  <c r="K88" i="12"/>
  <c r="K89" i="12" s="1"/>
  <c r="K93" i="12"/>
  <c r="K92" i="12"/>
  <c r="K91" i="12"/>
  <c r="K256" i="12" s="1"/>
  <c r="J147" i="12"/>
  <c r="J144" i="12"/>
  <c r="J129" i="12"/>
  <c r="J146" i="12"/>
  <c r="J93" i="12"/>
  <c r="J92" i="12"/>
  <c r="J91" i="12"/>
  <c r="J256" i="12" s="1"/>
  <c r="I129" i="12"/>
  <c r="I92" i="12"/>
  <c r="I91" i="12"/>
  <c r="I93" i="12"/>
  <c r="H147" i="12"/>
  <c r="H144" i="12"/>
  <c r="H134" i="12"/>
  <c r="H129" i="12"/>
  <c r="H93" i="12"/>
  <c r="H91" i="12"/>
  <c r="H256" i="12" s="1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E129" i="12"/>
  <c r="E148" i="12"/>
  <c r="E144" i="12"/>
  <c r="E139" i="12"/>
  <c r="E146" i="12"/>
  <c r="E147" i="12"/>
  <c r="E93" i="12"/>
  <c r="D93" i="11"/>
  <c r="P93" i="11" s="1"/>
  <c r="D91" i="1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J90" i="12"/>
  <c r="F90" i="12"/>
  <c r="G90" i="12"/>
  <c r="K90" i="12"/>
  <c r="D90" i="12"/>
  <c r="D118" i="12" l="1"/>
  <c r="M93" i="12"/>
  <c r="M92" i="12"/>
  <c r="M90" i="12"/>
  <c r="I256" i="12"/>
  <c r="M256" i="12" s="1"/>
  <c r="M91" i="12"/>
  <c r="I89" i="12"/>
  <c r="M88" i="12"/>
  <c r="F94" i="12"/>
  <c r="F95" i="12" s="1"/>
  <c r="F255" i="12" s="1"/>
  <c r="D94" i="12"/>
  <c r="D95" i="12" s="1"/>
  <c r="D255" i="12" s="1"/>
  <c r="I149" i="12"/>
  <c r="M263" i="17"/>
  <c r="M117" i="17"/>
  <c r="K149" i="12"/>
  <c r="D94" i="11"/>
  <c r="J149" i="12"/>
  <c r="H149" i="12"/>
  <c r="H94" i="12"/>
  <c r="H95" i="12" s="1"/>
  <c r="H255" i="12" s="1"/>
  <c r="G94" i="12"/>
  <c r="G95" i="12" s="1"/>
  <c r="G255" i="12" s="1"/>
  <c r="K94" i="12"/>
  <c r="K95" i="12" s="1"/>
  <c r="K255" i="12" s="1"/>
  <c r="J94" i="12"/>
  <c r="J95" i="12" s="1"/>
  <c r="J255" i="12" s="1"/>
  <c r="I94" i="12"/>
  <c r="I95" i="12" s="1"/>
  <c r="I255" i="12" s="1"/>
  <c r="M263" i="12"/>
  <c r="G149" i="12"/>
  <c r="E149" i="12"/>
  <c r="E94" i="12"/>
  <c r="E95" i="12" s="1"/>
  <c r="E255" i="12" s="1"/>
  <c r="M255" i="12" l="1"/>
  <c r="I46" i="12"/>
  <c r="M46" i="12" s="1"/>
  <c r="P93" i="1" l="1"/>
  <c r="E147" i="11" l="1"/>
  <c r="D142" i="12"/>
  <c r="M142" i="12" s="1"/>
  <c r="D144" i="12" l="1"/>
  <c r="D147" i="12"/>
  <c r="D149" i="12" s="1"/>
  <c r="D236" i="1"/>
  <c r="D20" i="16" l="1"/>
  <c r="M20" i="16" s="1"/>
  <c r="D19" i="16"/>
  <c r="M19" i="16" s="1"/>
  <c r="D18" i="16"/>
  <c r="M18" i="16" s="1"/>
  <c r="D17" i="16"/>
  <c r="M17" i="16" s="1"/>
  <c r="D12" i="16"/>
  <c r="M12" i="16" s="1"/>
  <c r="D13" i="16"/>
  <c r="M13" i="16" s="1"/>
  <c r="D14" i="16"/>
  <c r="M14" i="16" s="1"/>
  <c r="D11" i="16"/>
  <c r="M11" i="16" s="1"/>
  <c r="D9" i="16"/>
  <c r="M9" i="16" s="1"/>
  <c r="M62" i="16" s="1"/>
  <c r="D20" i="15"/>
  <c r="D19" i="15"/>
  <c r="D18" i="15"/>
  <c r="D17" i="15"/>
  <c r="D12" i="15"/>
  <c r="D13" i="15"/>
  <c r="D14" i="15"/>
  <c r="D11" i="15"/>
  <c r="D9" i="15"/>
  <c r="M15" i="16" l="1"/>
  <c r="D20" i="13"/>
  <c r="D19" i="13"/>
  <c r="D18" i="13"/>
  <c r="D17" i="13"/>
  <c r="D12" i="13"/>
  <c r="D13" i="13"/>
  <c r="D14" i="13"/>
  <c r="D11" i="13"/>
  <c r="D9" i="13"/>
  <c r="L9" i="13" s="1"/>
  <c r="K36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I36" i="12" l="1"/>
  <c r="M247" i="17"/>
  <c r="K247" i="17"/>
  <c r="J247" i="17"/>
  <c r="I247" i="17"/>
  <c r="H247" i="17"/>
  <c r="G247" i="17"/>
  <c r="F247" i="17"/>
  <c r="E247" i="17"/>
  <c r="D247" i="17"/>
  <c r="K117" i="17"/>
  <c r="J117" i="17"/>
  <c r="I117" i="17"/>
  <c r="H117" i="17"/>
  <c r="G117" i="17"/>
  <c r="F117" i="17"/>
  <c r="E117" i="17"/>
  <c r="D117" i="17"/>
  <c r="M84" i="17"/>
  <c r="M78" i="17"/>
  <c r="M72" i="17"/>
  <c r="M66" i="17"/>
  <c r="K259" i="16"/>
  <c r="J259" i="16"/>
  <c r="I259" i="16"/>
  <c r="H259" i="16"/>
  <c r="F259" i="16"/>
  <c r="E259" i="16"/>
  <c r="K258" i="16"/>
  <c r="J258" i="16"/>
  <c r="I258" i="16"/>
  <c r="H258" i="16"/>
  <c r="F258" i="16"/>
  <c r="E258" i="16"/>
  <c r="M247" i="16"/>
  <c r="K247" i="16"/>
  <c r="J247" i="16"/>
  <c r="I247" i="16"/>
  <c r="H247" i="16"/>
  <c r="G247" i="16"/>
  <c r="F247" i="16"/>
  <c r="E247" i="16"/>
  <c r="D247" i="16"/>
  <c r="K242" i="16"/>
  <c r="J242" i="16"/>
  <c r="I242" i="16"/>
  <c r="H242" i="16"/>
  <c r="G242" i="16"/>
  <c r="F242" i="16"/>
  <c r="E242" i="16"/>
  <c r="D242" i="16"/>
  <c r="K229" i="16"/>
  <c r="J229" i="16"/>
  <c r="I229" i="16"/>
  <c r="H229" i="16"/>
  <c r="G229" i="16"/>
  <c r="F229" i="16"/>
  <c r="E229" i="16"/>
  <c r="D229" i="16"/>
  <c r="K223" i="16"/>
  <c r="J223" i="16"/>
  <c r="I223" i="16"/>
  <c r="H223" i="16"/>
  <c r="G223" i="16"/>
  <c r="F223" i="16"/>
  <c r="E223" i="16"/>
  <c r="D223" i="16"/>
  <c r="K216" i="16"/>
  <c r="J216" i="16"/>
  <c r="I216" i="16"/>
  <c r="H216" i="16"/>
  <c r="G216" i="16"/>
  <c r="F216" i="16"/>
  <c r="E216" i="16"/>
  <c r="D216" i="16"/>
  <c r="K210" i="16"/>
  <c r="J210" i="16"/>
  <c r="I210" i="16"/>
  <c r="H210" i="16"/>
  <c r="G210" i="16"/>
  <c r="F210" i="16"/>
  <c r="E210" i="16"/>
  <c r="D210" i="16"/>
  <c r="K204" i="16"/>
  <c r="J204" i="16"/>
  <c r="I204" i="16"/>
  <c r="H204" i="16"/>
  <c r="G204" i="16"/>
  <c r="F204" i="16"/>
  <c r="E204" i="16"/>
  <c r="D204" i="16"/>
  <c r="K193" i="16"/>
  <c r="J193" i="16"/>
  <c r="I193" i="16"/>
  <c r="H193" i="16"/>
  <c r="G193" i="16"/>
  <c r="F193" i="16"/>
  <c r="E193" i="16"/>
  <c r="D193" i="16"/>
  <c r="M148" i="16"/>
  <c r="K123" i="16"/>
  <c r="J123" i="16"/>
  <c r="I123" i="16"/>
  <c r="H123" i="16"/>
  <c r="G123" i="16"/>
  <c r="F123" i="16"/>
  <c r="E123" i="16"/>
  <c r="D123" i="16"/>
  <c r="K117" i="16"/>
  <c r="J117" i="16"/>
  <c r="I117" i="16"/>
  <c r="H117" i="16"/>
  <c r="G117" i="16"/>
  <c r="F117" i="16"/>
  <c r="E117" i="16"/>
  <c r="D117" i="16"/>
  <c r="K111" i="16"/>
  <c r="K118" i="16" s="1"/>
  <c r="J111" i="16"/>
  <c r="I111" i="16"/>
  <c r="H111" i="16"/>
  <c r="G111" i="16"/>
  <c r="F111" i="16"/>
  <c r="F118" i="16" s="1"/>
  <c r="E111" i="16"/>
  <c r="D111" i="16"/>
  <c r="K105" i="16"/>
  <c r="J105" i="16"/>
  <c r="I105" i="16"/>
  <c r="H105" i="16"/>
  <c r="G105" i="16"/>
  <c r="F105" i="16"/>
  <c r="E105" i="16"/>
  <c r="D105" i="16"/>
  <c r="M84" i="16"/>
  <c r="M76" i="16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K62" i="16"/>
  <c r="J62" i="16"/>
  <c r="I62" i="16"/>
  <c r="H62" i="16"/>
  <c r="G62" i="16"/>
  <c r="F62" i="16"/>
  <c r="E62" i="16"/>
  <c r="K47" i="16"/>
  <c r="J47" i="16"/>
  <c r="I47" i="16"/>
  <c r="H47" i="16"/>
  <c r="G47" i="16"/>
  <c r="F47" i="16"/>
  <c r="E47" i="16"/>
  <c r="K45" i="16"/>
  <c r="J45" i="16"/>
  <c r="I45" i="16"/>
  <c r="H45" i="16"/>
  <c r="G45" i="16"/>
  <c r="F45" i="16"/>
  <c r="E45" i="16"/>
  <c r="K40" i="16"/>
  <c r="J40" i="16"/>
  <c r="I40" i="16"/>
  <c r="H40" i="16"/>
  <c r="G40" i="16"/>
  <c r="F40" i="16"/>
  <c r="E40" i="16"/>
  <c r="K38" i="16"/>
  <c r="J38" i="16"/>
  <c r="I38" i="16"/>
  <c r="H38" i="16"/>
  <c r="G38" i="16"/>
  <c r="F38" i="16"/>
  <c r="E38" i="16"/>
  <c r="K34" i="16"/>
  <c r="J34" i="16"/>
  <c r="I34" i="16"/>
  <c r="H34" i="16"/>
  <c r="G34" i="16"/>
  <c r="F34" i="16"/>
  <c r="E34" i="16"/>
  <c r="K32" i="16"/>
  <c r="J32" i="16"/>
  <c r="I32" i="16"/>
  <c r="H32" i="16"/>
  <c r="G32" i="16"/>
  <c r="F32" i="16"/>
  <c r="E32" i="16"/>
  <c r="K30" i="16"/>
  <c r="J30" i="16"/>
  <c r="I30" i="16"/>
  <c r="H30" i="16"/>
  <c r="G30" i="16"/>
  <c r="F30" i="16"/>
  <c r="E30" i="16"/>
  <c r="K21" i="16"/>
  <c r="J21" i="16"/>
  <c r="I21" i="16"/>
  <c r="H21" i="16"/>
  <c r="G21" i="16"/>
  <c r="F21" i="16"/>
  <c r="E21" i="16"/>
  <c r="K15" i="16"/>
  <c r="J15" i="16"/>
  <c r="I15" i="16"/>
  <c r="H15" i="16"/>
  <c r="G15" i="16"/>
  <c r="F15" i="16"/>
  <c r="E15" i="16"/>
  <c r="D47" i="16"/>
  <c r="K259" i="15"/>
  <c r="J259" i="15"/>
  <c r="I259" i="15"/>
  <c r="H259" i="15"/>
  <c r="G259" i="15"/>
  <c r="F259" i="15"/>
  <c r="E259" i="15"/>
  <c r="K258" i="15"/>
  <c r="J258" i="15"/>
  <c r="I258" i="15"/>
  <c r="H258" i="15"/>
  <c r="G258" i="15"/>
  <c r="F258" i="15"/>
  <c r="E258" i="15"/>
  <c r="D258" i="15"/>
  <c r="L257" i="15"/>
  <c r="L256" i="15"/>
  <c r="L254" i="15"/>
  <c r="L253" i="15"/>
  <c r="L247" i="15"/>
  <c r="K242" i="15"/>
  <c r="J242" i="15"/>
  <c r="I242" i="15"/>
  <c r="H242" i="15"/>
  <c r="G242" i="15"/>
  <c r="F242" i="15"/>
  <c r="E242" i="15"/>
  <c r="D242" i="15"/>
  <c r="L241" i="15"/>
  <c r="L240" i="15"/>
  <c r="L239" i="15"/>
  <c r="L238" i="15"/>
  <c r="L235" i="15"/>
  <c r="L234" i="15"/>
  <c r="L233" i="15"/>
  <c r="L232" i="15"/>
  <c r="K229" i="15"/>
  <c r="J229" i="15"/>
  <c r="I229" i="15"/>
  <c r="H229" i="15"/>
  <c r="G229" i="15"/>
  <c r="F229" i="15"/>
  <c r="E229" i="15"/>
  <c r="D229" i="15"/>
  <c r="L228" i="15"/>
  <c r="L227" i="15"/>
  <c r="L226" i="15"/>
  <c r="L225" i="15"/>
  <c r="K223" i="15"/>
  <c r="J223" i="15"/>
  <c r="I223" i="15"/>
  <c r="H223" i="15"/>
  <c r="G223" i="15"/>
  <c r="F223" i="15"/>
  <c r="E223" i="15"/>
  <c r="D223" i="15"/>
  <c r="L222" i="15"/>
  <c r="L221" i="15"/>
  <c r="L220" i="15"/>
  <c r="L219" i="15"/>
  <c r="K216" i="15"/>
  <c r="J216" i="15"/>
  <c r="I216" i="15"/>
  <c r="H216" i="15"/>
  <c r="G216" i="15"/>
  <c r="F216" i="15"/>
  <c r="E216" i="15"/>
  <c r="D216" i="15"/>
  <c r="L215" i="15"/>
  <c r="L214" i="15"/>
  <c r="L213" i="15"/>
  <c r="L212" i="15"/>
  <c r="K210" i="15"/>
  <c r="J210" i="15"/>
  <c r="I210" i="15"/>
  <c r="H210" i="15"/>
  <c r="G210" i="15"/>
  <c r="F210" i="15"/>
  <c r="E210" i="15"/>
  <c r="D210" i="15"/>
  <c r="L209" i="15"/>
  <c r="L208" i="15"/>
  <c r="L207" i="15"/>
  <c r="L206" i="15"/>
  <c r="K204" i="15"/>
  <c r="J204" i="15"/>
  <c r="I204" i="15"/>
  <c r="H204" i="15"/>
  <c r="G204" i="15"/>
  <c r="F204" i="15"/>
  <c r="E204" i="15"/>
  <c r="D204" i="15"/>
  <c r="L203" i="15"/>
  <c r="L202" i="15"/>
  <c r="L201" i="15"/>
  <c r="L200" i="15"/>
  <c r="L199" i="15"/>
  <c r="L197" i="15"/>
  <c r="L195" i="15"/>
  <c r="L194" i="15"/>
  <c r="K193" i="15"/>
  <c r="J193" i="15"/>
  <c r="I193" i="15"/>
  <c r="H193" i="15"/>
  <c r="G193" i="15"/>
  <c r="F193" i="15"/>
  <c r="E193" i="15"/>
  <c r="D193" i="15"/>
  <c r="L192" i="15"/>
  <c r="L191" i="15"/>
  <c r="L190" i="15"/>
  <c r="L189" i="15"/>
  <c r="L187" i="15"/>
  <c r="L186" i="15"/>
  <c r="L185" i="15"/>
  <c r="L184" i="15"/>
  <c r="L182" i="15"/>
  <c r="L181" i="15"/>
  <c r="L180" i="15"/>
  <c r="L179" i="15"/>
  <c r="L178" i="15"/>
  <c r="L177" i="15"/>
  <c r="L175" i="15"/>
  <c r="L174" i="15"/>
  <c r="L173" i="15"/>
  <c r="L172" i="15"/>
  <c r="L171" i="15"/>
  <c r="L170" i="15"/>
  <c r="L169" i="15"/>
  <c r="L168" i="15"/>
  <c r="L167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43" i="15"/>
  <c r="L142" i="15"/>
  <c r="L141" i="15"/>
  <c r="L140" i="15"/>
  <c r="L138" i="15"/>
  <c r="L137" i="15"/>
  <c r="L136" i="15"/>
  <c r="L135" i="15"/>
  <c r="L133" i="15"/>
  <c r="L132" i="15"/>
  <c r="L131" i="15"/>
  <c r="L130" i="15"/>
  <c r="L128" i="15"/>
  <c r="L127" i="15"/>
  <c r="L126" i="15"/>
  <c r="L125" i="15"/>
  <c r="K123" i="15"/>
  <c r="J123" i="15"/>
  <c r="I123" i="15"/>
  <c r="H123" i="15"/>
  <c r="G123" i="15"/>
  <c r="F123" i="15"/>
  <c r="E123" i="15"/>
  <c r="D123" i="15"/>
  <c r="L118" i="15"/>
  <c r="L119" i="15" s="1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L98" i="15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L63" i="15"/>
  <c r="K62" i="15"/>
  <c r="J62" i="15"/>
  <c r="I62" i="15"/>
  <c r="H62" i="15"/>
  <c r="G62" i="15"/>
  <c r="F62" i="15"/>
  <c r="E62" i="15"/>
  <c r="L56" i="15"/>
  <c r="L55" i="15"/>
  <c r="L54" i="15"/>
  <c r="L51" i="15"/>
  <c r="L50" i="15"/>
  <c r="L49" i="15"/>
  <c r="K47" i="15"/>
  <c r="J47" i="15"/>
  <c r="I47" i="15"/>
  <c r="H47" i="15"/>
  <c r="G47" i="15"/>
  <c r="F47" i="15"/>
  <c r="E47" i="15"/>
  <c r="L46" i="15"/>
  <c r="K45" i="15"/>
  <c r="J45" i="15"/>
  <c r="I45" i="15"/>
  <c r="H45" i="15"/>
  <c r="G45" i="15"/>
  <c r="F45" i="15"/>
  <c r="E45" i="15"/>
  <c r="L44" i="15"/>
  <c r="J40" i="15"/>
  <c r="I40" i="15"/>
  <c r="H40" i="15"/>
  <c r="G40" i="15"/>
  <c r="F40" i="15"/>
  <c r="E40" i="15"/>
  <c r="J38" i="15"/>
  <c r="I38" i="15"/>
  <c r="H38" i="15"/>
  <c r="G38" i="15"/>
  <c r="F38" i="15"/>
  <c r="E38" i="15"/>
  <c r="K34" i="15"/>
  <c r="J34" i="15"/>
  <c r="I34" i="15"/>
  <c r="H34" i="15"/>
  <c r="G34" i="15"/>
  <c r="F34" i="15"/>
  <c r="E34" i="15"/>
  <c r="L33" i="15"/>
  <c r="K32" i="15"/>
  <c r="J32" i="15"/>
  <c r="I32" i="15"/>
  <c r="H32" i="15"/>
  <c r="G32" i="15"/>
  <c r="F32" i="15"/>
  <c r="E32" i="15"/>
  <c r="L31" i="15"/>
  <c r="K30" i="15"/>
  <c r="J30" i="15"/>
  <c r="I30" i="15"/>
  <c r="H30" i="15"/>
  <c r="G30" i="15"/>
  <c r="F30" i="15"/>
  <c r="E30" i="15"/>
  <c r="L29" i="15"/>
  <c r="K21" i="15"/>
  <c r="J21" i="15"/>
  <c r="I21" i="15"/>
  <c r="H21" i="15"/>
  <c r="G21" i="15"/>
  <c r="F21" i="15"/>
  <c r="L20" i="15"/>
  <c r="L19" i="15"/>
  <c r="L18" i="15"/>
  <c r="L17" i="15"/>
  <c r="K15" i="15"/>
  <c r="J15" i="15"/>
  <c r="I15" i="15"/>
  <c r="H15" i="15"/>
  <c r="G15" i="15"/>
  <c r="F15" i="15"/>
  <c r="E15" i="15"/>
  <c r="L14" i="15"/>
  <c r="L13" i="15"/>
  <c r="L12" i="15"/>
  <c r="D15" i="15"/>
  <c r="D47" i="15"/>
  <c r="K259" i="13"/>
  <c r="J259" i="13"/>
  <c r="I259" i="13"/>
  <c r="H259" i="13"/>
  <c r="F259" i="13"/>
  <c r="E259" i="13"/>
  <c r="K258" i="13"/>
  <c r="J258" i="13"/>
  <c r="I258" i="13"/>
  <c r="H258" i="13"/>
  <c r="G258" i="13"/>
  <c r="F258" i="13"/>
  <c r="E258" i="13"/>
  <c r="D258" i="13"/>
  <c r="L257" i="13"/>
  <c r="L256" i="13"/>
  <c r="L254" i="13"/>
  <c r="L253" i="13"/>
  <c r="K247" i="13"/>
  <c r="J247" i="13"/>
  <c r="I247" i="13"/>
  <c r="H247" i="13"/>
  <c r="G247" i="13"/>
  <c r="F247" i="13"/>
  <c r="E247" i="13"/>
  <c r="D247" i="13"/>
  <c r="K242" i="13"/>
  <c r="J242" i="13"/>
  <c r="I242" i="13"/>
  <c r="H242" i="13"/>
  <c r="G242" i="13"/>
  <c r="F242" i="13"/>
  <c r="E242" i="13"/>
  <c r="D242" i="13"/>
  <c r="L241" i="13"/>
  <c r="L240" i="13"/>
  <c r="L239" i="13"/>
  <c r="L238" i="13"/>
  <c r="L235" i="13"/>
  <c r="L234" i="13"/>
  <c r="L233" i="13"/>
  <c r="L232" i="13"/>
  <c r="K229" i="13"/>
  <c r="J229" i="13"/>
  <c r="I229" i="13"/>
  <c r="H229" i="13"/>
  <c r="G229" i="13"/>
  <c r="F229" i="13"/>
  <c r="E229" i="13"/>
  <c r="D229" i="13"/>
  <c r="L228" i="13"/>
  <c r="L227" i="13"/>
  <c r="L226" i="13"/>
  <c r="L225" i="13"/>
  <c r="K223" i="13"/>
  <c r="J223" i="13"/>
  <c r="I223" i="13"/>
  <c r="H223" i="13"/>
  <c r="G223" i="13"/>
  <c r="F223" i="13"/>
  <c r="E223" i="13"/>
  <c r="D223" i="13"/>
  <c r="L222" i="13"/>
  <c r="L221" i="13"/>
  <c r="L220" i="13"/>
  <c r="L219" i="13"/>
  <c r="K216" i="13"/>
  <c r="J216" i="13"/>
  <c r="I216" i="13"/>
  <c r="H216" i="13"/>
  <c r="G216" i="13"/>
  <c r="F216" i="13"/>
  <c r="E216" i="13"/>
  <c r="D216" i="13"/>
  <c r="L215" i="13"/>
  <c r="L214" i="13"/>
  <c r="L213" i="13"/>
  <c r="L212" i="13"/>
  <c r="K210" i="13"/>
  <c r="J210" i="13"/>
  <c r="I210" i="13"/>
  <c r="H210" i="13"/>
  <c r="G210" i="13"/>
  <c r="F210" i="13"/>
  <c r="E210" i="13"/>
  <c r="D210" i="13"/>
  <c r="L209" i="13"/>
  <c r="L208" i="13"/>
  <c r="L207" i="13"/>
  <c r="L206" i="13"/>
  <c r="K204" i="13"/>
  <c r="J204" i="13"/>
  <c r="I204" i="13"/>
  <c r="H204" i="13"/>
  <c r="G204" i="13"/>
  <c r="F204" i="13"/>
  <c r="E204" i="13"/>
  <c r="D204" i="13"/>
  <c r="L203" i="13"/>
  <c r="L202" i="13"/>
  <c r="L201" i="13"/>
  <c r="L200" i="13"/>
  <c r="L199" i="13"/>
  <c r="L197" i="13"/>
  <c r="L194" i="13"/>
  <c r="K193" i="13"/>
  <c r="J193" i="13"/>
  <c r="I193" i="13"/>
  <c r="H193" i="13"/>
  <c r="G193" i="13"/>
  <c r="F193" i="13"/>
  <c r="D193" i="13"/>
  <c r="L191" i="13"/>
  <c r="L190" i="13"/>
  <c r="L189" i="13"/>
  <c r="L187" i="13"/>
  <c r="L186" i="13"/>
  <c r="L185" i="13"/>
  <c r="L184" i="13"/>
  <c r="L182" i="13"/>
  <c r="L181" i="13"/>
  <c r="L180" i="13"/>
  <c r="L179" i="13"/>
  <c r="L178" i="13"/>
  <c r="L177" i="13"/>
  <c r="L175" i="13"/>
  <c r="L174" i="13"/>
  <c r="L173" i="13"/>
  <c r="L172" i="13"/>
  <c r="L171" i="13"/>
  <c r="L170" i="13"/>
  <c r="L169" i="13"/>
  <c r="L168" i="13"/>
  <c r="L167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K123" i="13"/>
  <c r="J123" i="13"/>
  <c r="I123" i="13"/>
  <c r="H123" i="13"/>
  <c r="G123" i="13"/>
  <c r="F123" i="13"/>
  <c r="E123" i="13"/>
  <c r="D123" i="13"/>
  <c r="K118" i="13"/>
  <c r="J118" i="13"/>
  <c r="I118" i="13"/>
  <c r="H118" i="13"/>
  <c r="G118" i="13"/>
  <c r="F118" i="13"/>
  <c r="E118" i="13"/>
  <c r="K105" i="13"/>
  <c r="J105" i="13"/>
  <c r="I105" i="13"/>
  <c r="H105" i="13"/>
  <c r="G105" i="13"/>
  <c r="F105" i="13"/>
  <c r="E105" i="13"/>
  <c r="L98" i="13"/>
  <c r="L87" i="13"/>
  <c r="L85" i="13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L74" i="13"/>
  <c r="L76" i="13" s="1"/>
  <c r="L73" i="13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L69" i="13"/>
  <c r="L68" i="13"/>
  <c r="L67" i="13"/>
  <c r="L63" i="13"/>
  <c r="K62" i="13"/>
  <c r="J62" i="13"/>
  <c r="I62" i="13"/>
  <c r="H62" i="13"/>
  <c r="G62" i="13"/>
  <c r="F62" i="13"/>
  <c r="E62" i="13"/>
  <c r="L56" i="13"/>
  <c r="L55" i="13"/>
  <c r="L54" i="13"/>
  <c r="L51" i="13"/>
  <c r="L50" i="13"/>
  <c r="L49" i="13"/>
  <c r="K47" i="13"/>
  <c r="J47" i="13"/>
  <c r="I47" i="13"/>
  <c r="H47" i="13"/>
  <c r="G47" i="13"/>
  <c r="F47" i="13"/>
  <c r="E47" i="13"/>
  <c r="L46" i="13"/>
  <c r="K45" i="13"/>
  <c r="J45" i="13"/>
  <c r="I45" i="13"/>
  <c r="H45" i="13"/>
  <c r="G45" i="13"/>
  <c r="F45" i="13"/>
  <c r="E45" i="13"/>
  <c r="L44" i="13"/>
  <c r="J40" i="13"/>
  <c r="I40" i="13"/>
  <c r="H40" i="13"/>
  <c r="G40" i="13"/>
  <c r="F40" i="13"/>
  <c r="E40" i="13"/>
  <c r="J38" i="13"/>
  <c r="I38" i="13"/>
  <c r="H38" i="13"/>
  <c r="G38" i="13"/>
  <c r="F38" i="13"/>
  <c r="E38" i="13"/>
  <c r="K34" i="13"/>
  <c r="J34" i="13"/>
  <c r="I34" i="13"/>
  <c r="H34" i="13"/>
  <c r="G34" i="13"/>
  <c r="F34" i="13"/>
  <c r="E34" i="13"/>
  <c r="L33" i="13"/>
  <c r="K32" i="13"/>
  <c r="J32" i="13"/>
  <c r="I32" i="13"/>
  <c r="H32" i="13"/>
  <c r="G32" i="13"/>
  <c r="F32" i="13"/>
  <c r="E32" i="13"/>
  <c r="L31" i="13"/>
  <c r="K30" i="13"/>
  <c r="J30" i="13"/>
  <c r="I30" i="13"/>
  <c r="H30" i="13"/>
  <c r="G30" i="13"/>
  <c r="F30" i="13"/>
  <c r="E30" i="13"/>
  <c r="L29" i="13"/>
  <c r="K21" i="13"/>
  <c r="J21" i="13"/>
  <c r="I21" i="13"/>
  <c r="H21" i="13"/>
  <c r="G21" i="13"/>
  <c r="F21" i="13"/>
  <c r="E21" i="13"/>
  <c r="L20" i="13"/>
  <c r="L19" i="13"/>
  <c r="L18" i="13"/>
  <c r="L17" i="13"/>
  <c r="K15" i="13"/>
  <c r="J15" i="13"/>
  <c r="H15" i="13"/>
  <c r="G15" i="13"/>
  <c r="F15" i="13"/>
  <c r="E15" i="13"/>
  <c r="L14" i="13"/>
  <c r="L13" i="13"/>
  <c r="L12" i="13"/>
  <c r="D47" i="13"/>
  <c r="D20" i="12"/>
  <c r="M20" i="12" s="1"/>
  <c r="D19" i="12"/>
  <c r="M19" i="12" s="1"/>
  <c r="D18" i="12"/>
  <c r="M18" i="12" s="1"/>
  <c r="D17" i="12"/>
  <c r="M17" i="12" s="1"/>
  <c r="D14" i="12"/>
  <c r="M14" i="12" s="1"/>
  <c r="D13" i="12"/>
  <c r="D38" i="12" s="1"/>
  <c r="D12" i="12"/>
  <c r="M12" i="12" s="1"/>
  <c r="D11" i="12"/>
  <c r="D36" i="12" s="1"/>
  <c r="D9" i="12"/>
  <c r="M9" i="12" s="1"/>
  <c r="K259" i="12"/>
  <c r="J259" i="12"/>
  <c r="I259" i="12"/>
  <c r="H259" i="12"/>
  <c r="G259" i="12"/>
  <c r="F259" i="12"/>
  <c r="E259" i="12"/>
  <c r="D259" i="12"/>
  <c r="K258" i="12"/>
  <c r="J258" i="12"/>
  <c r="I258" i="12"/>
  <c r="H258" i="12"/>
  <c r="G258" i="12"/>
  <c r="F258" i="12"/>
  <c r="E258" i="12"/>
  <c r="D258" i="12"/>
  <c r="M247" i="12"/>
  <c r="K247" i="12"/>
  <c r="J247" i="12"/>
  <c r="I247" i="12"/>
  <c r="H247" i="12"/>
  <c r="G247" i="12"/>
  <c r="F247" i="12"/>
  <c r="E247" i="12"/>
  <c r="D247" i="12"/>
  <c r="K242" i="12"/>
  <c r="J242" i="12"/>
  <c r="I242" i="12"/>
  <c r="H242" i="12"/>
  <c r="G242" i="12"/>
  <c r="F242" i="12"/>
  <c r="E242" i="12"/>
  <c r="D242" i="12"/>
  <c r="K229" i="12"/>
  <c r="J229" i="12"/>
  <c r="I229" i="12"/>
  <c r="H229" i="12"/>
  <c r="G229" i="12"/>
  <c r="F229" i="12"/>
  <c r="E229" i="12"/>
  <c r="D229" i="12"/>
  <c r="K223" i="12"/>
  <c r="J223" i="12"/>
  <c r="I223" i="12"/>
  <c r="H223" i="12"/>
  <c r="G223" i="12"/>
  <c r="F223" i="12"/>
  <c r="E223" i="12"/>
  <c r="D223" i="12"/>
  <c r="K216" i="12"/>
  <c r="J216" i="12"/>
  <c r="I216" i="12"/>
  <c r="H216" i="12"/>
  <c r="G216" i="12"/>
  <c r="F216" i="12"/>
  <c r="E216" i="12"/>
  <c r="D216" i="12"/>
  <c r="K210" i="12"/>
  <c r="J210" i="12"/>
  <c r="I210" i="12"/>
  <c r="H210" i="12"/>
  <c r="G210" i="12"/>
  <c r="F210" i="12"/>
  <c r="E210" i="12"/>
  <c r="D210" i="12"/>
  <c r="K204" i="12"/>
  <c r="J204" i="12"/>
  <c r="I204" i="12"/>
  <c r="H204" i="12"/>
  <c r="G204" i="12"/>
  <c r="F204" i="12"/>
  <c r="E204" i="12"/>
  <c r="D204" i="12"/>
  <c r="K193" i="12"/>
  <c r="J193" i="12"/>
  <c r="I193" i="12"/>
  <c r="H193" i="12"/>
  <c r="G193" i="12"/>
  <c r="F193" i="12"/>
  <c r="E193" i="12"/>
  <c r="D193" i="12"/>
  <c r="M140" i="12"/>
  <c r="M135" i="12"/>
  <c r="M130" i="12"/>
  <c r="K123" i="12"/>
  <c r="J123" i="12"/>
  <c r="I123" i="12"/>
  <c r="H123" i="12"/>
  <c r="G123" i="12"/>
  <c r="F123" i="12"/>
  <c r="E123" i="12"/>
  <c r="D123" i="12"/>
  <c r="K117" i="12"/>
  <c r="J117" i="12"/>
  <c r="I117" i="12"/>
  <c r="H117" i="12"/>
  <c r="G117" i="12"/>
  <c r="F117" i="12"/>
  <c r="E117" i="12"/>
  <c r="K111" i="12"/>
  <c r="J111" i="12"/>
  <c r="I111" i="12"/>
  <c r="H111" i="12"/>
  <c r="G111" i="12"/>
  <c r="F111" i="12"/>
  <c r="E111" i="12"/>
  <c r="K105" i="12"/>
  <c r="J105" i="12"/>
  <c r="I105" i="12"/>
  <c r="H105" i="12"/>
  <c r="G105" i="12"/>
  <c r="F105" i="12"/>
  <c r="E105" i="12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K62" i="12"/>
  <c r="J62" i="12"/>
  <c r="I62" i="12"/>
  <c r="H62" i="12"/>
  <c r="G62" i="12"/>
  <c r="F62" i="12"/>
  <c r="E62" i="12"/>
  <c r="K47" i="12"/>
  <c r="J47" i="12"/>
  <c r="I47" i="12"/>
  <c r="H47" i="12"/>
  <c r="G47" i="12"/>
  <c r="F47" i="12"/>
  <c r="E47" i="12"/>
  <c r="K45" i="12"/>
  <c r="J45" i="12"/>
  <c r="I45" i="12"/>
  <c r="H45" i="12"/>
  <c r="G45" i="12"/>
  <c r="F45" i="12"/>
  <c r="E45" i="12"/>
  <c r="K34" i="12"/>
  <c r="J34" i="12"/>
  <c r="I34" i="12"/>
  <c r="H34" i="12"/>
  <c r="G34" i="12"/>
  <c r="F34" i="12"/>
  <c r="E34" i="12"/>
  <c r="K32" i="12"/>
  <c r="J32" i="12"/>
  <c r="I32" i="12"/>
  <c r="H32" i="12"/>
  <c r="G32" i="12"/>
  <c r="F32" i="12"/>
  <c r="E32" i="12"/>
  <c r="K30" i="12"/>
  <c r="J30" i="12"/>
  <c r="I30" i="12"/>
  <c r="H30" i="12"/>
  <c r="G30" i="12"/>
  <c r="F30" i="12"/>
  <c r="E30" i="12"/>
  <c r="K21" i="12"/>
  <c r="J21" i="12"/>
  <c r="I21" i="12"/>
  <c r="H21" i="12"/>
  <c r="G21" i="12"/>
  <c r="F21" i="12"/>
  <c r="E21" i="12"/>
  <c r="K15" i="12"/>
  <c r="J15" i="12"/>
  <c r="I15" i="12"/>
  <c r="H15" i="12"/>
  <c r="G15" i="12"/>
  <c r="F15" i="12"/>
  <c r="E15" i="12"/>
  <c r="J259" i="11"/>
  <c r="I259" i="11"/>
  <c r="H259" i="11"/>
  <c r="D258" i="11"/>
  <c r="P257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P228" i="11"/>
  <c r="P227" i="11"/>
  <c r="P226" i="11"/>
  <c r="P225" i="11"/>
  <c r="O223" i="11"/>
  <c r="N223" i="11"/>
  <c r="M223" i="11"/>
  <c r="M230" i="11" s="1"/>
  <c r="L223" i="11"/>
  <c r="L230" i="11" s="1"/>
  <c r="K223" i="11"/>
  <c r="K230" i="11" s="1"/>
  <c r="J223" i="11"/>
  <c r="J230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F94" i="11"/>
  <c r="E94" i="11"/>
  <c r="P90" i="11"/>
  <c r="P84" i="11"/>
  <c r="P81" i="11"/>
  <c r="P82" i="11" s="1"/>
  <c r="P78" i="11"/>
  <c r="P73" i="11"/>
  <c r="P72" i="1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K257" i="17"/>
  <c r="K254" i="17"/>
  <c r="K253" i="17"/>
  <c r="K241" i="17"/>
  <c r="K240" i="17"/>
  <c r="K239" i="17"/>
  <c r="K238" i="17"/>
  <c r="K235" i="17"/>
  <c r="K234" i="17"/>
  <c r="K233" i="17"/>
  <c r="K228" i="17"/>
  <c r="K227" i="17"/>
  <c r="K226" i="17"/>
  <c r="K225" i="17"/>
  <c r="K222" i="17"/>
  <c r="K221" i="17"/>
  <c r="K220" i="17"/>
  <c r="K219" i="17"/>
  <c r="K215" i="17"/>
  <c r="K214" i="17"/>
  <c r="K213" i="17"/>
  <c r="K212" i="17"/>
  <c r="K209" i="17"/>
  <c r="K208" i="17"/>
  <c r="K207" i="17"/>
  <c r="K206" i="17"/>
  <c r="K203" i="17"/>
  <c r="K202" i="17"/>
  <c r="K201" i="17"/>
  <c r="K200" i="17"/>
  <c r="K199" i="17"/>
  <c r="K197" i="17"/>
  <c r="K195" i="17"/>
  <c r="K194" i="17"/>
  <c r="K192" i="17"/>
  <c r="K191" i="17"/>
  <c r="K190" i="17"/>
  <c r="K189" i="17"/>
  <c r="K187" i="17"/>
  <c r="K186" i="17"/>
  <c r="K185" i="17"/>
  <c r="K184" i="17"/>
  <c r="K182" i="17"/>
  <c r="K181" i="17"/>
  <c r="K180" i="17"/>
  <c r="K179" i="17"/>
  <c r="K178" i="17"/>
  <c r="K177" i="17"/>
  <c r="K175" i="17"/>
  <c r="K174" i="17"/>
  <c r="K173" i="17"/>
  <c r="K172" i="17"/>
  <c r="K171" i="17"/>
  <c r="K170" i="17"/>
  <c r="K169" i="17"/>
  <c r="K168" i="17"/>
  <c r="K167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43" i="17"/>
  <c r="K142" i="17"/>
  <c r="K141" i="17"/>
  <c r="K140" i="17"/>
  <c r="K138" i="17"/>
  <c r="K137" i="17"/>
  <c r="K136" i="17"/>
  <c r="K135" i="17"/>
  <c r="K133" i="17"/>
  <c r="K132" i="17"/>
  <c r="K131" i="17"/>
  <c r="K130" i="17"/>
  <c r="K128" i="17"/>
  <c r="K127" i="17"/>
  <c r="K126" i="17"/>
  <c r="K125" i="17"/>
  <c r="M122" i="16"/>
  <c r="K110" i="17"/>
  <c r="K109" i="17"/>
  <c r="K108" i="17"/>
  <c r="K107" i="17"/>
  <c r="K104" i="17"/>
  <c r="K103" i="17"/>
  <c r="K102" i="17"/>
  <c r="K101" i="17"/>
  <c r="K98" i="17"/>
  <c r="K85" i="17"/>
  <c r="K79" i="17"/>
  <c r="K69" i="17"/>
  <c r="K68" i="17"/>
  <c r="K67" i="17"/>
  <c r="K63" i="17"/>
  <c r="K61" i="17"/>
  <c r="K56" i="17"/>
  <c r="K55" i="17"/>
  <c r="K54" i="17"/>
  <c r="K52" i="15"/>
  <c r="K52" i="13"/>
  <c r="K51" i="17"/>
  <c r="K50" i="17"/>
  <c r="K49" i="17"/>
  <c r="K46" i="17"/>
  <c r="K44" i="17"/>
  <c r="K33" i="17"/>
  <c r="K31" i="17"/>
  <c r="K29" i="17"/>
  <c r="K14" i="17"/>
  <c r="K13" i="17"/>
  <c r="K12" i="17"/>
  <c r="K11" i="17"/>
  <c r="J257" i="17"/>
  <c r="J254" i="17"/>
  <c r="J253" i="17"/>
  <c r="J241" i="17"/>
  <c r="J240" i="17"/>
  <c r="J239" i="17"/>
  <c r="J238" i="17"/>
  <c r="J235" i="17"/>
  <c r="J234" i="17"/>
  <c r="J233" i="17"/>
  <c r="J232" i="17"/>
  <c r="J228" i="17"/>
  <c r="J227" i="17"/>
  <c r="J226" i="17"/>
  <c r="J225" i="17"/>
  <c r="J222" i="17"/>
  <c r="J221" i="17"/>
  <c r="J220" i="17"/>
  <c r="J219" i="17"/>
  <c r="J215" i="17"/>
  <c r="J214" i="17"/>
  <c r="J213" i="17"/>
  <c r="J212" i="17"/>
  <c r="J209" i="17"/>
  <c r="J208" i="17"/>
  <c r="J207" i="17"/>
  <c r="J206" i="17"/>
  <c r="J203" i="17"/>
  <c r="J202" i="17"/>
  <c r="J201" i="17"/>
  <c r="J200" i="17"/>
  <c r="J199" i="17"/>
  <c r="J197" i="17"/>
  <c r="J195" i="17"/>
  <c r="J194" i="17"/>
  <c r="J192" i="17"/>
  <c r="J191" i="17"/>
  <c r="J190" i="17"/>
  <c r="J189" i="17"/>
  <c r="J187" i="17"/>
  <c r="J186" i="17"/>
  <c r="J185" i="17"/>
  <c r="J184" i="17"/>
  <c r="J182" i="17"/>
  <c r="J181" i="17"/>
  <c r="J180" i="17"/>
  <c r="J179" i="17"/>
  <c r="J178" i="17"/>
  <c r="J177" i="17"/>
  <c r="J175" i="17"/>
  <c r="J174" i="17"/>
  <c r="J173" i="17"/>
  <c r="J172" i="17"/>
  <c r="J171" i="17"/>
  <c r="J170" i="17"/>
  <c r="J169" i="17"/>
  <c r="J168" i="17"/>
  <c r="J167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43" i="17"/>
  <c r="J142" i="17"/>
  <c r="J141" i="17"/>
  <c r="J140" i="17"/>
  <c r="J138" i="17"/>
  <c r="J137" i="17"/>
  <c r="J136" i="17"/>
  <c r="J135" i="17"/>
  <c r="J133" i="17"/>
  <c r="J132" i="17"/>
  <c r="J131" i="17"/>
  <c r="J130" i="17"/>
  <c r="J128" i="17"/>
  <c r="J127" i="17"/>
  <c r="J126" i="17"/>
  <c r="J125" i="17"/>
  <c r="J121" i="17"/>
  <c r="J110" i="17"/>
  <c r="J109" i="17"/>
  <c r="J108" i="17"/>
  <c r="J107" i="17"/>
  <c r="J104" i="17"/>
  <c r="J103" i="17"/>
  <c r="J102" i="17"/>
  <c r="J101" i="17"/>
  <c r="J98" i="17"/>
  <c r="J87" i="17"/>
  <c r="J88" i="17" s="1"/>
  <c r="J69" i="17"/>
  <c r="J68" i="17"/>
  <c r="J67" i="17"/>
  <c r="J63" i="17"/>
  <c r="J61" i="17"/>
  <c r="J56" i="17"/>
  <c r="J55" i="17"/>
  <c r="J54" i="17"/>
  <c r="J52" i="13"/>
  <c r="J52" i="12"/>
  <c r="J51" i="17"/>
  <c r="J50" i="17"/>
  <c r="J49" i="17"/>
  <c r="J46" i="17"/>
  <c r="J44" i="17"/>
  <c r="J33" i="17"/>
  <c r="J31" i="17"/>
  <c r="J29" i="17"/>
  <c r="J14" i="17"/>
  <c r="J13" i="17"/>
  <c r="J12" i="17"/>
  <c r="J11" i="17"/>
  <c r="J9" i="17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2" i="12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M13" i="12" l="1"/>
  <c r="I119" i="13"/>
  <c r="M11" i="12"/>
  <c r="M36" i="12" s="1"/>
  <c r="J243" i="11"/>
  <c r="M117" i="12"/>
  <c r="M111" i="12"/>
  <c r="M105" i="12"/>
  <c r="M204" i="12"/>
  <c r="M210" i="12"/>
  <c r="M216" i="12"/>
  <c r="M229" i="12"/>
  <c r="J119" i="13"/>
  <c r="M223" i="12"/>
  <c r="I243" i="11"/>
  <c r="G119" i="13"/>
  <c r="F119" i="13"/>
  <c r="E119" i="13"/>
  <c r="E153" i="17"/>
  <c r="D22" i="11"/>
  <c r="D24" i="11" s="1"/>
  <c r="D25" i="11" s="1"/>
  <c r="M229" i="16"/>
  <c r="K121" i="17"/>
  <c r="M121" i="16"/>
  <c r="M123" i="16" s="1"/>
  <c r="K119" i="13"/>
  <c r="M204" i="16"/>
  <c r="M216" i="16"/>
  <c r="M210" i="16"/>
  <c r="M223" i="16"/>
  <c r="P15" i="11"/>
  <c r="J204" i="17"/>
  <c r="L22" i="11"/>
  <c r="L24" i="11" s="1"/>
  <c r="L25" i="11" s="1"/>
  <c r="L243" i="11"/>
  <c r="H119" i="13"/>
  <c r="M193" i="12"/>
  <c r="E230" i="11"/>
  <c r="E243" i="11" s="1"/>
  <c r="G196" i="13"/>
  <c r="L196" i="13" s="1"/>
  <c r="G118" i="16"/>
  <c r="G119" i="16" s="1"/>
  <c r="M243" i="11"/>
  <c r="G196" i="17"/>
  <c r="M196" i="17" s="1"/>
  <c r="E204" i="17"/>
  <c r="F204" i="17"/>
  <c r="K22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J118" i="16"/>
  <c r="J119" i="16" s="1"/>
  <c r="J118" i="12"/>
  <c r="J119" i="12" s="1"/>
  <c r="F118" i="12"/>
  <c r="F119" i="12" s="1"/>
  <c r="E145" i="17"/>
  <c r="P32" i="11"/>
  <c r="D32" i="12"/>
  <c r="H52" i="15"/>
  <c r="J52" i="15"/>
  <c r="E52" i="15"/>
  <c r="F52" i="13"/>
  <c r="G52" i="12"/>
  <c r="I52" i="15"/>
  <c r="K230" i="16"/>
  <c r="K243" i="16" s="1"/>
  <c r="K153" i="17"/>
  <c r="K193" i="17" s="1"/>
  <c r="K119" i="16"/>
  <c r="K118" i="12"/>
  <c r="K119" i="12" s="1"/>
  <c r="J145" i="17"/>
  <c r="I230" i="15"/>
  <c r="I243" i="15" s="1"/>
  <c r="I118" i="12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M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84" i="17"/>
  <c r="F78" i="17"/>
  <c r="F72" i="17"/>
  <c r="F66" i="17"/>
  <c r="E118" i="12"/>
  <c r="E119" i="12" s="1"/>
  <c r="D230" i="16"/>
  <c r="D21" i="12"/>
  <c r="G230" i="16"/>
  <c r="G243" i="16" s="1"/>
  <c r="G22" i="16"/>
  <c r="G24" i="16" s="1"/>
  <c r="G25" i="16" s="1"/>
  <c r="E230" i="16"/>
  <c r="E243" i="16" s="1"/>
  <c r="F230" i="16"/>
  <c r="F243" i="16" s="1"/>
  <c r="J230" i="16"/>
  <c r="J243" i="16" s="1"/>
  <c r="K111" i="17"/>
  <c r="K118" i="17" s="1"/>
  <c r="K204" i="17"/>
  <c r="I62" i="17"/>
  <c r="I145" i="17"/>
  <c r="G105" i="17"/>
  <c r="G111" i="17"/>
  <c r="G118" i="17" s="1"/>
  <c r="M146" i="16"/>
  <c r="K134" i="17"/>
  <c r="E111" i="17"/>
  <c r="E118" i="17" s="1"/>
  <c r="I148" i="17"/>
  <c r="I204" i="17"/>
  <c r="J111" i="17"/>
  <c r="J118" i="17" s="1"/>
  <c r="H111" i="17"/>
  <c r="H118" i="17" s="1"/>
  <c r="I134" i="17"/>
  <c r="K145" i="17"/>
  <c r="F111" i="17"/>
  <c r="F118" i="17" s="1"/>
  <c r="D118" i="16"/>
  <c r="D119" i="16" s="1"/>
  <c r="M145" i="16"/>
  <c r="K217" i="16"/>
  <c r="K250" i="16"/>
  <c r="K251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J122" i="17"/>
  <c r="J123" i="17" s="1"/>
  <c r="J105" i="17"/>
  <c r="K37" i="15"/>
  <c r="K38" i="15" s="1"/>
  <c r="F40" i="11"/>
  <c r="N40" i="11"/>
  <c r="G40" i="11"/>
  <c r="K39" i="13"/>
  <c r="K40" i="13" s="1"/>
  <c r="O40" i="11"/>
  <c r="I38" i="11"/>
  <c r="K38" i="12"/>
  <c r="H40" i="11"/>
  <c r="I40" i="11"/>
  <c r="K38" i="11"/>
  <c r="K39" i="15"/>
  <c r="K40" i="15" s="1"/>
  <c r="J40" i="11"/>
  <c r="L38" i="11"/>
  <c r="E95" i="11"/>
  <c r="E259" i="11" s="1"/>
  <c r="K37" i="13"/>
  <c r="K38" i="13" s="1"/>
  <c r="K40" i="11"/>
  <c r="M38" i="11"/>
  <c r="F95" i="11"/>
  <c r="K40" i="12"/>
  <c r="L40" i="11"/>
  <c r="N38" i="11"/>
  <c r="H119" i="11"/>
  <c r="K230" i="13"/>
  <c r="K243" i="13" s="1"/>
  <c r="E40" i="11"/>
  <c r="M40" i="11"/>
  <c r="K90" i="17"/>
  <c r="O38" i="11"/>
  <c r="K122" i="17"/>
  <c r="K105" i="17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K230" i="15"/>
  <c r="K243" i="15" s="1"/>
  <c r="G223" i="17"/>
  <c r="D230" i="15"/>
  <c r="D243" i="15" s="1"/>
  <c r="L258" i="15"/>
  <c r="K119" i="11"/>
  <c r="D83" i="15"/>
  <c r="L82" i="15"/>
  <c r="L83" i="15" s="1"/>
  <c r="D77" i="15"/>
  <c r="D71" i="15"/>
  <c r="L70" i="15"/>
  <c r="L71" i="15" s="1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E217" i="15"/>
  <c r="E251" i="15"/>
  <c r="E250" i="15"/>
  <c r="L144" i="15"/>
  <c r="L139" i="15"/>
  <c r="L148" i="15"/>
  <c r="L146" i="15"/>
  <c r="L145" i="15"/>
  <c r="K22" i="15"/>
  <c r="K24" i="15" s="1"/>
  <c r="K25" i="15" s="1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K17" i="17"/>
  <c r="K18" i="17"/>
  <c r="K19" i="17"/>
  <c r="K20" i="17"/>
  <c r="J17" i="17"/>
  <c r="J18" i="17"/>
  <c r="J19" i="17"/>
  <c r="J20" i="17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K139" i="17"/>
  <c r="H134" i="17"/>
  <c r="I119" i="11"/>
  <c r="L258" i="13"/>
  <c r="J193" i="17"/>
  <c r="J139" i="17"/>
  <c r="L105" i="13"/>
  <c r="G22" i="13"/>
  <c r="G24" i="13" s="1"/>
  <c r="G25" i="13" s="1"/>
  <c r="F223" i="17"/>
  <c r="E242" i="17"/>
  <c r="E230" i="13"/>
  <c r="E243" i="13" s="1"/>
  <c r="E223" i="17"/>
  <c r="L242" i="13"/>
  <c r="L118" i="13"/>
  <c r="I230" i="13"/>
  <c r="I243" i="13" s="1"/>
  <c r="L236" i="13"/>
  <c r="J230" i="13"/>
  <c r="J243" i="13" s="1"/>
  <c r="L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23" i="17"/>
  <c r="H210" i="17"/>
  <c r="H265" i="17" s="1"/>
  <c r="K210" i="17"/>
  <c r="M236" i="12"/>
  <c r="D119" i="12"/>
  <c r="K242" i="17"/>
  <c r="G242" i="17"/>
  <c r="F242" i="17"/>
  <c r="E236" i="17"/>
  <c r="K15" i="17"/>
  <c r="G15" i="17"/>
  <c r="F15" i="17"/>
  <c r="E15" i="17"/>
  <c r="M21" i="12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J62" i="17"/>
  <c r="J45" i="17"/>
  <c r="I122" i="17"/>
  <c r="I123" i="17" s="1"/>
  <c r="D38" i="11"/>
  <c r="I37" i="12"/>
  <c r="I139" i="17"/>
  <c r="I147" i="17"/>
  <c r="D40" i="11"/>
  <c r="I39" i="12"/>
  <c r="I210" i="17"/>
  <c r="I193" i="17"/>
  <c r="I216" i="17"/>
  <c r="D118" i="11"/>
  <c r="D119" i="11" s="1"/>
  <c r="G129" i="17"/>
  <c r="G139" i="17"/>
  <c r="F81" i="17"/>
  <c r="K147" i="17"/>
  <c r="K148" i="17"/>
  <c r="G236" i="17"/>
  <c r="G216" i="17"/>
  <c r="G210" i="17"/>
  <c r="E216" i="17"/>
  <c r="H15" i="17"/>
  <c r="K144" i="17"/>
  <c r="K129" i="17"/>
  <c r="K146" i="17"/>
  <c r="K81" i="17"/>
  <c r="K70" i="17"/>
  <c r="K71" i="17" s="1"/>
  <c r="J148" i="17"/>
  <c r="J134" i="17"/>
  <c r="J144" i="17"/>
  <c r="J129" i="17"/>
  <c r="J146" i="17"/>
  <c r="J147" i="17"/>
  <c r="J70" i="17"/>
  <c r="J71" i="17" s="1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D47" i="12"/>
  <c r="D34" i="12"/>
  <c r="K9" i="17"/>
  <c r="J32" i="17"/>
  <c r="J47" i="17"/>
  <c r="J30" i="17"/>
  <c r="J34" i="17"/>
  <c r="I45" i="17"/>
  <c r="I34" i="17"/>
  <c r="I47" i="17"/>
  <c r="I32" i="17"/>
  <c r="I30" i="17"/>
  <c r="H193" i="17"/>
  <c r="G193" i="17"/>
  <c r="G9" i="17"/>
  <c r="F193" i="17"/>
  <c r="F9" i="17"/>
  <c r="P70" i="11"/>
  <c r="P71" i="11" s="1"/>
  <c r="P204" i="11"/>
  <c r="E217" i="11"/>
  <c r="E251" i="11"/>
  <c r="E250" i="11"/>
  <c r="K232" i="17"/>
  <c r="K236" i="17" s="1"/>
  <c r="K229" i="17"/>
  <c r="K223" i="17"/>
  <c r="K216" i="17"/>
  <c r="J242" i="17"/>
  <c r="J236" i="17"/>
  <c r="J229" i="17"/>
  <c r="J230" i="12"/>
  <c r="J243" i="12" s="1"/>
  <c r="J223" i="17"/>
  <c r="J216" i="17"/>
  <c r="J210" i="17"/>
  <c r="I242" i="17"/>
  <c r="I236" i="17"/>
  <c r="I229" i="17"/>
  <c r="I223" i="17"/>
  <c r="H242" i="17"/>
  <c r="H236" i="17"/>
  <c r="H229" i="17"/>
  <c r="F232" i="17"/>
  <c r="F236" i="17" s="1"/>
  <c r="J15" i="17"/>
  <c r="G17" i="17"/>
  <c r="F230" i="12"/>
  <c r="F243" i="12" s="1"/>
  <c r="F229" i="17"/>
  <c r="F216" i="17"/>
  <c r="D251" i="12"/>
  <c r="D250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M147" i="12"/>
  <c r="D217" i="11"/>
  <c r="D250" i="11"/>
  <c r="D251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H230" i="16"/>
  <c r="H243" i="16" s="1"/>
  <c r="I22" i="16"/>
  <c r="I24" i="16" s="1"/>
  <c r="I25" i="16" s="1"/>
  <c r="J22" i="16"/>
  <c r="J24" i="16" s="1"/>
  <c r="J25" i="16" s="1"/>
  <c r="M147" i="16"/>
  <c r="D15" i="16"/>
  <c r="K22" i="16"/>
  <c r="K24" i="16" s="1"/>
  <c r="K25" i="16" s="1"/>
  <c r="M242" i="16"/>
  <c r="M193" i="16"/>
  <c r="E22" i="16"/>
  <c r="E24" i="16" s="1"/>
  <c r="E25" i="16" s="1"/>
  <c r="I22" i="15"/>
  <c r="I24" i="15" s="1"/>
  <c r="I25" i="15" s="1"/>
  <c r="L204" i="15"/>
  <c r="J22" i="15"/>
  <c r="J24" i="15" s="1"/>
  <c r="J25" i="15" s="1"/>
  <c r="J230" i="15"/>
  <c r="J243" i="15" s="1"/>
  <c r="L229" i="15"/>
  <c r="L242" i="15"/>
  <c r="L193" i="15"/>
  <c r="L147" i="15"/>
  <c r="E22" i="15"/>
  <c r="E24" i="15" s="1"/>
  <c r="E25" i="15" s="1"/>
  <c r="L216" i="15"/>
  <c r="F22" i="15"/>
  <c r="F24" i="15" s="1"/>
  <c r="F25" i="15" s="1"/>
  <c r="L134" i="15"/>
  <c r="K217" i="15"/>
  <c r="L236" i="15"/>
  <c r="H41" i="15"/>
  <c r="H42" i="15" s="1"/>
  <c r="F217" i="15"/>
  <c r="H22" i="13"/>
  <c r="H24" i="13" s="1"/>
  <c r="H25" i="13" s="1"/>
  <c r="H41" i="13"/>
  <c r="H42" i="13" s="1"/>
  <c r="D230" i="13"/>
  <c r="D243" i="13" s="1"/>
  <c r="I22" i="13"/>
  <c r="I24" i="13" s="1"/>
  <c r="I25" i="13" s="1"/>
  <c r="L216" i="13"/>
  <c r="J22" i="13"/>
  <c r="J24" i="13" s="1"/>
  <c r="J25" i="13" s="1"/>
  <c r="L70" i="13"/>
  <c r="L71" i="13" s="1"/>
  <c r="D15" i="13"/>
  <c r="F217" i="13"/>
  <c r="L11" i="13"/>
  <c r="L15" i="13" s="1"/>
  <c r="E22" i="13"/>
  <c r="E24" i="13" s="1"/>
  <c r="E25" i="13" s="1"/>
  <c r="L204" i="13"/>
  <c r="G230" i="12"/>
  <c r="G243" i="12" s="1"/>
  <c r="M145" i="12"/>
  <c r="J217" i="12"/>
  <c r="M82" i="12"/>
  <c r="M83" i="12" s="1"/>
  <c r="D15" i="12"/>
  <c r="M70" i="12"/>
  <c r="M71" i="12" s="1"/>
  <c r="E217" i="12"/>
  <c r="K22" i="11"/>
  <c r="K24" i="11" s="1"/>
  <c r="K25" i="11" s="1"/>
  <c r="P236" i="11"/>
  <c r="P123" i="11"/>
  <c r="P223" i="11"/>
  <c r="P30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242" i="11"/>
  <c r="J22" i="11"/>
  <c r="J24" i="11" s="1"/>
  <c r="J25" i="11" s="1"/>
  <c r="P21" i="11"/>
  <c r="P229" i="11"/>
  <c r="D230" i="11"/>
  <c r="D243" i="11" s="1"/>
  <c r="I22" i="11"/>
  <c r="I24" i="11" s="1"/>
  <c r="I25" i="11" s="1"/>
  <c r="P34" i="11"/>
  <c r="P139" i="11"/>
  <c r="J79" i="17"/>
  <c r="J85" i="17"/>
  <c r="I79" i="17"/>
  <c r="H79" i="17"/>
  <c r="G79" i="17"/>
  <c r="G73" i="17"/>
  <c r="E79" i="17"/>
  <c r="D38" i="13"/>
  <c r="D40" i="15"/>
  <c r="D62" i="16"/>
  <c r="D30" i="15"/>
  <c r="D30" i="16"/>
  <c r="D40" i="13"/>
  <c r="L11" i="15"/>
  <c r="L15" i="15" s="1"/>
  <c r="D38" i="15"/>
  <c r="D38" i="16"/>
  <c r="D30" i="13"/>
  <c r="G52" i="17"/>
  <c r="P79" i="11"/>
  <c r="P83" i="11" s="1"/>
  <c r="I41" i="16"/>
  <c r="I58" i="16" s="1"/>
  <c r="F52" i="17"/>
  <c r="F73" i="17"/>
  <c r="F91" i="17" s="1"/>
  <c r="H87" i="17"/>
  <c r="H88" i="17" s="1"/>
  <c r="I73" i="17"/>
  <c r="J52" i="17"/>
  <c r="P87" i="11"/>
  <c r="K52" i="17"/>
  <c r="J38" i="11"/>
  <c r="E52" i="17"/>
  <c r="H52" i="17"/>
  <c r="I41" i="13"/>
  <c r="I58" i="13" s="1"/>
  <c r="L123" i="13"/>
  <c r="L123" i="15"/>
  <c r="D40" i="16"/>
  <c r="J73" i="17"/>
  <c r="L39" i="13"/>
  <c r="L77" i="13"/>
  <c r="L89" i="13"/>
  <c r="I41" i="15"/>
  <c r="I52" i="17"/>
  <c r="L92" i="13"/>
  <c r="M89" i="16"/>
  <c r="M77" i="16"/>
  <c r="J41" i="16"/>
  <c r="D21" i="16"/>
  <c r="M21" i="16" s="1"/>
  <c r="M22" i="16" s="1"/>
  <c r="D34" i="16"/>
  <c r="K41" i="16"/>
  <c r="D45" i="16"/>
  <c r="H217" i="16"/>
  <c r="D41" i="16"/>
  <c r="M82" i="16"/>
  <c r="I217" i="16"/>
  <c r="E41" i="16"/>
  <c r="D32" i="16"/>
  <c r="F41" i="16"/>
  <c r="G41" i="16"/>
  <c r="L21" i="15"/>
  <c r="J41" i="15"/>
  <c r="L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L9" i="15"/>
  <c r="G41" i="15"/>
  <c r="L210" i="15"/>
  <c r="L223" i="15"/>
  <c r="L21" i="13"/>
  <c r="J41" i="13"/>
  <c r="G217" i="13"/>
  <c r="D21" i="13"/>
  <c r="D34" i="13"/>
  <c r="D45" i="13"/>
  <c r="H217" i="13"/>
  <c r="D41" i="13"/>
  <c r="L81" i="13"/>
  <c r="L82" i="13" s="1"/>
  <c r="I217" i="13"/>
  <c r="E41" i="13"/>
  <c r="D62" i="13"/>
  <c r="L91" i="13"/>
  <c r="D32" i="13"/>
  <c r="F41" i="13"/>
  <c r="L32" i="13"/>
  <c r="G41" i="13"/>
  <c r="L210" i="13"/>
  <c r="L223" i="13"/>
  <c r="M89" i="12"/>
  <c r="F217" i="12"/>
  <c r="M242" i="12"/>
  <c r="K24" i="12"/>
  <c r="K25" i="12" s="1"/>
  <c r="M144" i="12"/>
  <c r="I217" i="12"/>
  <c r="K230" i="12"/>
  <c r="K243" i="12" s="1"/>
  <c r="F22" i="12"/>
  <c r="F24" i="12" s="1"/>
  <c r="F25" i="12" s="1"/>
  <c r="H22" i="12"/>
  <c r="H24" i="12" s="1"/>
  <c r="H25" i="12" s="1"/>
  <c r="M139" i="12"/>
  <c r="H230" i="12"/>
  <c r="H243" i="12" s="1"/>
  <c r="I230" i="12"/>
  <c r="I22" i="12"/>
  <c r="I24" i="12" s="1"/>
  <c r="I25" i="12" s="1"/>
  <c r="H217" i="12"/>
  <c r="K217" i="12"/>
  <c r="D230" i="12"/>
  <c r="D243" i="12" s="1"/>
  <c r="J22" i="12"/>
  <c r="J24" i="12" s="1"/>
  <c r="J25" i="12" s="1"/>
  <c r="D217" i="12"/>
  <c r="E230" i="12"/>
  <c r="E243" i="12" s="1"/>
  <c r="M258" i="12"/>
  <c r="G41" i="12"/>
  <c r="G42" i="12" s="1"/>
  <c r="G217" i="12"/>
  <c r="E22" i="12"/>
  <c r="E24" i="12" s="1"/>
  <c r="E25" i="12" s="1"/>
  <c r="M148" i="12"/>
  <c r="M134" i="12"/>
  <c r="G22" i="12"/>
  <c r="G24" i="12" s="1"/>
  <c r="G25" i="12" s="1"/>
  <c r="H41" i="12"/>
  <c r="M146" i="12"/>
  <c r="M129" i="12"/>
  <c r="M76" i="12"/>
  <c r="J41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K87" i="17"/>
  <c r="J74" i="17"/>
  <c r="J76" i="17" s="1"/>
  <c r="H73" i="17"/>
  <c r="F87" i="17"/>
  <c r="F88" i="17" s="1"/>
  <c r="M15" i="12" l="1"/>
  <c r="M22" i="12" s="1"/>
  <c r="I38" i="12"/>
  <c r="M37" i="12"/>
  <c r="I243" i="12"/>
  <c r="M230" i="12"/>
  <c r="I40" i="12"/>
  <c r="M39" i="12"/>
  <c r="M40" i="12" s="1"/>
  <c r="I119" i="12"/>
  <c r="M119" i="12" s="1"/>
  <c r="M118" i="12"/>
  <c r="M34" i="12"/>
  <c r="K119" i="17"/>
  <c r="I58" i="15"/>
  <c r="I59" i="15" s="1"/>
  <c r="K123" i="17"/>
  <c r="K88" i="17"/>
  <c r="M87" i="17"/>
  <c r="L119" i="13"/>
  <c r="M41" i="16"/>
  <c r="M42" i="16" s="1"/>
  <c r="D243" i="16"/>
  <c r="M230" i="16"/>
  <c r="M34" i="16"/>
  <c r="M24" i="16"/>
  <c r="M25" i="16" s="1"/>
  <c r="G230" i="17"/>
  <c r="G243" i="17" s="1"/>
  <c r="F230" i="17"/>
  <c r="F243" i="17" s="1"/>
  <c r="G119" i="17"/>
  <c r="I41" i="12"/>
  <c r="I58" i="12" s="1"/>
  <c r="I249" i="16"/>
  <c r="L37" i="13"/>
  <c r="L38" i="13" s="1"/>
  <c r="I119" i="17"/>
  <c r="F90" i="17"/>
  <c r="I90" i="17"/>
  <c r="M38" i="12"/>
  <c r="K41" i="13"/>
  <c r="K58" i="13" s="1"/>
  <c r="K249" i="13" s="1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K73" i="17"/>
  <c r="I249" i="13"/>
  <c r="H119" i="17"/>
  <c r="H90" i="17"/>
  <c r="P37" i="11"/>
  <c r="P38" i="11" s="1"/>
  <c r="K41" i="12"/>
  <c r="K42" i="12" s="1"/>
  <c r="H41" i="11"/>
  <c r="H42" i="11" s="1"/>
  <c r="J39" i="17"/>
  <c r="J40" i="17" s="1"/>
  <c r="J37" i="17"/>
  <c r="I42" i="13"/>
  <c r="H58" i="13"/>
  <c r="H249" i="13" s="1"/>
  <c r="H39" i="17"/>
  <c r="H40" i="17" s="1"/>
  <c r="H37" i="17"/>
  <c r="H38" i="17" s="1"/>
  <c r="G39" i="17"/>
  <c r="G40" i="17" s="1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M243" i="16"/>
  <c r="K21" i="17"/>
  <c r="K22" i="17" s="1"/>
  <c r="K24" i="17" s="1"/>
  <c r="K25" i="17" s="1"/>
  <c r="F41" i="11"/>
  <c r="F42" i="11" s="1"/>
  <c r="E119" i="17"/>
  <c r="K250" i="17"/>
  <c r="M149" i="16"/>
  <c r="I21" i="17"/>
  <c r="I22" i="17" s="1"/>
  <c r="I24" i="17" s="1"/>
  <c r="I25" i="17" s="1"/>
  <c r="F119" i="17"/>
  <c r="E251" i="17"/>
  <c r="K82" i="17"/>
  <c r="K83" i="17" s="1"/>
  <c r="E21" i="17"/>
  <c r="E22" i="17" s="1"/>
  <c r="E24" i="17" s="1"/>
  <c r="E25" i="17" s="1"/>
  <c r="F21" i="17"/>
  <c r="F22" i="17" s="1"/>
  <c r="F24" i="17" s="1"/>
  <c r="F25" i="17" s="1"/>
  <c r="J119" i="17"/>
  <c r="F82" i="17"/>
  <c r="F83" i="17" s="1"/>
  <c r="M123" i="17"/>
  <c r="E250" i="17"/>
  <c r="H251" i="17"/>
  <c r="H217" i="17"/>
  <c r="E217" i="17"/>
  <c r="H58" i="15"/>
  <c r="H249" i="15" s="1"/>
  <c r="L37" i="15"/>
  <c r="L38" i="15" s="1"/>
  <c r="K41" i="15"/>
  <c r="K58" i="15" s="1"/>
  <c r="K249" i="15" s="1"/>
  <c r="H42" i="16"/>
  <c r="H249" i="16"/>
  <c r="M251" i="16"/>
  <c r="M250" i="16"/>
  <c r="I42" i="16"/>
  <c r="P39" i="11"/>
  <c r="P40" i="11" s="1"/>
  <c r="O41" i="11"/>
  <c r="L39" i="15"/>
  <c r="L40" i="15" s="1"/>
  <c r="N41" i="11"/>
  <c r="E122" i="17"/>
  <c r="E123" i="17" s="1"/>
  <c r="G122" i="17"/>
  <c r="G123" i="17" s="1"/>
  <c r="I74" i="17"/>
  <c r="I76" i="17" s="1"/>
  <c r="F259" i="11"/>
  <c r="J41" i="11"/>
  <c r="K37" i="17"/>
  <c r="I41" i="11"/>
  <c r="K41" i="11"/>
  <c r="K39" i="17"/>
  <c r="L41" i="11"/>
  <c r="K149" i="17"/>
  <c r="H250" i="17"/>
  <c r="H230" i="17"/>
  <c r="H243" i="17" s="1"/>
  <c r="J21" i="17"/>
  <c r="J22" i="17" s="1"/>
  <c r="J24" i="17" s="1"/>
  <c r="J25" i="17" s="1"/>
  <c r="G251" i="17"/>
  <c r="G265" i="17"/>
  <c r="F251" i="17"/>
  <c r="F265" i="17"/>
  <c r="K230" i="17"/>
  <c r="K243" i="17" s="1"/>
  <c r="I217" i="17"/>
  <c r="G21" i="17"/>
  <c r="G22" i="17" s="1"/>
  <c r="G24" i="17" s="1"/>
  <c r="G25" i="17" s="1"/>
  <c r="I250" i="17"/>
  <c r="L76" i="15"/>
  <c r="L77" i="15" s="1"/>
  <c r="L243" i="15"/>
  <c r="L230" i="15"/>
  <c r="L251" i="15"/>
  <c r="L250" i="15"/>
  <c r="L149" i="15"/>
  <c r="K93" i="17"/>
  <c r="I149" i="17"/>
  <c r="K251" i="17"/>
  <c r="K217" i="17"/>
  <c r="L243" i="13"/>
  <c r="L245" i="13" s="1"/>
  <c r="L246" i="13" s="1"/>
  <c r="L247" i="13" s="1"/>
  <c r="J230" i="17"/>
  <c r="J243" i="17" s="1"/>
  <c r="D22" i="13"/>
  <c r="D24" i="13" s="1"/>
  <c r="D25" i="13" s="1"/>
  <c r="L230" i="13"/>
  <c r="L251" i="13"/>
  <c r="F250" i="17"/>
  <c r="F93" i="17"/>
  <c r="P89" i="11"/>
  <c r="H149" i="17"/>
  <c r="G217" i="17"/>
  <c r="G250" i="17"/>
  <c r="M45" i="12"/>
  <c r="M62" i="12"/>
  <c r="I39" i="17"/>
  <c r="I37" i="17"/>
  <c r="I251" i="17"/>
  <c r="I83" i="17"/>
  <c r="F256" i="17"/>
  <c r="F258" i="17" s="1"/>
  <c r="F74" i="17"/>
  <c r="F76" i="17" s="1"/>
  <c r="E149" i="17"/>
  <c r="J217" i="17"/>
  <c r="J251" i="17"/>
  <c r="J250" i="17"/>
  <c r="I230" i="17"/>
  <c r="I243" i="17" s="1"/>
  <c r="K74" i="17"/>
  <c r="K76" i="17" s="1"/>
  <c r="J149" i="17"/>
  <c r="J91" i="17"/>
  <c r="J256" i="17" s="1"/>
  <c r="J258" i="17" s="1"/>
  <c r="J81" i="17"/>
  <c r="J82" i="17" s="1"/>
  <c r="J77" i="17"/>
  <c r="J92" i="17"/>
  <c r="I85" i="17"/>
  <c r="I70" i="17"/>
  <c r="I71" i="17" s="1"/>
  <c r="H85" i="17"/>
  <c r="H74" i="17"/>
  <c r="H76" i="17" s="1"/>
  <c r="H81" i="17"/>
  <c r="H82" i="17" s="1"/>
  <c r="G149" i="17"/>
  <c r="G81" i="17"/>
  <c r="G91" i="17"/>
  <c r="G256" i="17" s="1"/>
  <c r="G258" i="17" s="1"/>
  <c r="G74" i="17"/>
  <c r="G76" i="17" s="1"/>
  <c r="F217" i="17"/>
  <c r="E74" i="17"/>
  <c r="E85" i="17"/>
  <c r="E93" i="17" s="1"/>
  <c r="E83" i="17"/>
  <c r="M30" i="12"/>
  <c r="M47" i="12"/>
  <c r="M32" i="12"/>
  <c r="K47" i="17"/>
  <c r="K30" i="17"/>
  <c r="K45" i="17"/>
  <c r="K34" i="17"/>
  <c r="K62" i="17"/>
  <c r="K32" i="17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M250" i="12"/>
  <c r="M251" i="12"/>
  <c r="P251" i="11"/>
  <c r="P250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L22" i="15"/>
  <c r="L24" i="15" s="1"/>
  <c r="L25" i="15" s="1"/>
  <c r="M38" i="16"/>
  <c r="M40" i="16"/>
  <c r="M32" i="16"/>
  <c r="M47" i="16"/>
  <c r="M30" i="16"/>
  <c r="M45" i="16"/>
  <c r="I42" i="15"/>
  <c r="L83" i="13"/>
  <c r="F58" i="16"/>
  <c r="F249" i="16" s="1"/>
  <c r="F42" i="16"/>
  <c r="K42" i="16"/>
  <c r="K58" i="16"/>
  <c r="K249" i="16" s="1"/>
  <c r="J42" i="16"/>
  <c r="J58" i="16"/>
  <c r="J249" i="16" s="1"/>
  <c r="H60" i="16"/>
  <c r="H59" i="16"/>
  <c r="M217" i="16"/>
  <c r="E42" i="16"/>
  <c r="E58" i="16"/>
  <c r="E249" i="16" s="1"/>
  <c r="D42" i="16"/>
  <c r="D58" i="16"/>
  <c r="M94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L62" i="15"/>
  <c r="L45" i="15"/>
  <c r="L34" i="15"/>
  <c r="L47" i="15"/>
  <c r="F58" i="15"/>
  <c r="F249" i="15" s="1"/>
  <c r="F42" i="15"/>
  <c r="J42" i="15"/>
  <c r="J58" i="15"/>
  <c r="J249" i="15" s="1"/>
  <c r="L32" i="15"/>
  <c r="L217" i="15"/>
  <c r="D42" i="15"/>
  <c r="L30" i="15"/>
  <c r="J42" i="13"/>
  <c r="J58" i="13"/>
  <c r="J249" i="13" s="1"/>
  <c r="I60" i="13"/>
  <c r="I59" i="13"/>
  <c r="L40" i="13"/>
  <c r="D42" i="13"/>
  <c r="L217" i="13"/>
  <c r="G58" i="13"/>
  <c r="G249" i="13" s="1"/>
  <c r="G42" i="13"/>
  <c r="E42" i="13"/>
  <c r="E58" i="13"/>
  <c r="E249" i="13" s="1"/>
  <c r="L94" i="13"/>
  <c r="L95" i="13" s="1"/>
  <c r="L62" i="13"/>
  <c r="L47" i="13"/>
  <c r="L45" i="13"/>
  <c r="L34" i="13"/>
  <c r="L30" i="13"/>
  <c r="F42" i="13"/>
  <c r="F58" i="13"/>
  <c r="F249" i="13" s="1"/>
  <c r="L22" i="13"/>
  <c r="L24" i="13" s="1"/>
  <c r="L25" i="13" s="1"/>
  <c r="M243" i="12"/>
  <c r="M149" i="12"/>
  <c r="G58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M217" i="12"/>
  <c r="M77" i="12"/>
  <c r="D42" i="12"/>
  <c r="P230" i="11"/>
  <c r="P76" i="11"/>
  <c r="P77" i="11" s="1"/>
  <c r="I60" i="15" l="1"/>
  <c r="I249" i="12"/>
  <c r="M41" i="12"/>
  <c r="M42" i="12" s="1"/>
  <c r="I42" i="12"/>
  <c r="M90" i="17"/>
  <c r="I249" i="15"/>
  <c r="K42" i="13"/>
  <c r="F249" i="12"/>
  <c r="M24" i="12"/>
  <c r="M25" i="12" s="1"/>
  <c r="K58" i="12"/>
  <c r="K249" i="12" s="1"/>
  <c r="K40" i="17"/>
  <c r="K38" i="17"/>
  <c r="K91" i="17"/>
  <c r="K256" i="17" s="1"/>
  <c r="K258" i="17" s="1"/>
  <c r="G82" i="17"/>
  <c r="G83" i="17" s="1"/>
  <c r="E76" i="17"/>
  <c r="E77" i="17" s="1"/>
  <c r="D249" i="16"/>
  <c r="M58" i="16"/>
  <c r="M249" i="16" s="1"/>
  <c r="K42" i="15"/>
  <c r="L41" i="15"/>
  <c r="L42" i="15" s="1"/>
  <c r="G41" i="17"/>
  <c r="G58" i="17" s="1"/>
  <c r="G59" i="17" s="1"/>
  <c r="G38" i="17"/>
  <c r="E41" i="17"/>
  <c r="E42" i="17" s="1"/>
  <c r="L41" i="13"/>
  <c r="L42" i="13" s="1"/>
  <c r="F41" i="17"/>
  <c r="F42" i="17" s="1"/>
  <c r="I92" i="17"/>
  <c r="I77" i="17"/>
  <c r="H59" i="13"/>
  <c r="H60" i="15"/>
  <c r="H60" i="13"/>
  <c r="G255" i="16"/>
  <c r="G259" i="16" s="1"/>
  <c r="J41" i="17"/>
  <c r="J38" i="17"/>
  <c r="H41" i="17"/>
  <c r="H59" i="15"/>
  <c r="G42" i="11"/>
  <c r="N42" i="11"/>
  <c r="O42" i="11"/>
  <c r="P41" i="11"/>
  <c r="P42" i="11" s="1"/>
  <c r="I42" i="11"/>
  <c r="K41" i="17"/>
  <c r="L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K77" i="17"/>
  <c r="K92" i="17"/>
  <c r="K94" i="17" s="1"/>
  <c r="J83" i="17"/>
  <c r="J93" i="17"/>
  <c r="J94" i="17" s="1"/>
  <c r="I91" i="17"/>
  <c r="I256" i="17" s="1"/>
  <c r="I258" i="17" s="1"/>
  <c r="H77" i="17"/>
  <c r="H92" i="17"/>
  <c r="H93" i="17"/>
  <c r="H83" i="17"/>
  <c r="G93" i="17"/>
  <c r="G77" i="17"/>
  <c r="G92" i="17"/>
  <c r="E92" i="17"/>
  <c r="E94" i="17" s="1"/>
  <c r="E99" i="17" s="1"/>
  <c r="E91" i="17"/>
  <c r="E256" i="17" s="1"/>
  <c r="E258" i="17" s="1"/>
  <c r="G60" i="12"/>
  <c r="G249" i="12"/>
  <c r="J60" i="16"/>
  <c r="J59" i="16"/>
  <c r="D59" i="16"/>
  <c r="D60" i="16"/>
  <c r="K60" i="16"/>
  <c r="K59" i="16"/>
  <c r="G59" i="16"/>
  <c r="G60" i="16"/>
  <c r="E59" i="16"/>
  <c r="E60" i="16"/>
  <c r="F59" i="16"/>
  <c r="F60" i="16"/>
  <c r="K60" i="15"/>
  <c r="K59" i="15"/>
  <c r="E59" i="15"/>
  <c r="E60" i="15"/>
  <c r="J60" i="15"/>
  <c r="J59" i="15"/>
  <c r="G59" i="15"/>
  <c r="G60" i="15"/>
  <c r="F59" i="15"/>
  <c r="F60" i="15"/>
  <c r="G59" i="13"/>
  <c r="G60" i="13"/>
  <c r="J60" i="13"/>
  <c r="J59" i="13"/>
  <c r="F59" i="13"/>
  <c r="F60" i="13"/>
  <c r="K60" i="13"/>
  <c r="K59" i="13"/>
  <c r="E59" i="13"/>
  <c r="E60" i="13"/>
  <c r="G59" i="12"/>
  <c r="H59" i="12"/>
  <c r="H60" i="12"/>
  <c r="J60" i="12"/>
  <c r="J59" i="12"/>
  <c r="E59" i="12"/>
  <c r="E60" i="12"/>
  <c r="I59" i="12"/>
  <c r="I60" i="12"/>
  <c r="F59" i="12"/>
  <c r="F60" i="12"/>
  <c r="M259" i="12"/>
  <c r="M94" i="12"/>
  <c r="M95" i="12" s="1"/>
  <c r="P94" i="11"/>
  <c r="P95" i="11" s="1"/>
  <c r="K59" i="12" l="1"/>
  <c r="K60" i="12"/>
  <c r="G249" i="17"/>
  <c r="G42" i="17"/>
  <c r="G60" i="17"/>
  <c r="E58" i="17"/>
  <c r="E249" i="17" s="1"/>
  <c r="F58" i="17"/>
  <c r="F249" i="17" s="1"/>
  <c r="I94" i="17"/>
  <c r="I99" i="17" s="1"/>
  <c r="J58" i="17"/>
  <c r="J42" i="17"/>
  <c r="H58" i="17"/>
  <c r="H42" i="17"/>
  <c r="K95" i="17"/>
  <c r="K255" i="17" s="1"/>
  <c r="K259" i="17" s="1"/>
  <c r="K99" i="17"/>
  <c r="F95" i="17"/>
  <c r="F255" i="17" s="1"/>
  <c r="F259" i="17" s="1"/>
  <c r="F99" i="17"/>
  <c r="J95" i="17"/>
  <c r="J255" i="17" s="1"/>
  <c r="J259" i="17" s="1"/>
  <c r="J99" i="17"/>
  <c r="K42" i="17"/>
  <c r="K58" i="17"/>
  <c r="H94" i="17"/>
  <c r="I42" i="17"/>
  <c r="I58" i="17"/>
  <c r="G94" i="17"/>
  <c r="E95" i="17"/>
  <c r="E255" i="17" s="1"/>
  <c r="E259" i="17" s="1"/>
  <c r="M59" i="16"/>
  <c r="M60" i="16"/>
  <c r="E59" i="17" l="1"/>
  <c r="E60" i="17"/>
  <c r="F60" i="17"/>
  <c r="F59" i="17"/>
  <c r="I95" i="17"/>
  <c r="I255" i="17" s="1"/>
  <c r="I259" i="17" s="1"/>
  <c r="J59" i="17"/>
  <c r="J60" i="17"/>
  <c r="J249" i="17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I60" i="17"/>
  <c r="I249" i="17"/>
  <c r="I59" i="17"/>
  <c r="M123" i="12"/>
  <c r="P228" i="1"/>
  <c r="D228" i="17" s="1"/>
  <c r="M228" i="17" s="1"/>
  <c r="P227" i="1"/>
  <c r="D227" i="17" s="1"/>
  <c r="M227" i="17" s="1"/>
  <c r="P226" i="1"/>
  <c r="D226" i="17" s="1"/>
  <c r="M226" i="17" s="1"/>
  <c r="P225" i="1"/>
  <c r="D225" i="17" s="1"/>
  <c r="M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D111" i="1"/>
  <c r="P104" i="1"/>
  <c r="D104" i="17" s="1"/>
  <c r="M104" i="17" s="1"/>
  <c r="E105" i="1"/>
  <c r="F105" i="1"/>
  <c r="G105" i="1"/>
  <c r="H105" i="1"/>
  <c r="I105" i="1"/>
  <c r="J105" i="1"/>
  <c r="K105" i="1"/>
  <c r="L105" i="1"/>
  <c r="M105" i="1"/>
  <c r="N105" i="1"/>
  <c r="D105" i="1"/>
  <c r="D117" i="1"/>
  <c r="M119" i="1" l="1"/>
  <c r="D118" i="1"/>
  <c r="D119" i="1" s="1"/>
  <c r="H119" i="1"/>
  <c r="P111" i="1"/>
  <c r="N119" i="1"/>
  <c r="P105" i="1"/>
  <c r="K119" i="1"/>
  <c r="P229" i="1"/>
  <c r="D229" i="17"/>
  <c r="M229" i="17" s="1"/>
  <c r="P187" i="1"/>
  <c r="D187" i="17" s="1"/>
  <c r="M187" i="17" s="1"/>
  <c r="P186" i="1"/>
  <c r="D186" i="17" s="1"/>
  <c r="M186" i="17" s="1"/>
  <c r="P185" i="1"/>
  <c r="D185" i="17" s="1"/>
  <c r="M185" i="17" s="1"/>
  <c r="P184" i="1"/>
  <c r="D184" i="17" s="1"/>
  <c r="M184" i="17" s="1"/>
  <c r="P247" i="1" l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M98" i="17" s="1"/>
  <c r="F259" i="1"/>
  <c r="H259" i="1"/>
  <c r="J83" i="1"/>
  <c r="J71" i="1"/>
  <c r="P68" i="1"/>
  <c r="D68" i="17" s="1"/>
  <c r="M68" i="17" s="1"/>
  <c r="P69" i="1"/>
  <c r="D69" i="17" s="1"/>
  <c r="M69" i="17" s="1"/>
  <c r="E15" i="1"/>
  <c r="F15" i="1"/>
  <c r="G15" i="1"/>
  <c r="H15" i="1"/>
  <c r="I15" i="1"/>
  <c r="J15" i="1"/>
  <c r="K15" i="1"/>
  <c r="L15" i="1"/>
  <c r="M15" i="1"/>
  <c r="N15" i="1"/>
  <c r="E21" i="1"/>
  <c r="F21" i="1"/>
  <c r="G21" i="1"/>
  <c r="H21" i="1"/>
  <c r="I21" i="1"/>
  <c r="J21" i="1"/>
  <c r="K21" i="1"/>
  <c r="L21" i="1"/>
  <c r="M21" i="1"/>
  <c r="N21" i="1"/>
  <c r="D21" i="1"/>
  <c r="P9" i="1"/>
  <c r="D9" i="17" s="1"/>
  <c r="M9" i="17" s="1"/>
  <c r="P13" i="1"/>
  <c r="D13" i="17" s="1"/>
  <c r="M13" i="17" s="1"/>
  <c r="P18" i="1"/>
  <c r="H30" i="1"/>
  <c r="M30" i="1"/>
  <c r="N30" i="1"/>
  <c r="G30" i="1"/>
  <c r="I32" i="1"/>
  <c r="J32" i="1"/>
  <c r="L32" i="1"/>
  <c r="M32" i="1"/>
  <c r="N32" i="1"/>
  <c r="H32" i="1"/>
  <c r="I34" i="1"/>
  <c r="J34" i="1"/>
  <c r="K34" i="1"/>
  <c r="M34" i="1"/>
  <c r="H34" i="1"/>
  <c r="L34" i="1"/>
  <c r="N34" i="1"/>
  <c r="H38" i="1"/>
  <c r="I38" i="1"/>
  <c r="J38" i="1"/>
  <c r="K38" i="1"/>
  <c r="L38" i="1"/>
  <c r="M38" i="1"/>
  <c r="N38" i="1"/>
  <c r="H40" i="1"/>
  <c r="I40" i="1"/>
  <c r="J40" i="1"/>
  <c r="K40" i="1"/>
  <c r="L40" i="1"/>
  <c r="M40" i="1"/>
  <c r="N40" i="1"/>
  <c r="H45" i="1"/>
  <c r="M45" i="1"/>
  <c r="N45" i="1"/>
  <c r="L45" i="1"/>
  <c r="G47" i="1"/>
  <c r="H47" i="1"/>
  <c r="I47" i="1"/>
  <c r="J47" i="1"/>
  <c r="K47" i="1"/>
  <c r="L47" i="1"/>
  <c r="M47" i="1"/>
  <c r="N47" i="1"/>
  <c r="E58" i="11"/>
  <c r="F58" i="11"/>
  <c r="H58" i="11"/>
  <c r="I58" i="11"/>
  <c r="K58" i="11"/>
  <c r="L58" i="11"/>
  <c r="M58" i="11"/>
  <c r="N58" i="11"/>
  <c r="O58" i="11"/>
  <c r="G62" i="1"/>
  <c r="H62" i="1"/>
  <c r="K62" i="1"/>
  <c r="M62" i="1"/>
  <c r="P61" i="1"/>
  <c r="D61" i="17" s="1"/>
  <c r="J62" i="1"/>
  <c r="N62" i="1"/>
  <c r="P66" i="1"/>
  <c r="P78" i="1"/>
  <c r="P84" i="1"/>
  <c r="P101" i="1"/>
  <c r="D101" i="17" s="1"/>
  <c r="M101" i="17" s="1"/>
  <c r="P102" i="1"/>
  <c r="D102" i="17" s="1"/>
  <c r="M102" i="17" s="1"/>
  <c r="P103" i="1"/>
  <c r="D103" i="17" s="1"/>
  <c r="M103" i="17" s="1"/>
  <c r="P107" i="1"/>
  <c r="D107" i="17" s="1"/>
  <c r="M107" i="17" s="1"/>
  <c r="P108" i="1"/>
  <c r="D108" i="17" s="1"/>
  <c r="M108" i="17" s="1"/>
  <c r="P109" i="1"/>
  <c r="D109" i="17" s="1"/>
  <c r="M109" i="17" s="1"/>
  <c r="P110" i="1"/>
  <c r="D110" i="17" s="1"/>
  <c r="M110" i="17" s="1"/>
  <c r="P121" i="1"/>
  <c r="D121" i="17" s="1"/>
  <c r="G123" i="1"/>
  <c r="K123" i="1"/>
  <c r="L123" i="1"/>
  <c r="M123" i="1"/>
  <c r="P122" i="1"/>
  <c r="D122" i="17" s="1"/>
  <c r="P125" i="1"/>
  <c r="P130" i="1"/>
  <c r="P140" i="1"/>
  <c r="K204" i="1"/>
  <c r="F210" i="1"/>
  <c r="H210" i="1"/>
  <c r="J210" i="1"/>
  <c r="H230" i="1"/>
  <c r="H243" i="1" s="1"/>
  <c r="I223" i="1"/>
  <c r="I230" i="1" s="1"/>
  <c r="K223" i="1"/>
  <c r="K230" i="1" s="1"/>
  <c r="L230" i="1"/>
  <c r="N242" i="1"/>
  <c r="J71" i="11" l="1"/>
  <c r="K66" i="1"/>
  <c r="K66" i="11" s="1"/>
  <c r="D125" i="17"/>
  <c r="M125" i="17" s="1"/>
  <c r="D130" i="17"/>
  <c r="M130" i="17" s="1"/>
  <c r="J251" i="1"/>
  <c r="J250" i="1"/>
  <c r="K78" i="1"/>
  <c r="K78" i="11" s="1"/>
  <c r="J83" i="11"/>
  <c r="H251" i="1"/>
  <c r="H250" i="1"/>
  <c r="G259" i="1"/>
  <c r="G255" i="11"/>
  <c r="G259" i="11" s="1"/>
  <c r="F250" i="1"/>
  <c r="F251" i="1"/>
  <c r="D140" i="17"/>
  <c r="K71" i="1"/>
  <c r="L66" i="1" s="1"/>
  <c r="D255" i="13"/>
  <c r="D259" i="13" s="1"/>
  <c r="G22" i="1"/>
  <c r="G24" i="1" s="1"/>
  <c r="G25" i="1" s="1"/>
  <c r="D123" i="17"/>
  <c r="I249" i="11"/>
  <c r="I60" i="11"/>
  <c r="I59" i="11"/>
  <c r="H249" i="11"/>
  <c r="H60" i="11"/>
  <c r="H59" i="11"/>
  <c r="D52" i="12"/>
  <c r="M52" i="12" s="1"/>
  <c r="J58" i="11"/>
  <c r="D52" i="15"/>
  <c r="O249" i="11"/>
  <c r="O60" i="11"/>
  <c r="O59" i="11"/>
  <c r="G58" i="11"/>
  <c r="D52" i="13"/>
  <c r="K249" i="11"/>
  <c r="K59" i="11"/>
  <c r="K60" i="11"/>
  <c r="N249" i="11"/>
  <c r="N60" i="11"/>
  <c r="N59" i="11"/>
  <c r="F249" i="11"/>
  <c r="F60" i="11"/>
  <c r="F59" i="11"/>
  <c r="L59" i="11"/>
  <c r="L60" i="11"/>
  <c r="L249" i="11"/>
  <c r="M60" i="11"/>
  <c r="M59" i="11"/>
  <c r="M249" i="11"/>
  <c r="E249" i="11"/>
  <c r="E59" i="11"/>
  <c r="E60" i="11"/>
  <c r="M111" i="17"/>
  <c r="M118" i="17" s="1"/>
  <c r="M105" i="17"/>
  <c r="D105" i="17"/>
  <c r="D111" i="17"/>
  <c r="D118" i="17" s="1"/>
  <c r="J230" i="1"/>
  <c r="D18" i="17"/>
  <c r="M18" i="17" s="1"/>
  <c r="D70" i="17"/>
  <c r="D62" i="17"/>
  <c r="I22" i="1"/>
  <c r="I24" i="1" s="1"/>
  <c r="I25" i="1" s="1"/>
  <c r="G242" i="1"/>
  <c r="P70" i="1"/>
  <c r="I123" i="1"/>
  <c r="F22" i="1"/>
  <c r="F24" i="1" s="1"/>
  <c r="F25" i="1" s="1"/>
  <c r="D216" i="1"/>
  <c r="E22" i="1"/>
  <c r="E24" i="1" s="1"/>
  <c r="E25" i="1" s="1"/>
  <c r="K242" i="1"/>
  <c r="K243" i="1" s="1"/>
  <c r="N204" i="1"/>
  <c r="M22" i="1"/>
  <c r="M24" i="1" s="1"/>
  <c r="F242" i="1"/>
  <c r="L22" i="1"/>
  <c r="L24" i="1" s="1"/>
  <c r="L25" i="1" s="1"/>
  <c r="J22" i="1"/>
  <c r="J24" i="1" s="1"/>
  <c r="J25" i="1" s="1"/>
  <c r="E41" i="1"/>
  <c r="E58" i="1" s="1"/>
  <c r="D41" i="1"/>
  <c r="D58" i="1" s="1"/>
  <c r="N41" i="1"/>
  <c r="N42" i="1" s="1"/>
  <c r="M41" i="1"/>
  <c r="M58" i="1" s="1"/>
  <c r="J41" i="1"/>
  <c r="M210" i="1"/>
  <c r="L210" i="1"/>
  <c r="L41" i="1"/>
  <c r="H22" i="1"/>
  <c r="H24" i="1" s="1"/>
  <c r="H25" i="1" s="1"/>
  <c r="K41" i="1"/>
  <c r="K58" i="1" s="1"/>
  <c r="L242" i="1"/>
  <c r="L243" i="1" s="1"/>
  <c r="M204" i="1"/>
  <c r="I41" i="1"/>
  <c r="G210" i="1"/>
  <c r="H41" i="1"/>
  <c r="G41" i="1"/>
  <c r="G58" i="1" s="1"/>
  <c r="F41" i="1"/>
  <c r="F58" i="1" s="1"/>
  <c r="N22" i="1"/>
  <c r="N24" i="1" s="1"/>
  <c r="N25" i="1" s="1"/>
  <c r="M242" i="1"/>
  <c r="J123" i="1"/>
  <c r="K210" i="1"/>
  <c r="H123" i="1"/>
  <c r="K22" i="1"/>
  <c r="K24" i="1" s="1"/>
  <c r="K25" i="1" s="1"/>
  <c r="I210" i="1"/>
  <c r="P90" i="1"/>
  <c r="P135" i="1"/>
  <c r="P145" i="1" s="1"/>
  <c r="E242" i="1"/>
  <c r="P136" i="1"/>
  <c r="D136" i="17" s="1"/>
  <c r="M136" i="17" s="1"/>
  <c r="P127" i="1"/>
  <c r="D127" i="17" s="1"/>
  <c r="M127" i="17" s="1"/>
  <c r="L204" i="1"/>
  <c r="P162" i="1"/>
  <c r="D162" i="17" s="1"/>
  <c r="M162" i="17" s="1"/>
  <c r="E230" i="1"/>
  <c r="E210" i="1"/>
  <c r="P133" i="1"/>
  <c r="D133" i="17" s="1"/>
  <c r="M133" i="17" s="1"/>
  <c r="P209" i="1"/>
  <c r="D209" i="17" s="1"/>
  <c r="M209" i="17" s="1"/>
  <c r="P191" i="1"/>
  <c r="D191" i="17" s="1"/>
  <c r="M191" i="17" s="1"/>
  <c r="P172" i="1"/>
  <c r="D172" i="17" s="1"/>
  <c r="M172" i="17" s="1"/>
  <c r="P46" i="1"/>
  <c r="P29" i="1"/>
  <c r="D29" i="17" s="1"/>
  <c r="P190" i="1"/>
  <c r="D190" i="17" s="1"/>
  <c r="M190" i="17" s="1"/>
  <c r="P171" i="1"/>
  <c r="D171" i="17" s="1"/>
  <c r="M171" i="17" s="1"/>
  <c r="P219" i="1"/>
  <c r="D219" i="17" s="1"/>
  <c r="M219" i="17" s="1"/>
  <c r="P192" i="1"/>
  <c r="D192" i="17" s="1"/>
  <c r="P160" i="1"/>
  <c r="D160" i="17" s="1"/>
  <c r="M160" i="17" s="1"/>
  <c r="P180" i="1"/>
  <c r="D180" i="17" s="1"/>
  <c r="M180" i="17" s="1"/>
  <c r="P220" i="1"/>
  <c r="D220" i="17" s="1"/>
  <c r="M220" i="17" s="1"/>
  <c r="P194" i="1"/>
  <c r="D194" i="17" s="1"/>
  <c r="M194" i="17" s="1"/>
  <c r="P174" i="1"/>
  <c r="D174" i="17" s="1"/>
  <c r="M174" i="17" s="1"/>
  <c r="P161" i="1"/>
  <c r="D161" i="17" s="1"/>
  <c r="M161" i="17" s="1"/>
  <c r="P126" i="1"/>
  <c r="D126" i="17" s="1"/>
  <c r="M126" i="17" s="1"/>
  <c r="P81" i="1"/>
  <c r="P233" i="1"/>
  <c r="D233" i="17" s="1"/>
  <c r="M233" i="17" s="1"/>
  <c r="P206" i="1"/>
  <c r="D206" i="17" s="1"/>
  <c r="M206" i="17" s="1"/>
  <c r="P197" i="1"/>
  <c r="D197" i="17" s="1"/>
  <c r="M197" i="17" s="1"/>
  <c r="P177" i="1"/>
  <c r="D177" i="17" s="1"/>
  <c r="M177" i="17" s="1"/>
  <c r="P163" i="1"/>
  <c r="D163" i="17" s="1"/>
  <c r="M163" i="17" s="1"/>
  <c r="P137" i="1"/>
  <c r="D137" i="17" s="1"/>
  <c r="M137" i="17" s="1"/>
  <c r="P128" i="1"/>
  <c r="D128" i="17" s="1"/>
  <c r="M128" i="17" s="1"/>
  <c r="P85" i="1"/>
  <c r="D85" i="17" s="1"/>
  <c r="M85" i="17" s="1"/>
  <c r="D73" i="17"/>
  <c r="M73" i="17" s="1"/>
  <c r="D15" i="1"/>
  <c r="P253" i="1"/>
  <c r="D253" i="17" s="1"/>
  <c r="M253" i="17" s="1"/>
  <c r="P207" i="1"/>
  <c r="D207" i="17" s="1"/>
  <c r="M207" i="17" s="1"/>
  <c r="J204" i="1"/>
  <c r="P164" i="1"/>
  <c r="D164" i="17" s="1"/>
  <c r="M164" i="17" s="1"/>
  <c r="P138" i="1"/>
  <c r="D138" i="17" s="1"/>
  <c r="M138" i="17" s="1"/>
  <c r="P79" i="1"/>
  <c r="D79" i="17" s="1"/>
  <c r="M79" i="17" s="1"/>
  <c r="P56" i="1"/>
  <c r="D56" i="17" s="1"/>
  <c r="M56" i="17" s="1"/>
  <c r="P49" i="1"/>
  <c r="D49" i="17" s="1"/>
  <c r="M49" i="17" s="1"/>
  <c r="P44" i="1"/>
  <c r="D44" i="17" s="1"/>
  <c r="M44" i="17" s="1"/>
  <c r="P39" i="1"/>
  <c r="D39" i="17" s="1"/>
  <c r="M39" i="17" s="1"/>
  <c r="P254" i="1"/>
  <c r="D254" i="17" s="1"/>
  <c r="M254" i="17" s="1"/>
  <c r="J242" i="1"/>
  <c r="P234" i="1"/>
  <c r="D234" i="17" s="1"/>
  <c r="M234" i="17" s="1"/>
  <c r="P208" i="1"/>
  <c r="D208" i="17" s="1"/>
  <c r="M208" i="17" s="1"/>
  <c r="I204" i="1"/>
  <c r="P165" i="1"/>
  <c r="D165" i="17" s="1"/>
  <c r="M165" i="17" s="1"/>
  <c r="P153" i="1"/>
  <c r="P63" i="1"/>
  <c r="D63" i="17" s="1"/>
  <c r="M63" i="17" s="1"/>
  <c r="P50" i="1"/>
  <c r="D50" i="17" s="1"/>
  <c r="M50" i="17" s="1"/>
  <c r="I242" i="1"/>
  <c r="I243" i="1" s="1"/>
  <c r="P175" i="1"/>
  <c r="D175" i="17" s="1"/>
  <c r="M175" i="17" s="1"/>
  <c r="P167" i="1"/>
  <c r="D167" i="17" s="1"/>
  <c r="M167" i="17" s="1"/>
  <c r="P154" i="1"/>
  <c r="D154" i="17" s="1"/>
  <c r="M154" i="17" s="1"/>
  <c r="P123" i="1"/>
  <c r="P54" i="1"/>
  <c r="D54" i="17" s="1"/>
  <c r="M54" i="17" s="1"/>
  <c r="P51" i="1"/>
  <c r="D51" i="17" s="1"/>
  <c r="M51" i="17" s="1"/>
  <c r="P31" i="1"/>
  <c r="D31" i="17" s="1"/>
  <c r="M31" i="17" s="1"/>
  <c r="P11" i="1"/>
  <c r="D11" i="17" s="1"/>
  <c r="M11" i="17" s="1"/>
  <c r="P232" i="1"/>
  <c r="D232" i="17" s="1"/>
  <c r="M232" i="17" s="1"/>
  <c r="P181" i="1"/>
  <c r="D181" i="17" s="1"/>
  <c r="M181" i="17" s="1"/>
  <c r="P168" i="1"/>
  <c r="D168" i="17" s="1"/>
  <c r="M168" i="17" s="1"/>
  <c r="P52" i="1"/>
  <c r="D52" i="17" s="1"/>
  <c r="M52" i="17" s="1"/>
  <c r="P19" i="1"/>
  <c r="P222" i="1"/>
  <c r="D222" i="17" s="1"/>
  <c r="M222" i="17" s="1"/>
  <c r="P182" i="1"/>
  <c r="D182" i="17" s="1"/>
  <c r="M182" i="17" s="1"/>
  <c r="P178" i="1"/>
  <c r="D178" i="17" s="1"/>
  <c r="M178" i="17" s="1"/>
  <c r="P169" i="1"/>
  <c r="D169" i="17" s="1"/>
  <c r="M169" i="17" s="1"/>
  <c r="N123" i="1"/>
  <c r="P20" i="1"/>
  <c r="P221" i="1"/>
  <c r="D221" i="17" s="1"/>
  <c r="M221" i="17" s="1"/>
  <c r="P195" i="1"/>
  <c r="D195" i="17" s="1"/>
  <c r="M195" i="17" s="1"/>
  <c r="P189" i="1"/>
  <c r="D189" i="17" s="1"/>
  <c r="M189" i="17" s="1"/>
  <c r="P179" i="1"/>
  <c r="D179" i="17" s="1"/>
  <c r="M179" i="17" s="1"/>
  <c r="P173" i="1"/>
  <c r="D173" i="17" s="1"/>
  <c r="M173" i="17" s="1"/>
  <c r="P170" i="1"/>
  <c r="D170" i="17" s="1"/>
  <c r="M170" i="17" s="1"/>
  <c r="P55" i="1"/>
  <c r="D55" i="17" s="1"/>
  <c r="M55" i="17" s="1"/>
  <c r="P159" i="1"/>
  <c r="D159" i="17" s="1"/>
  <c r="M159" i="17" s="1"/>
  <c r="P132" i="1"/>
  <c r="D132" i="17" s="1"/>
  <c r="M132" i="17" s="1"/>
  <c r="P257" i="1"/>
  <c r="D257" i="17" s="1"/>
  <c r="M257" i="17" s="1"/>
  <c r="P158" i="1"/>
  <c r="D158" i="17" s="1"/>
  <c r="M158" i="17" s="1"/>
  <c r="P143" i="1"/>
  <c r="P131" i="1"/>
  <c r="D131" i="17" s="1"/>
  <c r="M131" i="17" s="1"/>
  <c r="P67" i="1"/>
  <c r="D67" i="17" s="1"/>
  <c r="M67" i="17" s="1"/>
  <c r="P37" i="1"/>
  <c r="D37" i="17" s="1"/>
  <c r="M37" i="17" s="1"/>
  <c r="P203" i="1"/>
  <c r="D203" i="17" s="1"/>
  <c r="M203" i="17" s="1"/>
  <c r="P157" i="1"/>
  <c r="D157" i="17" s="1"/>
  <c r="M157" i="17" s="1"/>
  <c r="P142" i="1"/>
  <c r="P241" i="1"/>
  <c r="D241" i="17" s="1"/>
  <c r="M241" i="17" s="1"/>
  <c r="P215" i="1"/>
  <c r="D215" i="17" s="1"/>
  <c r="M215" i="17" s="1"/>
  <c r="P202" i="1"/>
  <c r="D202" i="17" s="1"/>
  <c r="M202" i="17" s="1"/>
  <c r="P156" i="1"/>
  <c r="D156" i="17" s="1"/>
  <c r="M156" i="17" s="1"/>
  <c r="P141" i="1"/>
  <c r="P33" i="1"/>
  <c r="D33" i="17" s="1"/>
  <c r="M33" i="17" s="1"/>
  <c r="P240" i="1"/>
  <c r="D240" i="17" s="1"/>
  <c r="M240" i="17" s="1"/>
  <c r="G230" i="1"/>
  <c r="P214" i="1"/>
  <c r="D214" i="17" s="1"/>
  <c r="M214" i="17" s="1"/>
  <c r="P201" i="1"/>
  <c r="D201" i="17" s="1"/>
  <c r="M201" i="17" s="1"/>
  <c r="P155" i="1"/>
  <c r="D155" i="17" s="1"/>
  <c r="M155" i="17" s="1"/>
  <c r="P17" i="1"/>
  <c r="P239" i="1"/>
  <c r="D239" i="17" s="1"/>
  <c r="M239" i="17" s="1"/>
  <c r="P213" i="1"/>
  <c r="D213" i="17" s="1"/>
  <c r="M213" i="17" s="1"/>
  <c r="P200" i="1"/>
  <c r="D200" i="17" s="1"/>
  <c r="M200" i="17" s="1"/>
  <c r="P238" i="1"/>
  <c r="D238" i="17" s="1"/>
  <c r="M238" i="17" s="1"/>
  <c r="P212" i="1"/>
  <c r="D212" i="17" s="1"/>
  <c r="M212" i="17" s="1"/>
  <c r="P199" i="1"/>
  <c r="D199" i="17" s="1"/>
  <c r="M199" i="17" s="1"/>
  <c r="P14" i="1"/>
  <c r="D14" i="17" s="1"/>
  <c r="M14" i="17" s="1"/>
  <c r="P235" i="1"/>
  <c r="D235" i="17" s="1"/>
  <c r="M235" i="17" s="1"/>
  <c r="D210" i="1"/>
  <c r="P12" i="1"/>
  <c r="D12" i="17" s="1"/>
  <c r="M12" i="17" s="1"/>
  <c r="N223" i="1"/>
  <c r="N230" i="1" s="1"/>
  <c r="N243" i="1" s="1"/>
  <c r="N210" i="1"/>
  <c r="K90" i="1" l="1"/>
  <c r="K95" i="1" s="1"/>
  <c r="K255" i="1" s="1"/>
  <c r="P129" i="1"/>
  <c r="P139" i="1"/>
  <c r="P134" i="1"/>
  <c r="K71" i="11"/>
  <c r="L66" i="11"/>
  <c r="N250" i="1"/>
  <c r="N251" i="1"/>
  <c r="K83" i="1"/>
  <c r="L78" i="1" s="1"/>
  <c r="M250" i="1"/>
  <c r="M251" i="1"/>
  <c r="L250" i="1"/>
  <c r="L251" i="1"/>
  <c r="K249" i="1"/>
  <c r="K250" i="1"/>
  <c r="K251" i="1"/>
  <c r="J42" i="1"/>
  <c r="J58" i="1"/>
  <c r="I250" i="1"/>
  <c r="I251" i="1"/>
  <c r="G250" i="1"/>
  <c r="G251" i="1"/>
  <c r="D46" i="17"/>
  <c r="M46" i="17" s="1"/>
  <c r="M47" i="17" s="1"/>
  <c r="P46" i="11"/>
  <c r="P47" i="11" s="1"/>
  <c r="E251" i="1"/>
  <c r="E250" i="1"/>
  <c r="D251" i="1"/>
  <c r="D250" i="1"/>
  <c r="D153" i="17"/>
  <c r="M153" i="17" s="1"/>
  <c r="P193" i="1"/>
  <c r="D141" i="17"/>
  <c r="M141" i="17" s="1"/>
  <c r="P146" i="1"/>
  <c r="D142" i="17"/>
  <c r="M142" i="17" s="1"/>
  <c r="M147" i="17" s="1"/>
  <c r="P147" i="1"/>
  <c r="D143" i="17"/>
  <c r="M143" i="17" s="1"/>
  <c r="M148" i="17" s="1"/>
  <c r="P148" i="1"/>
  <c r="P144" i="1"/>
  <c r="L71" i="1"/>
  <c r="M66" i="1" s="1"/>
  <c r="O258" i="11"/>
  <c r="K90" i="11"/>
  <c r="K95" i="11" s="1"/>
  <c r="N258" i="11"/>
  <c r="D30" i="17"/>
  <c r="M29" i="17"/>
  <c r="M30" i="17" s="1"/>
  <c r="L255" i="13"/>
  <c r="L259" i="13" s="1"/>
  <c r="E59" i="1"/>
  <c r="E60" i="1"/>
  <c r="D59" i="1"/>
  <c r="M217" i="1"/>
  <c r="F59" i="1"/>
  <c r="F60" i="1"/>
  <c r="D38" i="17"/>
  <c r="L52" i="13"/>
  <c r="D58" i="13"/>
  <c r="P52" i="11"/>
  <c r="D58" i="11"/>
  <c r="G249" i="11"/>
  <c r="G59" i="11"/>
  <c r="G60" i="11"/>
  <c r="L52" i="15"/>
  <c r="D58" i="15"/>
  <c r="D58" i="12"/>
  <c r="M58" i="12" s="1"/>
  <c r="J59" i="11"/>
  <c r="J60" i="11"/>
  <c r="J249" i="11"/>
  <c r="J243" i="1"/>
  <c r="D135" i="17"/>
  <c r="D119" i="17"/>
  <c r="P256" i="1"/>
  <c r="P258" i="1" s="1"/>
  <c r="D256" i="16"/>
  <c r="M256" i="16" s="1"/>
  <c r="D40" i="17"/>
  <c r="M134" i="17"/>
  <c r="M119" i="17"/>
  <c r="M230" i="1"/>
  <c r="M243" i="1" s="1"/>
  <c r="M249" i="1" s="1"/>
  <c r="L217" i="1"/>
  <c r="D19" i="17"/>
  <c r="M19" i="17" s="1"/>
  <c r="D20" i="17"/>
  <c r="M20" i="17" s="1"/>
  <c r="D17" i="17"/>
  <c r="M17" i="17" s="1"/>
  <c r="D204" i="17"/>
  <c r="M204" i="17" s="1"/>
  <c r="G243" i="1"/>
  <c r="G249" i="1" s="1"/>
  <c r="G217" i="1"/>
  <c r="M70" i="17"/>
  <c r="D134" i="17"/>
  <c r="D129" i="17"/>
  <c r="P82" i="1"/>
  <c r="P83" i="1" s="1"/>
  <c r="D81" i="17"/>
  <c r="D74" i="17"/>
  <c r="D91" i="17"/>
  <c r="M91" i="17" s="1"/>
  <c r="D71" i="17"/>
  <c r="D45" i="17"/>
  <c r="D34" i="17"/>
  <c r="D32" i="17"/>
  <c r="D41" i="17"/>
  <c r="M41" i="17" s="1"/>
  <c r="D242" i="17"/>
  <c r="M242" i="17"/>
  <c r="D236" i="17"/>
  <c r="M236" i="17"/>
  <c r="D223" i="17"/>
  <c r="M223" i="17" s="1"/>
  <c r="D210" i="17"/>
  <c r="D15" i="17"/>
  <c r="M15" i="17"/>
  <c r="D216" i="17"/>
  <c r="M216" i="17" s="1"/>
  <c r="M32" i="17"/>
  <c r="M38" i="17"/>
  <c r="M62" i="17"/>
  <c r="M34" i="17"/>
  <c r="M40" i="17"/>
  <c r="M45" i="17"/>
  <c r="F230" i="1"/>
  <c r="F243" i="1" s="1"/>
  <c r="F249" i="1" s="1"/>
  <c r="E243" i="1"/>
  <c r="E249" i="1" s="1"/>
  <c r="J217" i="1"/>
  <c r="H217" i="1"/>
  <c r="F217" i="1"/>
  <c r="M59" i="1"/>
  <c r="P71" i="1"/>
  <c r="D217" i="1"/>
  <c r="G60" i="1"/>
  <c r="N217" i="1"/>
  <c r="E42" i="1"/>
  <c r="G42" i="1"/>
  <c r="M42" i="1"/>
  <c r="N58" i="1"/>
  <c r="N249" i="1" s="1"/>
  <c r="K217" i="1"/>
  <c r="P21" i="1"/>
  <c r="M60" i="1"/>
  <c r="D42" i="1"/>
  <c r="P236" i="1"/>
  <c r="F42" i="1"/>
  <c r="P41" i="1"/>
  <c r="P42" i="1" s="1"/>
  <c r="H42" i="1"/>
  <c r="H58" i="1"/>
  <c r="H249" i="1" s="1"/>
  <c r="E217" i="1"/>
  <c r="I42" i="1"/>
  <c r="I58" i="1"/>
  <c r="I249" i="1" s="1"/>
  <c r="K42" i="1"/>
  <c r="I217" i="1"/>
  <c r="G59" i="1"/>
  <c r="L42" i="1"/>
  <c r="L58" i="1"/>
  <c r="L249" i="1" s="1"/>
  <c r="P91" i="1"/>
  <c r="P242" i="1"/>
  <c r="P15" i="1"/>
  <c r="P204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40" i="1"/>
  <c r="P92" i="1"/>
  <c r="P210" i="1"/>
  <c r="P223" i="1"/>
  <c r="M25" i="1"/>
  <c r="K255" i="11" l="1"/>
  <c r="K259" i="11" s="1"/>
  <c r="K259" i="1"/>
  <c r="D146" i="17"/>
  <c r="D193" i="17"/>
  <c r="L78" i="11"/>
  <c r="L90" i="11" s="1"/>
  <c r="L95" i="11" s="1"/>
  <c r="L83" i="1"/>
  <c r="M78" i="1" s="1"/>
  <c r="L90" i="1"/>
  <c r="L95" i="1" s="1"/>
  <c r="P149" i="1"/>
  <c r="K83" i="11"/>
  <c r="L71" i="11"/>
  <c r="M66" i="11"/>
  <c r="D47" i="17"/>
  <c r="J249" i="1"/>
  <c r="D148" i="17"/>
  <c r="D144" i="17"/>
  <c r="D147" i="17"/>
  <c r="P243" i="1"/>
  <c r="P256" i="11"/>
  <c r="P258" i="11" s="1"/>
  <c r="D139" i="17"/>
  <c r="M135" i="17"/>
  <c r="D76" i="17"/>
  <c r="D77" i="17" s="1"/>
  <c r="M74" i="17"/>
  <c r="M76" i="17" s="1"/>
  <c r="D82" i="17"/>
  <c r="D83" i="17" s="1"/>
  <c r="M81" i="17"/>
  <c r="D265" i="17"/>
  <c r="M210" i="17"/>
  <c r="D60" i="1"/>
  <c r="D249" i="11"/>
  <c r="D60" i="11"/>
  <c r="P58" i="11"/>
  <c r="D59" i="11"/>
  <c r="D249" i="12"/>
  <c r="D60" i="12"/>
  <c r="D59" i="12"/>
  <c r="D249" i="13"/>
  <c r="D59" i="13"/>
  <c r="L58" i="13"/>
  <c r="D60" i="13"/>
  <c r="D249" i="15"/>
  <c r="D60" i="15"/>
  <c r="D59" i="15"/>
  <c r="L58" i="15"/>
  <c r="D145" i="17"/>
  <c r="D258" i="16"/>
  <c r="M258" i="16"/>
  <c r="M129" i="17"/>
  <c r="M146" i="17"/>
  <c r="M89" i="17"/>
  <c r="D88" i="17"/>
  <c r="M21" i="17"/>
  <c r="M22" i="17" s="1"/>
  <c r="D21" i="17"/>
  <c r="D22" i="17" s="1"/>
  <c r="D24" i="17" s="1"/>
  <c r="D25" i="17" s="1"/>
  <c r="M71" i="17"/>
  <c r="D93" i="17"/>
  <c r="M93" i="17" s="1"/>
  <c r="D92" i="17"/>
  <c r="M92" i="17" s="1"/>
  <c r="D256" i="17"/>
  <c r="M256" i="17" s="1"/>
  <c r="M42" i="17"/>
  <c r="D58" i="17"/>
  <c r="M58" i="17" s="1"/>
  <c r="D42" i="17"/>
  <c r="D230" i="17"/>
  <c r="M230" i="17" s="1"/>
  <c r="D250" i="17"/>
  <c r="D251" i="17"/>
  <c r="D243" i="1"/>
  <c r="D249" i="1" s="1"/>
  <c r="P230" i="1"/>
  <c r="D217" i="17"/>
  <c r="P251" i="1"/>
  <c r="P250" i="1"/>
  <c r="N59" i="1"/>
  <c r="P94" i="1"/>
  <c r="P95" i="1" s="1"/>
  <c r="J60" i="1"/>
  <c r="J59" i="1"/>
  <c r="P217" i="1"/>
  <c r="N60" i="1"/>
  <c r="P22" i="1"/>
  <c r="P24" i="1" s="1"/>
  <c r="P25" i="1" s="1"/>
  <c r="L59" i="1"/>
  <c r="L60" i="1"/>
  <c r="H60" i="1"/>
  <c r="H59" i="1"/>
  <c r="K59" i="1"/>
  <c r="K60" i="1"/>
  <c r="P58" i="1"/>
  <c r="I59" i="1"/>
  <c r="I60" i="1"/>
  <c r="L255" i="1" l="1"/>
  <c r="L259" i="1" s="1"/>
  <c r="L83" i="11"/>
  <c r="D255" i="15"/>
  <c r="D259" i="15" s="1"/>
  <c r="D66" i="16"/>
  <c r="D71" i="16" s="1"/>
  <c r="D149" i="17"/>
  <c r="M78" i="11"/>
  <c r="M90" i="11" s="1"/>
  <c r="M95" i="11" s="1"/>
  <c r="M83" i="1"/>
  <c r="N78" i="1" s="1"/>
  <c r="M71" i="1"/>
  <c r="N66" i="1" s="1"/>
  <c r="M90" i="1"/>
  <c r="M95" i="1" s="1"/>
  <c r="D78" i="16"/>
  <c r="D83" i="16" s="1"/>
  <c r="D89" i="17"/>
  <c r="M88" i="17"/>
  <c r="L249" i="15"/>
  <c r="L59" i="15"/>
  <c r="L60" i="15"/>
  <c r="M249" i="12"/>
  <c r="M59" i="12"/>
  <c r="M60" i="12"/>
  <c r="L249" i="13"/>
  <c r="L60" i="13"/>
  <c r="L59" i="13"/>
  <c r="P249" i="11"/>
  <c r="P59" i="11"/>
  <c r="P60" i="11"/>
  <c r="M139" i="17"/>
  <c r="D60" i="17"/>
  <c r="M82" i="17"/>
  <c r="M83" i="17" s="1"/>
  <c r="D94" i="17"/>
  <c r="M77" i="17"/>
  <c r="D258" i="17"/>
  <c r="M258" i="17"/>
  <c r="M59" i="17"/>
  <c r="D59" i="17"/>
  <c r="D243" i="17"/>
  <c r="D249" i="17" s="1"/>
  <c r="M251" i="17"/>
  <c r="M250" i="17"/>
  <c r="M24" i="17"/>
  <c r="M25" i="17" s="1"/>
  <c r="M243" i="17"/>
  <c r="M217" i="17"/>
  <c r="P249" i="1"/>
  <c r="P60" i="1"/>
  <c r="P59" i="1"/>
  <c r="M66" i="16" l="1"/>
  <c r="M71" i="16" s="1"/>
  <c r="L255" i="11"/>
  <c r="L259" i="11" s="1"/>
  <c r="M83" i="11"/>
  <c r="M255" i="1"/>
  <c r="M255" i="11" s="1"/>
  <c r="M259" i="11" s="1"/>
  <c r="L255" i="15"/>
  <c r="L259" i="15" s="1"/>
  <c r="M71" i="11"/>
  <c r="M78" i="16"/>
  <c r="M83" i="16" s="1"/>
  <c r="N78" i="11"/>
  <c r="N83" i="1"/>
  <c r="N83" i="11" s="1"/>
  <c r="N90" i="1"/>
  <c r="N95" i="1" s="1"/>
  <c r="D90" i="16"/>
  <c r="M90" i="16" s="1"/>
  <c r="M95" i="16" s="1"/>
  <c r="O71" i="11"/>
  <c r="D95" i="17"/>
  <c r="D255" i="17" s="1"/>
  <c r="D99" i="17"/>
  <c r="M94" i="17"/>
  <c r="M95" i="17" s="1"/>
  <c r="M249" i="17"/>
  <c r="M60" i="17"/>
  <c r="M259" i="1" l="1"/>
  <c r="N255" i="1"/>
  <c r="N255" i="11" s="1"/>
  <c r="N259" i="11" s="1"/>
  <c r="D95" i="16"/>
  <c r="N66" i="11"/>
  <c r="N90" i="11" s="1"/>
  <c r="N95" i="11" s="1"/>
  <c r="N71" i="1"/>
  <c r="O83" i="11"/>
  <c r="D259" i="17"/>
  <c r="M255" i="17"/>
  <c r="M259" i="17" s="1"/>
  <c r="N71" i="11" l="1"/>
  <c r="O66" i="1"/>
  <c r="O66" i="11" s="1"/>
  <c r="N259" i="1"/>
  <c r="O78" i="11"/>
  <c r="E192" i="13"/>
  <c r="E193" i="13" s="1"/>
  <c r="P192" i="11"/>
  <c r="P193" i="11" s="1"/>
  <c r="O90" i="11" l="1"/>
  <c r="O95" i="11" s="1"/>
  <c r="O255" i="11"/>
  <c r="D255" i="16"/>
  <c r="P255" i="1"/>
  <c r="P259" i="1" s="1"/>
  <c r="E192" i="17"/>
  <c r="M192" i="17" s="1"/>
  <c r="M193" i="17" s="1"/>
  <c r="L192" i="13"/>
  <c r="L193" i="13" s="1"/>
  <c r="G193" i="11"/>
  <c r="D259" i="16" l="1"/>
  <c r="M255" i="16"/>
  <c r="M259" i="16" s="1"/>
  <c r="O259" i="11"/>
  <c r="P255" i="11"/>
  <c r="P259" i="11" s="1"/>
  <c r="E193" i="17"/>
  <c r="D145" i="3"/>
  <c r="D149" i="3" s="1"/>
  <c r="F140" i="18"/>
  <c r="M140" i="18" s="1"/>
  <c r="D140" i="11"/>
  <c r="P140" i="11" s="1"/>
  <c r="P140" i="3"/>
  <c r="P145" i="3" s="1"/>
  <c r="F140" i="12"/>
  <c r="F145" i="12" s="1"/>
  <c r="F149" i="12" s="1"/>
  <c r="D144" i="3"/>
  <c r="F145" i="18" l="1"/>
  <c r="F149" i="18" s="1"/>
  <c r="E140" i="11"/>
  <c r="E145" i="11" s="1"/>
  <c r="E149" i="11" s="1"/>
  <c r="E144" i="3"/>
  <c r="F140" i="11" s="1"/>
  <c r="F144" i="11" s="1"/>
  <c r="E145" i="3"/>
  <c r="E149" i="3" s="1"/>
  <c r="D145" i="11"/>
  <c r="D149" i="11" s="1"/>
  <c r="P145" i="11"/>
  <c r="P144" i="11"/>
  <c r="P149" i="11" s="1"/>
  <c r="M144" i="18"/>
  <c r="M149" i="18" s="1"/>
  <c r="M145" i="18"/>
  <c r="F144" i="3"/>
  <c r="F145" i="3"/>
  <c r="F149" i="3" s="1"/>
  <c r="D144" i="11"/>
  <c r="F144" i="12"/>
  <c r="F144" i="18"/>
  <c r="P144" i="3"/>
  <c r="P149" i="3" s="1"/>
  <c r="F140" i="17"/>
  <c r="E144" i="11" l="1"/>
  <c r="F145" i="11"/>
  <c r="F149" i="11" s="1"/>
  <c r="F144" i="17"/>
  <c r="F145" i="17"/>
  <c r="F149" i="17" s="1"/>
  <c r="M140" i="17"/>
  <c r="G140" i="11"/>
  <c r="G144" i="3"/>
  <c r="F140" i="13"/>
  <c r="G145" i="3"/>
  <c r="G149" i="3" s="1"/>
  <c r="F145" i="13" l="1"/>
  <c r="F149" i="13" s="1"/>
  <c r="L140" i="13"/>
  <c r="F144" i="13"/>
  <c r="G145" i="11"/>
  <c r="G149" i="11" s="1"/>
  <c r="G144" i="11"/>
  <c r="M145" i="17"/>
  <c r="M144" i="17"/>
  <c r="M149" i="17" s="1"/>
  <c r="H140" i="11"/>
  <c r="H145" i="3"/>
  <c r="H149" i="3" s="1"/>
  <c r="L144" i="13" l="1"/>
  <c r="L149" i="13" s="1"/>
  <c r="L145" i="13"/>
  <c r="I145" i="3"/>
  <c r="I149" i="3" s="1"/>
  <c r="I140" i="11"/>
  <c r="I144" i="3"/>
  <c r="H144" i="11"/>
  <c r="H145" i="11"/>
  <c r="H149" i="11" s="1"/>
  <c r="I144" i="11" l="1"/>
  <c r="I145" i="11"/>
  <c r="I149" i="11" s="1"/>
</calcChain>
</file>

<file path=xl/sharedStrings.xml><?xml version="1.0" encoding="utf-8"?>
<sst xmlns="http://schemas.openxmlformats.org/spreadsheetml/2006/main" count="7890" uniqueCount="232">
  <si>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</si>
  <si>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</si>
  <si>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</si>
  <si>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</si>
  <si>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</si>
  <si>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</si>
  <si>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</si>
  <si>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</si>
  <si>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</si>
  <si>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</si>
  <si>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</si>
  <si>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</si>
  <si>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</si>
  <si>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</si>
  <si>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</si>
  <si>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</si>
  <si>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</si>
  <si>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</si>
  <si>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</si>
  <si>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</si>
  <si>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</si>
  <si>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</si>
  <si>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</si>
  <si>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</si>
  <si>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</si>
  <si>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</si>
  <si>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</si>
  <si>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</si>
  <si>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</si>
  <si>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</si>
  <si>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</si>
  <si>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</si>
  <si>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</si>
  <si>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</si>
  <si>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</si>
  <si>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</si>
  <si>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</si>
  <si>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</si>
  <si>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</si>
  <si>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</si>
  <si>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</si>
  <si>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</si>
  <si>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</si>
  <si>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</si>
  <si>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</si>
  <si>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</si>
  <si>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</si>
  <si>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</si>
  <si>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</si>
  <si>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</si>
  <si>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</si>
  <si>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</si>
  <si>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</si>
  <si>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</si>
  <si>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</si>
  <si>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</si>
  <si>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</si>
  <si>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</si>
  <si>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</si>
  <si>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</si>
  <si>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</si>
  <si>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</si>
  <si>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</si>
  <si>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</si>
  <si>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</si>
  <si>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</si>
  <si>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</si>
  <si>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</si>
  <si>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</si>
  <si>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</si>
  <si>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</si>
  <si>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</si>
  <si>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</si>
  <si>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</si>
  <si>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</si>
  <si>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</si>
  <si>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</si>
  <si>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</si>
  <si>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</si>
  <si>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</si>
  <si>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</si>
  <si>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</si>
  <si>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</si>
  <si>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</si>
  <si>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</si>
  <si>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</si>
  <si>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</si>
  <si>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</si>
  <si>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</si>
  <si>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</si>
  <si>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</si>
  <si>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</si>
  <si>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</si>
  <si>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</si>
  <si>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</si>
  <si>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</si>
  <si>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</si>
  <si>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</si>
  <si>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</si>
  <si>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</si>
  <si>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</si>
  <si>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</si>
  <si>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</si>
  <si>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</si>
  <si>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</si>
  <si>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</si>
  <si>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</si>
  <si>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</si>
  <si>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</si>
  <si>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</si>
  <si>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</si>
  <si>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</si>
  <si>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</si>
  <si>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</si>
  <si>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</si>
  <si>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</si>
  <si>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</si>
  <si>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</si>
  <si>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</si>
  <si>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</si>
  <si>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</si>
  <si>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</si>
  <si>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</si>
  <si>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</si>
  <si>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</si>
  <si>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</si>
  <si>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</si>
  <si>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</si>
  <si>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</si>
  <si>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</si>
  <si>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</si>
  <si>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</si>
  <si>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</si>
  <si>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</si>
  <si>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</si>
  <si>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</si>
  <si>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</si>
  <si>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</si>
  <si>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</si>
  <si>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</si>
  <si>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</si>
  <si>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</si>
  <si>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</si>
  <si>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</si>
  <si>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</si>
  <si>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</si>
  <si>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</si>
  <si>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</si>
  <si>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</si>
  <si>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</si>
  <si>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</si>
  <si>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</si>
  <si>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</si>
  <si>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</si>
  <si>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</si>
  <si>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</si>
  <si>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</si>
  <si>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</si>
  <si>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</si>
  <si>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</si>
  <si>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</si>
  <si>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</si>
  <si>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</si>
  <si>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</si>
  <si>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</si>
  <si>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</si>
  <si>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</si>
  <si>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</si>
  <si>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</si>
  <si>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</si>
  <si>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</si>
  <si>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</si>
  <si>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</si>
  <si>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</si>
  <si>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</si>
  <si>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</si>
  <si>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</si>
  <si>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</si>
  <si>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</si>
  <si>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</si>
  <si>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</si>
  <si>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</si>
  <si>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</si>
  <si>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</si>
  <si>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</si>
  <si>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</si>
  <si>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</si>
  <si>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</si>
  <si>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</si>
  <si>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</si>
  <si>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</si>
  <si>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</si>
  <si>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</si>
  <si>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</si>
  <si>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</si>
  <si>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</si>
  <si>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</si>
  <si>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</si>
  <si>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</si>
  <si>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</si>
  <si>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</si>
  <si>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</si>
  <si>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</si>
  <si>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</si>
  <si>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</si>
  <si>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</si>
  <si>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</si>
  <si>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</si>
  <si>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</si>
  <si>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</si>
  <si>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</si>
  <si>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</si>
  <si>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</si>
  <si>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</si>
  <si>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</si>
  <si>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</si>
  <si>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</si>
  <si>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</si>
  <si>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</si>
  <si>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MULANJE ZONE</t>
  </si>
  <si>
    <t>Mulanje</t>
  </si>
  <si>
    <t>Luchenza</t>
  </si>
  <si>
    <t>Thyolo</t>
  </si>
  <si>
    <t>Muloza</t>
  </si>
  <si>
    <t>MUST</t>
  </si>
  <si>
    <t>Phalombe</t>
  </si>
  <si>
    <t>Mikolongwe</t>
  </si>
  <si>
    <t>Migowi</t>
  </si>
  <si>
    <t>MULANJEZONE</t>
  </si>
  <si>
    <t>Nkando</t>
  </si>
  <si>
    <t xml:space="preserve"> MONTHLY REPORTS - 2024/2025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</si>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</sst>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</cellStyleXfs>
  <cellXfs count="529">
    <xf numFmtId="0" fontId="0" fillId="0" borderId="0" xfId="0"/>
    <xf numFmtId="165" fontId="4" fillId="0" borderId="1" xfId="3" applyNumberFormat="1" applyFont="1" applyFill="1" applyBorder="1"/>
    <xf numFmtId="43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43" fontId="8" fillId="0" borderId="1" xfId="1" applyFont="1" applyFill="1" applyBorder="1"/>
    <xf numFmtId="43" fontId="8" fillId="0" borderId="1" xfId="3" applyFont="1" applyFill="1" applyBorder="1"/>
    <xf numFmtId="43" fontId="4" fillId="0" borderId="4" xfId="1" applyFont="1" applyFill="1" applyBorder="1"/>
    <xf numFmtId="43" fontId="8" fillId="0" borderId="11" xfId="1" applyFont="1" applyFill="1" applyBorder="1"/>
    <xf numFmtId="43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3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43" fontId="8" fillId="0" borderId="10" xfId="1" applyFont="1" applyFill="1" applyBorder="1"/>
    <xf numFmtId="43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43" fontId="12" fillId="0" borderId="1" xfId="1" applyFont="1" applyFill="1" applyBorder="1" applyAlignment="1">
      <alignment wrapText="1"/>
    </xf>
    <xf numFmtId="43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43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43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43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43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43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43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43" fontId="4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43" fontId="8" fillId="0" borderId="10" xfId="1" applyFont="1" applyBorder="1"/>
    <xf numFmtId="43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43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43" fontId="4" fillId="0" borderId="22" xfId="1" applyFont="1" applyFill="1" applyBorder="1"/>
    <xf numFmtId="43" fontId="4" fillId="0" borderId="39" xfId="1" applyFont="1" applyFill="1" applyBorder="1"/>
    <xf numFmtId="43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43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43" fontId="12" fillId="0" borderId="22" xfId="1" applyFont="1" applyFill="1" applyBorder="1" applyAlignment="1">
      <alignment wrapText="1"/>
    </xf>
    <xf numFmtId="43" fontId="12" fillId="0" borderId="39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43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3" fontId="4" fillId="0" borderId="1" xfId="1" applyFont="1" applyBorder="1" applyAlignment="1"/>
    <xf numFmtId="43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43" fontId="12" fillId="0" borderId="1" xfId="1" applyFont="1" applyFill="1" applyBorder="1" applyAlignment="1"/>
    <xf numFmtId="43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43" fontId="4" fillId="0" borderId="1" xfId="1" applyFont="1" applyFill="1" applyBorder="1" applyAlignment="1"/>
    <xf numFmtId="43" fontId="4" fillId="0" borderId="10" xfId="1" applyFont="1" applyFill="1" applyBorder="1" applyAlignment="1"/>
    <xf numFmtId="43" fontId="4" fillId="0" borderId="4" xfId="1" applyFont="1" applyFill="1" applyBorder="1" applyAlignment="1"/>
    <xf numFmtId="43" fontId="8" fillId="0" borderId="4" xfId="1" applyFont="1" applyFill="1" applyBorder="1" applyAlignment="1"/>
    <xf numFmtId="165" fontId="4" fillId="0" borderId="4" xfId="1" applyNumberFormat="1" applyFont="1" applyFill="1" applyBorder="1" applyAlignment="1"/>
    <xf numFmtId="43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43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43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3" fontId="8" fillId="0" borderId="1" xfId="3" applyFont="1" applyFill="1" applyBorder="1" applyAlignment="1"/>
    <xf numFmtId="43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43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43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1" fontId="4" fillId="0" borderId="38" xfId="0" applyNumberFormat="1" applyFont="1" applyBorder="1"/>
    <xf numFmtId="43" fontId="4" fillId="3" borderId="4" xfId="1" applyFont="1" applyFill="1" applyBorder="1"/>
    <xf numFmtId="43" fontId="4" fillId="3" borderId="1" xfId="1" applyFont="1" applyFill="1" applyBorder="1" applyAlignment="1">
      <alignment horizontal="left" wrapText="1"/>
    </xf>
    <xf numFmtId="167" fontId="4" fillId="0" borderId="1" xfId="3" applyNumberFormat="1" applyFont="1" applyFill="1" applyBorder="1"/>
    <xf numFmtId="0" fontId="4" fillId="3" borderId="4" xfId="1" applyNumberFormat="1" applyFont="1" applyFill="1" applyBorder="1"/>
    <xf numFmtId="165" fontId="8" fillId="0" borderId="24" xfId="4" applyNumberFormat="1" applyFont="1" applyFill="1" applyBorder="1"/>
    <xf numFmtId="165" fontId="8" fillId="3" borderId="11" xfId="1" applyNumberFormat="1" applyFont="1" applyFill="1" applyBorder="1"/>
    <xf numFmtId="1" fontId="4" fillId="0" borderId="1" xfId="1" applyNumberFormat="1" applyFont="1" applyFill="1" applyBorder="1" applyAlignment="1"/>
    <xf numFmtId="43" fontId="4" fillId="3" borderId="1" xfId="3" applyFont="1" applyFill="1" applyBorder="1" applyAlignment="1"/>
    <xf numFmtId="43" fontId="4" fillId="3" borderId="4" xfId="1" applyFont="1" applyFill="1" applyBorder="1" applyAlignment="1"/>
    <xf numFmtId="1" fontId="8" fillId="3" borderId="4" xfId="1" applyNumberFormat="1" applyFont="1" applyFill="1" applyBorder="1" applyAlignment="1"/>
    <xf numFmtId="1" fontId="5" fillId="3" borderId="10" xfId="0" applyNumberFormat="1" applyFont="1" applyFill="1" applyBorder="1"/>
    <xf numFmtId="1" fontId="4" fillId="3" borderId="4" xfId="1" applyNumberFormat="1" applyFont="1" applyFill="1" applyBorder="1" applyAlignment="1"/>
    <xf numFmtId="4" fontId="5" fillId="3" borderId="10" xfId="0" applyNumberFormat="1" applyFont="1" applyFill="1" applyBorder="1"/>
    <xf numFmtId="165" fontId="4" fillId="3" borderId="4" xfId="1" applyNumberFormat="1" applyFont="1" applyFill="1" applyBorder="1" applyAlignment="1"/>
    <xf numFmtId="43" fontId="4" fillId="3" borderId="10" xfId="3" applyFont="1" applyFill="1" applyBorder="1" applyAlignment="1"/>
    <xf numFmtId="1" fontId="4" fillId="0" borderId="4" xfId="1" applyNumberFormat="1" applyFont="1" applyFill="1" applyBorder="1"/>
    <xf numFmtId="165" fontId="4" fillId="0" borderId="11" xfId="1" applyNumberFormat="1" applyFont="1" applyFill="1" applyBorder="1"/>
    <xf numFmtId="165" fontId="13" fillId="3" borderId="11" xfId="3" applyNumberFormat="1" applyFont="1" applyFill="1" applyBorder="1"/>
    <xf numFmtId="165" fontId="8" fillId="0" borderId="4" xfId="4" applyNumberFormat="1" applyFont="1" applyFill="1" applyBorder="1"/>
    <xf numFmtId="165" fontId="4" fillId="0" borderId="4" xfId="4" applyNumberFormat="1" applyFont="1" applyFill="1" applyBorder="1"/>
    <xf numFmtId="165" fontId="13" fillId="0" borderId="11" xfId="3" applyNumberFormat="1" applyFont="1" applyFill="1" applyBorder="1"/>
    <xf numFmtId="165" fontId="4" fillId="3" borderId="4" xfId="1" applyNumberFormat="1" applyFont="1" applyFill="1" applyBorder="1"/>
    <xf numFmtId="165" fontId="4" fillId="3" borderId="1" xfId="3" applyNumberFormat="1" applyFont="1" applyFill="1" applyBorder="1"/>
    <xf numFmtId="0" fontId="4" fillId="0" borderId="4" xfId="4" applyNumberFormat="1" applyFont="1" applyFill="1" applyBorder="1"/>
    <xf numFmtId="167" fontId="4" fillId="0" borderId="4" xfId="1" applyNumberFormat="1" applyFont="1" applyFill="1" applyBorder="1"/>
    <xf numFmtId="43" fontId="8" fillId="3" borderId="1" xfId="1" applyFont="1" applyFill="1" applyBorder="1" applyAlignment="1">
      <alignment horizontal="center" wrapText="1"/>
    </xf>
    <xf numFmtId="43" fontId="8" fillId="0" borderId="1" xfId="1" applyFont="1" applyFill="1" applyBorder="1" applyAlignment="1">
      <alignment horizontal="left" wrapText="1"/>
    </xf>
    <xf numFmtId="43" fontId="8" fillId="5" borderId="29" xfId="1" applyFont="1" applyFill="1" applyBorder="1"/>
    <xf numFmtId="165" fontId="8" fillId="0" borderId="51" xfId="1" applyNumberFormat="1" applyFont="1" applyFill="1" applyBorder="1"/>
    <xf numFmtId="165" fontId="4" fillId="0" borderId="40" xfId="1" applyNumberFormat="1" applyFont="1" applyFill="1" applyBorder="1"/>
    <xf numFmtId="165" fontId="8" fillId="0" borderId="5" xfId="1" applyNumberFormat="1" applyFont="1" applyFill="1" applyBorder="1"/>
    <xf numFmtId="43" fontId="4" fillId="0" borderId="52" xfId="1" applyFont="1" applyFill="1" applyBorder="1"/>
    <xf numFmtId="165" fontId="8" fillId="0" borderId="10" xfId="0" applyNumberFormat="1" applyFont="1" applyBorder="1"/>
    <xf numFmtId="165" fontId="8" fillId="3" borderId="10" xfId="0" applyNumberFormat="1" applyFont="1" applyFill="1" applyBorder="1"/>
    <xf numFmtId="167" fontId="8" fillId="0" borderId="4" xfId="1" applyNumberFormat="1" applyFont="1" applyFill="1" applyBorder="1"/>
    <xf numFmtId="165" fontId="4" fillId="10" borderId="4" xfId="1" applyNumberFormat="1" applyFont="1" applyFill="1" applyBorder="1"/>
    <xf numFmtId="43" fontId="4" fillId="3" borderId="52" xfId="1" applyFont="1" applyFill="1" applyBorder="1"/>
    <xf numFmtId="43" fontId="21" fillId="3" borderId="1" xfId="1" applyFont="1" applyFill="1" applyBorder="1" applyAlignment="1"/>
    <xf numFmtId="43" fontId="21" fillId="0" borderId="1" xfId="1" applyFont="1" applyBorder="1"/>
    <xf numFmtId="165" fontId="4" fillId="0" borderId="1" xfId="4" applyNumberFormat="1" applyFont="1" applyFill="1" applyBorder="1"/>
    <xf numFmtId="43" fontId="22" fillId="11" borderId="1" xfId="1" applyFont="1" applyFill="1" applyBorder="1" applyAlignment="1">
      <alignment horizontal="left" vertical="top" wrapText="1"/>
    </xf>
    <xf numFmtId="165" fontId="4" fillId="3" borderId="1" xfId="1" applyNumberFormat="1" applyFont="1" applyFill="1" applyBorder="1"/>
    <xf numFmtId="168" fontId="4" fillId="0" borderId="4" xfId="1" applyNumberFormat="1" applyFont="1" applyFill="1" applyBorder="1"/>
    <xf numFmtId="0" fontId="4" fillId="0" borderId="22" xfId="2" applyNumberFormat="1" applyFont="1" applyFill="1" applyBorder="1"/>
    <xf numFmtId="0" fontId="15" fillId="3" borderId="1" xfId="8" applyFont="1" applyFill="1" applyBorder="1" applyAlignment="1" applyProtection="1">
      <alignment horizontal="right" vertical="center"/>
    </xf>
    <xf numFmtId="43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10">
    <cellStyle name="Comma" xfId="1" builtinId="3"/>
    <cellStyle name="Comma 2" xfId="3"/>
    <cellStyle name="Comma 2 2" xfId="5"/>
    <cellStyle name="Comma 2 2 2" xfId="7"/>
    <cellStyle name="Comma 2 3" xfId="9"/>
    <cellStyle name="Comma 3" xfId="4"/>
    <cellStyle name="Comma 3 2" xfId="6"/>
    <cellStyle name="Comma 4" xf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63"/>
  <sheetViews>
    <sheetView zoomScale="83" zoomScaleNormal="83" workbookViewId="0">
      <pane xSplit="3" topLeftCell="D1" activePane="topRight" state="frozen"/>
      <selection pane="topRight" activeCell="G257" sqref="G257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13271</v>
      </c>
      <c r="E9" s="52">
        <v>16000</v>
      </c>
      <c r="F9" s="52">
        <v>16444</v>
      </c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45715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4244</v>
      </c>
      <c r="E11" s="22">
        <v>4852</v>
      </c>
      <c r="F11" s="22">
        <v>7133</v>
      </c>
      <c r="G11" s="22"/>
      <c r="H11" s="435"/>
      <c r="I11" s="22"/>
      <c r="J11" s="22"/>
      <c r="K11" s="435"/>
      <c r="L11" s="22"/>
      <c r="M11" s="22"/>
      <c r="N11" s="22"/>
      <c r="O11" s="22"/>
      <c r="P11" s="257">
        <f>SUM(D11:O11)</f>
        <v>16229</v>
      </c>
    </row>
    <row r="12" spans="1:16" ht="15.75" x14ac:dyDescent="0.25">
      <c r="A12" s="338" t="s">
        <v>158</v>
      </c>
      <c r="B12" s="339"/>
      <c r="C12" s="4" t="s">
        <v>154</v>
      </c>
      <c r="D12" s="22">
        <v>8</v>
      </c>
      <c r="E12" s="22">
        <v>27</v>
      </c>
      <c r="F12" s="22">
        <v>31</v>
      </c>
      <c r="G12" s="22"/>
      <c r="H12" s="435"/>
      <c r="I12" s="22"/>
      <c r="J12" s="22"/>
      <c r="K12" s="435"/>
      <c r="L12" s="22"/>
      <c r="M12" s="22"/>
      <c r="N12" s="22"/>
      <c r="O12" s="22"/>
      <c r="P12" s="257">
        <f>SUM(D12:O12)</f>
        <v>66</v>
      </c>
    </row>
    <row r="13" spans="1:16" ht="15.75" x14ac:dyDescent="0.25">
      <c r="A13" s="338" t="s">
        <v>157</v>
      </c>
      <c r="B13" s="339"/>
      <c r="C13" s="4" t="s">
        <v>154</v>
      </c>
      <c r="D13" s="22">
        <v>8</v>
      </c>
      <c r="E13" s="22">
        <v>12</v>
      </c>
      <c r="F13" s="22">
        <v>12</v>
      </c>
      <c r="G13" s="22"/>
      <c r="H13" s="435"/>
      <c r="I13" s="22"/>
      <c r="J13" s="22"/>
      <c r="K13" s="435"/>
      <c r="L13" s="22"/>
      <c r="M13" s="22"/>
      <c r="N13" s="22"/>
      <c r="O13" s="22"/>
      <c r="P13" s="257">
        <f>SUM(D13:O13)</f>
        <v>32</v>
      </c>
    </row>
    <row r="14" spans="1:16" ht="15.75" x14ac:dyDescent="0.25">
      <c r="A14" s="331" t="s">
        <v>156</v>
      </c>
      <c r="B14" s="332"/>
      <c r="C14" s="4" t="s">
        <v>154</v>
      </c>
      <c r="D14" s="22">
        <v>23</v>
      </c>
      <c r="E14" s="22">
        <v>25</v>
      </c>
      <c r="F14" s="22">
        <v>19</v>
      </c>
      <c r="G14" s="22"/>
      <c r="H14" s="435"/>
      <c r="I14" s="22"/>
      <c r="J14" s="22"/>
      <c r="K14" s="435"/>
      <c r="L14" s="22"/>
      <c r="M14" s="22"/>
      <c r="N14" s="22"/>
      <c r="O14" s="22"/>
      <c r="P14" s="257">
        <f>SUM(D14:O14)</f>
        <v>67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O15" si="0">SUM(D11:D14)</f>
        <v>4283</v>
      </c>
      <c r="E15" s="258">
        <f t="shared" si="0"/>
        <v>4916</v>
      </c>
      <c r="F15" s="258">
        <f t="shared" si="0"/>
        <v>7195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>SUM(P11:P14)</f>
        <v>16394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4714</v>
      </c>
      <c r="E17" s="22">
        <v>5402</v>
      </c>
      <c r="F17" s="22">
        <v>4013</v>
      </c>
      <c r="G17" s="339"/>
      <c r="H17" s="435"/>
      <c r="I17" s="339"/>
      <c r="J17" s="339"/>
      <c r="K17" s="435"/>
      <c r="L17" s="22"/>
      <c r="M17" s="22"/>
      <c r="N17" s="339"/>
      <c r="O17" s="339"/>
      <c r="P17" s="257">
        <f>SUM(D17:O17)</f>
        <v>14129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186</v>
      </c>
      <c r="E18" s="22">
        <v>246</v>
      </c>
      <c r="F18" s="22">
        <v>209</v>
      </c>
      <c r="G18" s="339"/>
      <c r="H18" s="435"/>
      <c r="I18" s="339"/>
      <c r="J18" s="339"/>
      <c r="K18" s="435"/>
      <c r="L18" s="22"/>
      <c r="M18" s="22"/>
      <c r="N18" s="339"/>
      <c r="O18" s="339"/>
      <c r="P18" s="257">
        <f>SUM(D18:O18)</f>
        <v>641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167</v>
      </c>
      <c r="E19" s="22">
        <v>228</v>
      </c>
      <c r="F19" s="22">
        <v>137</v>
      </c>
      <c r="G19" s="339"/>
      <c r="H19" s="435"/>
      <c r="I19" s="339"/>
      <c r="J19" s="339"/>
      <c r="K19" s="435"/>
      <c r="L19" s="22"/>
      <c r="M19" s="22"/>
      <c r="N19" s="339"/>
      <c r="O19" s="339"/>
      <c r="P19" s="257">
        <f>SUM(D19:O19)</f>
        <v>532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203</v>
      </c>
      <c r="E20" s="22">
        <v>366</v>
      </c>
      <c r="F20" s="22">
        <v>220</v>
      </c>
      <c r="G20" s="22"/>
      <c r="H20" s="435"/>
      <c r="I20" s="332"/>
      <c r="J20" s="332"/>
      <c r="K20" s="435"/>
      <c r="L20" s="22"/>
      <c r="M20" s="22"/>
      <c r="N20" s="332"/>
      <c r="O20" s="332"/>
      <c r="P20" s="257">
        <f>SUM(D20:O20)</f>
        <v>789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5270</v>
      </c>
      <c r="E21" s="258">
        <f t="shared" ref="E21:O21" si="1">SUM(E17:E20)</f>
        <v>6242</v>
      </c>
      <c r="F21" s="258">
        <f t="shared" si="1"/>
        <v>4579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>SUM(P17:P20)</f>
        <v>16091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9553</v>
      </c>
      <c r="E22" s="258">
        <f t="shared" ref="E22:P22" si="2">E21+E15</f>
        <v>11158</v>
      </c>
      <c r="F22" s="258">
        <f t="shared" si="2"/>
        <v>11774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32485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3718</v>
      </c>
      <c r="E24" s="261">
        <f t="shared" ref="E24:P24" si="3">E9-E22</f>
        <v>4842</v>
      </c>
      <c r="F24" s="261">
        <f t="shared" si="3"/>
        <v>4670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>K9-K22</f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13230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0.28015974681636652</v>
      </c>
      <c r="E25" s="265">
        <f t="shared" si="4"/>
        <v>0.30262499999999998</v>
      </c>
      <c r="F25" s="265">
        <f t="shared" si="4"/>
        <v>0.28399416200437849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>K24/K9</f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0.28940172809799847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8">
        <v>35</v>
      </c>
      <c r="E29" s="38">
        <v>41</v>
      </c>
      <c r="F29" s="38">
        <v>42</v>
      </c>
      <c r="G29" s="38"/>
      <c r="H29" s="414"/>
      <c r="I29" s="38"/>
      <c r="J29" s="38"/>
      <c r="K29" s="38"/>
      <c r="L29" s="38"/>
      <c r="M29" s="38"/>
      <c r="N29" s="38"/>
      <c r="O29" s="38"/>
      <c r="P29" s="274">
        <f>SUM(D29:O29)</f>
        <v>118</v>
      </c>
    </row>
    <row r="30" spans="1:18" ht="15.75" x14ac:dyDescent="0.25">
      <c r="A30" s="187"/>
      <c r="B30" s="441"/>
      <c r="C30" s="37" t="s">
        <v>141</v>
      </c>
      <c r="D30" s="13">
        <f t="shared" ref="D30:N30" si="5">D29/(D9/1000)</f>
        <v>2.6373295154848919</v>
      </c>
      <c r="E30" s="13">
        <f t="shared" si="5"/>
        <v>2.5625</v>
      </c>
      <c r="F30" s="13">
        <f t="shared" si="5"/>
        <v>2.5541230844076868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>P29/(P9/1000)</f>
        <v>2.5812096685989281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>K31/(K9/1000)</f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>K33/(K9/1000)</f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1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>K37/(K9/1000)</f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>K39/(K9/1000)</f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178908.45</v>
      </c>
      <c r="E41" s="278">
        <f t="shared" ref="E41:O41" si="10">(E29*$B29)+(E31*$B31)+(E33*$B33)+(E35*$B35)+(E37*$B37)+(E39*$B39)</f>
        <v>209578.47</v>
      </c>
      <c r="F41" s="278">
        <f t="shared" si="10"/>
        <v>214690.14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603177.06000000006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13.481158164418659</v>
      </c>
      <c r="E42" s="275">
        <f t="shared" si="11"/>
        <v>13.098654375000001</v>
      </c>
      <c r="F42" s="275">
        <f t="shared" si="11"/>
        <v>13.05583434687424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>K41/K9</f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13.194292026687084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8581.27</v>
      </c>
      <c r="E44" s="3">
        <v>8396</v>
      </c>
      <c r="F44" s="3">
        <v>7429.71</v>
      </c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24406.98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0.64661819003842969</v>
      </c>
      <c r="E45" s="13">
        <f t="shared" si="12"/>
        <v>0.52475000000000005</v>
      </c>
      <c r="F45" s="13">
        <f t="shared" si="12"/>
        <v>0.45181890051082463</v>
      </c>
      <c r="G45" s="13" t="e">
        <f t="shared" si="12"/>
        <v>#DIV/0!</v>
      </c>
      <c r="H45" s="275" t="e">
        <f t="shared" si="12"/>
        <v>#DIV/0!</v>
      </c>
      <c r="I45" s="13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13" t="e">
        <f t="shared" ref="L45" si="13">L44/L9</f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0.53389434540085312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2865028.6149000004</v>
      </c>
      <c r="E46" s="403">
        <f>333.87*E44</f>
        <v>2803172.52</v>
      </c>
      <c r="F46" s="403">
        <f t="shared" ref="F46:O46" si="14">333.87*F44</f>
        <v>2480557.2777</v>
      </c>
      <c r="G46" s="403">
        <f t="shared" si="14"/>
        <v>0</v>
      </c>
      <c r="H46" s="403">
        <f t="shared" si="14"/>
        <v>0</v>
      </c>
      <c r="I46" s="403">
        <f t="shared" si="14"/>
        <v>0</v>
      </c>
      <c r="J46" s="403">
        <f t="shared" si="14"/>
        <v>0</v>
      </c>
      <c r="K46" s="403">
        <f t="shared" si="14"/>
        <v>0</v>
      </c>
      <c r="L46" s="403">
        <f t="shared" si="14"/>
        <v>0</v>
      </c>
      <c r="M46" s="403">
        <f t="shared" si="14"/>
        <v>0</v>
      </c>
      <c r="N46" s="403">
        <f t="shared" si="14"/>
        <v>0</v>
      </c>
      <c r="O46" s="403">
        <f t="shared" si="14"/>
        <v>0</v>
      </c>
      <c r="P46" s="34">
        <f>SUM(D46:O46)</f>
        <v>8148758.4125999995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5">D46/D9</f>
        <v>215.88641510813054</v>
      </c>
      <c r="E47" s="13">
        <f t="shared" si="15"/>
        <v>175.1982825</v>
      </c>
      <c r="F47" s="13">
        <f t="shared" si="15"/>
        <v>150.84877631354902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>K46/K9</f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/>
      <c r="P47" s="276">
        <f t="shared" si="15"/>
        <v>178.25130509898281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>
        <v>97</v>
      </c>
      <c r="E50" s="3">
        <v>105</v>
      </c>
      <c r="F50" s="3">
        <v>69</v>
      </c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271</v>
      </c>
    </row>
    <row r="51" spans="1:16" ht="15.75" x14ac:dyDescent="0.25">
      <c r="A51" s="331" t="s">
        <v>127</v>
      </c>
      <c r="B51" s="332"/>
      <c r="C51" s="4" t="s">
        <v>31</v>
      </c>
      <c r="D51" s="11">
        <f>6687*D50</f>
        <v>648639</v>
      </c>
      <c r="E51" s="11">
        <f>6687*E50</f>
        <v>702135</v>
      </c>
      <c r="F51" s="11">
        <f t="shared" ref="F51:O51" si="16">6687*F50</f>
        <v>461403</v>
      </c>
      <c r="G51" s="11">
        <f t="shared" si="16"/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>
        <f t="shared" si="16"/>
        <v>0</v>
      </c>
      <c r="N51" s="11">
        <f t="shared" si="16"/>
        <v>0</v>
      </c>
      <c r="O51" s="11">
        <f t="shared" si="16"/>
        <v>0</v>
      </c>
      <c r="P51" s="280">
        <f>SUM(D51:O51)</f>
        <v>1812177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8457030.0899999999</v>
      </c>
      <c r="E54" s="11">
        <v>9088969.8999999985</v>
      </c>
      <c r="F54" s="11">
        <v>9088969.8999999985</v>
      </c>
      <c r="G54" s="11"/>
      <c r="H54" s="396"/>
      <c r="I54" s="11"/>
      <c r="J54" s="11"/>
      <c r="K54" s="11"/>
      <c r="L54" s="11"/>
      <c r="M54" s="396"/>
      <c r="N54" s="396"/>
      <c r="O54" s="11"/>
      <c r="P54" s="34">
        <f>SUM(D54:O54)</f>
        <v>26634969.889999997</v>
      </c>
    </row>
    <row r="55" spans="1:16" ht="15.75" x14ac:dyDescent="0.25">
      <c r="A55" s="281" t="s">
        <v>123</v>
      </c>
      <c r="B55" s="260"/>
      <c r="C55" s="4" t="s">
        <v>18</v>
      </c>
      <c r="D55" s="11">
        <v>2714570.986</v>
      </c>
      <c r="E55" s="11">
        <v>2585701.2850000001</v>
      </c>
      <c r="F55" s="11">
        <v>2165156.48</v>
      </c>
      <c r="G55" s="11"/>
      <c r="H55" s="11"/>
      <c r="I55" s="11"/>
      <c r="J55" s="11"/>
      <c r="K55" s="11"/>
      <c r="L55" s="11"/>
      <c r="M55" s="396"/>
      <c r="N55" s="396"/>
      <c r="O55" s="11"/>
      <c r="P55" s="34">
        <f>SUM(D55:O55)</f>
        <v>7465428.7510000002</v>
      </c>
    </row>
    <row r="56" spans="1:16" ht="15.75" x14ac:dyDescent="0.25">
      <c r="A56" s="331" t="s">
        <v>122</v>
      </c>
      <c r="B56" s="332"/>
      <c r="C56" s="4" t="s">
        <v>18</v>
      </c>
      <c r="D56" s="11">
        <v>4604357.2</v>
      </c>
      <c r="E56" s="11">
        <v>1978316.53</v>
      </c>
      <c r="F56" s="11">
        <v>1840868.45</v>
      </c>
      <c r="G56" s="11"/>
      <c r="H56" s="11"/>
      <c r="I56" s="11"/>
      <c r="J56" s="11"/>
      <c r="K56" s="11"/>
      <c r="L56" s="11"/>
      <c r="M56" s="396"/>
      <c r="N56" s="396"/>
      <c r="O56" s="11"/>
      <c r="P56" s="34">
        <f>SUM(D56:O56)</f>
        <v>8423542.1799999997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19468534.3409</v>
      </c>
      <c r="E58" s="11">
        <f t="shared" ref="E58:N58" si="17">E41+E46+E51+E52+E54+E55+E56</f>
        <v>17367873.704999998</v>
      </c>
      <c r="F58" s="11">
        <f t="shared" si="17"/>
        <v>16251645.247699998</v>
      </c>
      <c r="G58" s="277">
        <f t="shared" si="17"/>
        <v>0</v>
      </c>
      <c r="H58" s="277">
        <f t="shared" si="17"/>
        <v>0</v>
      </c>
      <c r="I58" s="277">
        <f t="shared" si="17"/>
        <v>0</v>
      </c>
      <c r="J58" s="404">
        <f t="shared" si="17"/>
        <v>0</v>
      </c>
      <c r="K58" s="404">
        <f t="shared" si="17"/>
        <v>0</v>
      </c>
      <c r="L58" s="404">
        <f t="shared" si="17"/>
        <v>0</v>
      </c>
      <c r="M58" s="404">
        <f t="shared" si="17"/>
        <v>0</v>
      </c>
      <c r="N58" s="404">
        <f t="shared" si="17"/>
        <v>0</v>
      </c>
      <c r="O58" s="404"/>
      <c r="P58" s="59">
        <f>SUM(D58:O58)</f>
        <v>53088053.2936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8">D58/D9</f>
        <v>1466.9982925853365</v>
      </c>
      <c r="E59" s="13">
        <f t="shared" si="18"/>
        <v>1085.4921065624999</v>
      </c>
      <c r="F59" s="13">
        <f t="shared" si="18"/>
        <v>988.30243539892956</v>
      </c>
      <c r="G59" s="275" t="e">
        <f t="shared" si="18"/>
        <v>#DIV/0!</v>
      </c>
      <c r="H59" s="275" t="e">
        <f t="shared" si="18"/>
        <v>#DIV/0!</v>
      </c>
      <c r="I59" s="275" t="e">
        <f t="shared" si="18"/>
        <v>#DIV/0!</v>
      </c>
      <c r="J59" s="275" t="e">
        <f t="shared" si="18"/>
        <v>#DIV/0!</v>
      </c>
      <c r="K59" s="275" t="e">
        <f>K58/K9</f>
        <v>#DIV/0!</v>
      </c>
      <c r="L59" s="275" t="e">
        <f t="shared" si="18"/>
        <v>#DIV/0!</v>
      </c>
      <c r="M59" s="275" t="e">
        <f t="shared" si="18"/>
        <v>#DIV/0!</v>
      </c>
      <c r="N59" s="275" t="e">
        <f t="shared" si="18"/>
        <v>#DIV/0!</v>
      </c>
      <c r="O59" s="275"/>
      <c r="P59" s="276">
        <f t="shared" si="18"/>
        <v>1161.2830207503007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2037.949789689103</v>
      </c>
      <c r="E60" s="13">
        <f t="shared" ref="E60:N60" si="19">E58/E22</f>
        <v>1556.5400345043913</v>
      </c>
      <c r="F60" s="13">
        <f t="shared" si="19"/>
        <v>1380.2994095209783</v>
      </c>
      <c r="G60" s="275" t="e">
        <f t="shared" si="19"/>
        <v>#DIV/0!</v>
      </c>
      <c r="H60" s="275" t="e">
        <f t="shared" si="19"/>
        <v>#DIV/0!</v>
      </c>
      <c r="I60" s="275" t="e">
        <f t="shared" si="19"/>
        <v>#DIV/0!</v>
      </c>
      <c r="J60" s="275" t="e">
        <f t="shared" si="19"/>
        <v>#DIV/0!</v>
      </c>
      <c r="K60" s="275" t="e">
        <f t="shared" si="19"/>
        <v>#DIV/0!</v>
      </c>
      <c r="L60" s="275" t="e">
        <f t="shared" si="19"/>
        <v>#DIV/0!</v>
      </c>
      <c r="M60" s="275" t="e">
        <f t="shared" si="19"/>
        <v>#DIV/0!</v>
      </c>
      <c r="N60" s="275" t="e">
        <f t="shared" si="19"/>
        <v>#DIV/0!</v>
      </c>
      <c r="O60" s="275"/>
      <c r="P60" s="282">
        <f>P58/P22</f>
        <v>1634.2328241834693</v>
      </c>
    </row>
    <row r="61" spans="1:16" ht="15.75" x14ac:dyDescent="0.25">
      <c r="A61" s="331" t="s">
        <v>116</v>
      </c>
      <c r="B61" s="332"/>
      <c r="C61" s="4" t="s">
        <v>3</v>
      </c>
      <c r="D61" s="3">
        <v>7</v>
      </c>
      <c r="E61" s="3">
        <v>7</v>
      </c>
      <c r="F61" s="3">
        <v>7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20">(D61*1000*31)/D9</f>
        <v>16.35144299600633</v>
      </c>
      <c r="E62" s="13">
        <f t="shared" si="20"/>
        <v>13.5625</v>
      </c>
      <c r="F62" s="13">
        <f t="shared" si="20"/>
        <v>13.196302602773049</v>
      </c>
      <c r="G62" s="275" t="e">
        <f t="shared" si="20"/>
        <v>#DIV/0!</v>
      </c>
      <c r="H62" s="275" t="e">
        <f t="shared" si="20"/>
        <v>#DIV/0!</v>
      </c>
      <c r="I62" s="13" t="e">
        <f t="shared" si="20"/>
        <v>#DIV/0!</v>
      </c>
      <c r="J62" s="275" t="e">
        <f t="shared" si="20"/>
        <v>#DIV/0!</v>
      </c>
      <c r="K62" s="275" t="e">
        <f>(K61*1000*31)/K9</f>
        <v>#DIV/0!</v>
      </c>
      <c r="L62" s="275" t="e">
        <f t="shared" si="20"/>
        <v>#DIV/0!</v>
      </c>
      <c r="M62" s="275" t="e">
        <f t="shared" si="20"/>
        <v>#DIV/0!</v>
      </c>
      <c r="N62" s="275" t="e">
        <f t="shared" si="20"/>
        <v>#DIV/0!</v>
      </c>
      <c r="O62" s="275"/>
      <c r="P62" s="276">
        <f t="shared" si="20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17</v>
      </c>
      <c r="E63" s="3">
        <v>17</v>
      </c>
      <c r="F63" s="3">
        <v>17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51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38</v>
      </c>
      <c r="E66" s="3">
        <f>D71</f>
        <v>50</v>
      </c>
      <c r="F66" s="3">
        <f>E71</f>
        <v>42</v>
      </c>
      <c r="G66" s="3">
        <f t="shared" ref="G66:N66" si="21">F71</f>
        <v>43</v>
      </c>
      <c r="H66" s="3">
        <f t="shared" si="21"/>
        <v>43</v>
      </c>
      <c r="I66" s="3">
        <f t="shared" si="21"/>
        <v>43</v>
      </c>
      <c r="J66" s="3">
        <f t="shared" si="21"/>
        <v>43</v>
      </c>
      <c r="K66" s="3">
        <f t="shared" si="21"/>
        <v>43</v>
      </c>
      <c r="L66" s="3">
        <f t="shared" si="21"/>
        <v>43</v>
      </c>
      <c r="M66" s="3">
        <f t="shared" si="21"/>
        <v>43</v>
      </c>
      <c r="N66" s="3">
        <f t="shared" si="21"/>
        <v>43</v>
      </c>
      <c r="O66" s="3"/>
      <c r="P66" s="31">
        <f>D66</f>
        <v>38</v>
      </c>
    </row>
    <row r="67" spans="1:16" ht="15.75" x14ac:dyDescent="0.25">
      <c r="A67" s="325"/>
      <c r="B67" s="4" t="s">
        <v>106</v>
      </c>
      <c r="C67" s="4" t="s">
        <v>3</v>
      </c>
      <c r="D67" s="3">
        <v>22</v>
      </c>
      <c r="E67" s="3">
        <v>13</v>
      </c>
      <c r="F67" s="3">
        <v>19</v>
      </c>
      <c r="G67" s="3"/>
      <c r="H67" s="3"/>
      <c r="I67" s="3"/>
      <c r="J67" s="3"/>
      <c r="K67" s="120"/>
      <c r="L67" s="120"/>
      <c r="M67" s="120"/>
      <c r="N67" s="284"/>
      <c r="O67" s="284"/>
      <c r="P67" s="31">
        <f>SUM(D67:O67)</f>
        <v>54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>
        <v>5</v>
      </c>
      <c r="G68" s="3"/>
      <c r="H68" s="3"/>
      <c r="I68" s="3"/>
      <c r="J68" s="3"/>
      <c r="K68" s="3"/>
      <c r="L68" s="284"/>
      <c r="M68" s="120"/>
      <c r="N68" s="284"/>
      <c r="O68" s="284"/>
      <c r="P68" s="31">
        <f t="shared" ref="P68:P69" si="22">SUM(D68:O68)</f>
        <v>5</v>
      </c>
    </row>
    <row r="69" spans="1:16" ht="15.75" x14ac:dyDescent="0.25">
      <c r="A69" s="325"/>
      <c r="B69" s="4" t="s">
        <v>104</v>
      </c>
      <c r="C69" s="4" t="s">
        <v>3</v>
      </c>
      <c r="D69" s="3">
        <v>10</v>
      </c>
      <c r="E69" s="3">
        <v>21</v>
      </c>
      <c r="F69" s="3">
        <v>13</v>
      </c>
      <c r="G69" s="3"/>
      <c r="H69" s="3"/>
      <c r="I69" s="3"/>
      <c r="J69" s="284"/>
      <c r="K69" s="120"/>
      <c r="L69" s="120"/>
      <c r="M69" s="120"/>
      <c r="N69" s="284"/>
      <c r="O69" s="120"/>
      <c r="P69" s="31">
        <f t="shared" si="22"/>
        <v>44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10</v>
      </c>
      <c r="E70" s="3">
        <f t="shared" ref="E70:K70" si="23">E68+E69</f>
        <v>21</v>
      </c>
      <c r="F70" s="3">
        <f t="shared" si="23"/>
        <v>18</v>
      </c>
      <c r="G70" s="3"/>
      <c r="H70" s="3"/>
      <c r="I70" s="3"/>
      <c r="J70" s="284">
        <f t="shared" si="23"/>
        <v>0</v>
      </c>
      <c r="K70" s="120">
        <f t="shared" si="23"/>
        <v>0</v>
      </c>
      <c r="L70" s="120">
        <f t="shared" ref="L70" si="24">L68+L69</f>
        <v>0</v>
      </c>
      <c r="M70" s="284"/>
      <c r="N70" s="284"/>
      <c r="O70" s="120"/>
      <c r="P70" s="285">
        <f t="shared" ref="P70" si="25">P68+P69</f>
        <v>49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50</v>
      </c>
      <c r="E71" s="22">
        <f t="shared" ref="E71:N71" si="26">E66+E67-E70</f>
        <v>42</v>
      </c>
      <c r="F71" s="22">
        <f t="shared" si="26"/>
        <v>43</v>
      </c>
      <c r="G71" s="22">
        <f t="shared" si="26"/>
        <v>43</v>
      </c>
      <c r="H71" s="22">
        <f t="shared" si="26"/>
        <v>43</v>
      </c>
      <c r="I71" s="22">
        <f t="shared" si="26"/>
        <v>43</v>
      </c>
      <c r="J71" s="402">
        <f t="shared" si="26"/>
        <v>43</v>
      </c>
      <c r="K71" s="22">
        <f t="shared" si="26"/>
        <v>43</v>
      </c>
      <c r="L71" s="22">
        <f t="shared" si="26"/>
        <v>43</v>
      </c>
      <c r="M71" s="22">
        <f t="shared" si="26"/>
        <v>43</v>
      </c>
      <c r="N71" s="22">
        <f t="shared" si="26"/>
        <v>43</v>
      </c>
      <c r="O71" s="22"/>
      <c r="P71" s="287">
        <f>P66+P67-P70</f>
        <v>43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" si="27">E77</f>
        <v>0</v>
      </c>
      <c r="G72" s="3">
        <f t="shared" ref="G72:I72" si="28">F77</f>
        <v>0</v>
      </c>
      <c r="H72" s="3">
        <f t="shared" si="28"/>
        <v>0</v>
      </c>
      <c r="I72" s="3">
        <f t="shared" si="28"/>
        <v>0</v>
      </c>
      <c r="J72" s="283"/>
      <c r="K72" s="3"/>
      <c r="L72" s="120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9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120"/>
      <c r="M75" s="284"/>
      <c r="N75" s="284"/>
      <c r="O75" s="284"/>
      <c r="P75" s="31">
        <f t="shared" si="29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0">E74+E75</f>
        <v>0</v>
      </c>
      <c r="F76" s="3">
        <f t="shared" si="30"/>
        <v>0</v>
      </c>
      <c r="G76" s="3">
        <f t="shared" si="30"/>
        <v>0</v>
      </c>
      <c r="H76" s="3">
        <f t="shared" si="30"/>
        <v>0</v>
      </c>
      <c r="I76" s="284">
        <f t="shared" si="30"/>
        <v>0</v>
      </c>
      <c r="J76" s="284">
        <f t="shared" si="30"/>
        <v>0</v>
      </c>
      <c r="K76" s="284">
        <f t="shared" si="30"/>
        <v>0</v>
      </c>
      <c r="L76" s="284"/>
      <c r="M76" s="284">
        <f t="shared" si="30"/>
        <v>0</v>
      </c>
      <c r="N76" s="284">
        <f t="shared" si="30"/>
        <v>0</v>
      </c>
      <c r="O76" s="284"/>
      <c r="P76" s="285">
        <f t="shared" ref="P76" si="31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32">E72+E73-E76</f>
        <v>0</v>
      </c>
      <c r="F77" s="141">
        <f t="shared" si="32"/>
        <v>0</v>
      </c>
      <c r="G77" s="141">
        <f t="shared" si="32"/>
        <v>0</v>
      </c>
      <c r="H77" s="141">
        <f t="shared" si="32"/>
        <v>0</v>
      </c>
      <c r="I77" s="141">
        <f t="shared" si="32"/>
        <v>0</v>
      </c>
      <c r="J77" s="141">
        <f t="shared" si="32"/>
        <v>0</v>
      </c>
      <c r="K77" s="141">
        <f t="shared" si="32"/>
        <v>0</v>
      </c>
      <c r="L77" s="141">
        <f t="shared" si="32"/>
        <v>0</v>
      </c>
      <c r="M77" s="141">
        <f t="shared" si="32"/>
        <v>0</v>
      </c>
      <c r="N77" s="141">
        <f t="shared" si="32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3">E83</f>
        <v>0</v>
      </c>
      <c r="G78" s="3">
        <f t="shared" si="33"/>
        <v>0</v>
      </c>
      <c r="H78" s="3">
        <f t="shared" si="33"/>
        <v>0</v>
      </c>
      <c r="I78" s="3">
        <f t="shared" si="33"/>
        <v>0</v>
      </c>
      <c r="J78" s="3">
        <f t="shared" si="33"/>
        <v>0</v>
      </c>
      <c r="K78" s="3">
        <f t="shared" si="33"/>
        <v>0</v>
      </c>
      <c r="L78" s="3">
        <f t="shared" si="33"/>
        <v>0</v>
      </c>
      <c r="M78" s="3">
        <f t="shared" si="33"/>
        <v>0</v>
      </c>
      <c r="N78" s="3">
        <f t="shared" si="33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4">E81+E80</f>
        <v>0</v>
      </c>
      <c r="F82" s="3">
        <f t="shared" si="34"/>
        <v>0</v>
      </c>
      <c r="G82" s="3">
        <f t="shared" si="34"/>
        <v>0</v>
      </c>
      <c r="H82" s="3">
        <f t="shared" si="34"/>
        <v>0</v>
      </c>
      <c r="I82" s="284">
        <f t="shared" ref="I82:K82" si="35">I80+I81</f>
        <v>0</v>
      </c>
      <c r="J82" s="284">
        <f t="shared" si="35"/>
        <v>0</v>
      </c>
      <c r="K82" s="284">
        <f t="shared" si="35"/>
        <v>0</v>
      </c>
      <c r="L82" s="284"/>
      <c r="M82" s="284">
        <f t="shared" ref="M82:P82" si="36">M81+M80</f>
        <v>0</v>
      </c>
      <c r="N82" s="284">
        <f t="shared" si="36"/>
        <v>0</v>
      </c>
      <c r="O82" s="284"/>
      <c r="P82" s="288">
        <f t="shared" si="36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7">E78+E79-E82</f>
        <v>0</v>
      </c>
      <c r="F83" s="22">
        <f t="shared" si="37"/>
        <v>0</v>
      </c>
      <c r="G83" s="22">
        <f t="shared" si="37"/>
        <v>0</v>
      </c>
      <c r="H83" s="22">
        <f t="shared" si="37"/>
        <v>0</v>
      </c>
      <c r="I83" s="286">
        <f t="shared" si="37"/>
        <v>0</v>
      </c>
      <c r="J83" s="286">
        <f t="shared" si="37"/>
        <v>0</v>
      </c>
      <c r="K83" s="286">
        <f t="shared" si="37"/>
        <v>0</v>
      </c>
      <c r="L83" s="286">
        <f t="shared" si="37"/>
        <v>0</v>
      </c>
      <c r="M83" s="286">
        <f t="shared" si="37"/>
        <v>0</v>
      </c>
      <c r="N83" s="286">
        <f t="shared" si="37"/>
        <v>0</v>
      </c>
      <c r="O83" s="286"/>
      <c r="P83" s="289">
        <f t="shared" si="37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8">E89</f>
        <v>0</v>
      </c>
      <c r="G84" s="3">
        <f t="shared" si="38"/>
        <v>0</v>
      </c>
      <c r="H84" s="3">
        <f t="shared" si="38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9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9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40">E86+E87</f>
        <v>0</v>
      </c>
      <c r="F88" s="3">
        <f t="shared" si="40"/>
        <v>0</v>
      </c>
      <c r="G88" s="3">
        <f t="shared" si="40"/>
        <v>0</v>
      </c>
      <c r="H88" s="3">
        <f t="shared" si="40"/>
        <v>0</v>
      </c>
      <c r="I88" s="284">
        <f t="shared" si="40"/>
        <v>0</v>
      </c>
      <c r="J88" s="284">
        <f t="shared" si="40"/>
        <v>0</v>
      </c>
      <c r="K88" s="284">
        <f t="shared" si="40"/>
        <v>0</v>
      </c>
      <c r="L88" s="284">
        <f t="shared" si="40"/>
        <v>0</v>
      </c>
      <c r="M88" s="284">
        <f t="shared" si="40"/>
        <v>0</v>
      </c>
      <c r="N88" s="284">
        <f t="shared" si="40"/>
        <v>0</v>
      </c>
      <c r="O88" s="284"/>
      <c r="P88" s="31">
        <f t="shared" si="39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1">E84+E85-E88</f>
        <v>0</v>
      </c>
      <c r="F89" s="22">
        <f t="shared" si="41"/>
        <v>0</v>
      </c>
      <c r="G89" s="22">
        <f t="shared" si="41"/>
        <v>0</v>
      </c>
      <c r="H89" s="22">
        <f t="shared" si="41"/>
        <v>0</v>
      </c>
      <c r="I89" s="22">
        <f t="shared" si="41"/>
        <v>0</v>
      </c>
      <c r="J89" s="22">
        <f t="shared" si="41"/>
        <v>0</v>
      </c>
      <c r="K89" s="22">
        <f t="shared" si="41"/>
        <v>0</v>
      </c>
      <c r="L89" s="22">
        <f t="shared" si="41"/>
        <v>0</v>
      </c>
      <c r="M89" s="22">
        <f t="shared" si="41"/>
        <v>0</v>
      </c>
      <c r="N89" s="22">
        <f t="shared" si="41"/>
        <v>0</v>
      </c>
      <c r="O89" s="22"/>
      <c r="P89" s="289">
        <f t="shared" ref="P89" si="42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3">D66+D72+D78+D84</f>
        <v>38</v>
      </c>
      <c r="E90" s="122">
        <f t="shared" si="43"/>
        <v>50</v>
      </c>
      <c r="F90" s="122">
        <f t="shared" si="43"/>
        <v>42</v>
      </c>
      <c r="G90" s="122">
        <f t="shared" si="43"/>
        <v>43</v>
      </c>
      <c r="H90" s="122">
        <f t="shared" si="43"/>
        <v>43</v>
      </c>
      <c r="I90" s="122">
        <f t="shared" si="43"/>
        <v>43</v>
      </c>
      <c r="J90" s="122">
        <f t="shared" si="43"/>
        <v>43</v>
      </c>
      <c r="K90" s="122">
        <f t="shared" si="43"/>
        <v>43</v>
      </c>
      <c r="L90" s="122">
        <f t="shared" si="43"/>
        <v>43</v>
      </c>
      <c r="M90" s="122">
        <f t="shared" si="43"/>
        <v>43</v>
      </c>
      <c r="N90" s="122">
        <f t="shared" si="43"/>
        <v>43</v>
      </c>
      <c r="O90" s="122"/>
      <c r="P90" s="31">
        <f>D90</f>
        <v>38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3"/>
        <v>22</v>
      </c>
      <c r="E91" s="122">
        <f t="shared" si="43"/>
        <v>13</v>
      </c>
      <c r="F91" s="122">
        <f t="shared" si="43"/>
        <v>19</v>
      </c>
      <c r="G91" s="122">
        <f t="shared" si="43"/>
        <v>0</v>
      </c>
      <c r="H91" s="122">
        <f t="shared" si="43"/>
        <v>0</v>
      </c>
      <c r="I91" s="122">
        <f t="shared" si="43"/>
        <v>0</v>
      </c>
      <c r="J91" s="122">
        <f t="shared" si="43"/>
        <v>0</v>
      </c>
      <c r="K91" s="122">
        <f t="shared" si="43"/>
        <v>0</v>
      </c>
      <c r="L91" s="122">
        <f t="shared" si="43"/>
        <v>0</v>
      </c>
      <c r="M91" s="122">
        <f t="shared" si="43"/>
        <v>0</v>
      </c>
      <c r="N91" s="122">
        <f t="shared" si="43"/>
        <v>0</v>
      </c>
      <c r="O91" s="122"/>
      <c r="P91" s="31">
        <f>SUM(D91:O91)</f>
        <v>54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3"/>
        <v>0</v>
      </c>
      <c r="E92" s="122">
        <f t="shared" si="43"/>
        <v>0</v>
      </c>
      <c r="F92" s="122">
        <f t="shared" si="43"/>
        <v>5</v>
      </c>
      <c r="G92" s="122">
        <f t="shared" si="43"/>
        <v>0</v>
      </c>
      <c r="H92" s="122">
        <f t="shared" si="43"/>
        <v>0</v>
      </c>
      <c r="I92" s="122">
        <f t="shared" si="43"/>
        <v>0</v>
      </c>
      <c r="J92" s="122">
        <f t="shared" si="43"/>
        <v>0</v>
      </c>
      <c r="K92" s="122">
        <f t="shared" si="43"/>
        <v>0</v>
      </c>
      <c r="L92" s="122">
        <f t="shared" si="43"/>
        <v>0</v>
      </c>
      <c r="M92" s="122">
        <f t="shared" si="43"/>
        <v>0</v>
      </c>
      <c r="N92" s="122">
        <f t="shared" si="43"/>
        <v>0</v>
      </c>
      <c r="O92" s="122"/>
      <c r="P92" s="31">
        <f>SUM(D92:O92)</f>
        <v>5</v>
      </c>
    </row>
    <row r="93" spans="1:16" ht="15.75" x14ac:dyDescent="0.25">
      <c r="A93" s="378"/>
      <c r="B93" s="4" t="s">
        <v>104</v>
      </c>
      <c r="C93" s="4"/>
      <c r="D93" s="122">
        <f t="shared" si="43"/>
        <v>10</v>
      </c>
      <c r="E93" s="122">
        <f t="shared" si="43"/>
        <v>21</v>
      </c>
      <c r="F93" s="122">
        <f t="shared" si="43"/>
        <v>13</v>
      </c>
      <c r="G93" s="122">
        <f t="shared" si="43"/>
        <v>0</v>
      </c>
      <c r="H93" s="122">
        <f t="shared" si="43"/>
        <v>0</v>
      </c>
      <c r="I93" s="122">
        <f t="shared" si="43"/>
        <v>0</v>
      </c>
      <c r="J93" s="122">
        <f t="shared" si="43"/>
        <v>0</v>
      </c>
      <c r="K93" s="122">
        <f t="shared" si="43"/>
        <v>0</v>
      </c>
      <c r="L93" s="122">
        <f t="shared" si="43"/>
        <v>0</v>
      </c>
      <c r="M93" s="122">
        <f t="shared" si="43"/>
        <v>0</v>
      </c>
      <c r="N93" s="122">
        <f t="shared" si="43"/>
        <v>0</v>
      </c>
      <c r="O93" s="122"/>
      <c r="P93" s="31">
        <f>SUM(D93:O93)</f>
        <v>44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10</v>
      </c>
      <c r="E94" s="123">
        <f t="shared" ref="E94:P94" si="44">E93+E92</f>
        <v>21</v>
      </c>
      <c r="F94" s="123">
        <f t="shared" si="44"/>
        <v>18</v>
      </c>
      <c r="G94" s="123">
        <f t="shared" si="44"/>
        <v>0</v>
      </c>
      <c r="H94" s="123">
        <f t="shared" si="44"/>
        <v>0</v>
      </c>
      <c r="I94" s="123">
        <f t="shared" si="44"/>
        <v>0</v>
      </c>
      <c r="J94" s="123">
        <f t="shared" si="44"/>
        <v>0</v>
      </c>
      <c r="K94" s="123">
        <f t="shared" si="44"/>
        <v>0</v>
      </c>
      <c r="L94" s="123">
        <f t="shared" si="44"/>
        <v>0</v>
      </c>
      <c r="M94" s="123">
        <f t="shared" si="44"/>
        <v>0</v>
      </c>
      <c r="N94" s="123">
        <f t="shared" si="44"/>
        <v>0</v>
      </c>
      <c r="O94" s="123"/>
      <c r="P94" s="130">
        <f t="shared" si="44"/>
        <v>49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50</v>
      </c>
      <c r="E95" s="124">
        <f t="shared" ref="E95:P95" si="45">E90+E91-E94</f>
        <v>42</v>
      </c>
      <c r="F95" s="124">
        <f t="shared" si="45"/>
        <v>43</v>
      </c>
      <c r="G95" s="124">
        <f t="shared" si="45"/>
        <v>43</v>
      </c>
      <c r="H95" s="124">
        <f t="shared" si="45"/>
        <v>43</v>
      </c>
      <c r="I95" s="124">
        <f t="shared" si="45"/>
        <v>43</v>
      </c>
      <c r="J95" s="124">
        <f t="shared" si="45"/>
        <v>43</v>
      </c>
      <c r="K95" s="124">
        <f t="shared" si="45"/>
        <v>43</v>
      </c>
      <c r="L95" s="124">
        <f t="shared" si="45"/>
        <v>43</v>
      </c>
      <c r="M95" s="124">
        <f t="shared" si="45"/>
        <v>43</v>
      </c>
      <c r="N95" s="124">
        <f t="shared" si="45"/>
        <v>43</v>
      </c>
      <c r="O95" s="124"/>
      <c r="P95" s="131">
        <f t="shared" si="45"/>
        <v>43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10</v>
      </c>
      <c r="E98" s="395">
        <v>21</v>
      </c>
      <c r="F98" s="395">
        <v>20</v>
      </c>
      <c r="G98" s="395"/>
      <c r="H98" s="395"/>
      <c r="I98" s="395"/>
      <c r="J98" s="395"/>
      <c r="K98" s="395"/>
      <c r="L98" s="395"/>
      <c r="M98" s="395"/>
      <c r="N98" s="395"/>
      <c r="O98" s="294"/>
      <c r="P98" s="97">
        <f>SUM(D98:O98)</f>
        <v>51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868</v>
      </c>
      <c r="E101" s="3">
        <v>844</v>
      </c>
      <c r="F101" s="3">
        <v>820</v>
      </c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6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11</v>
      </c>
      <c r="E102" s="3">
        <v>7</v>
      </c>
      <c r="F102" s="3">
        <v>7</v>
      </c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6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17</v>
      </c>
      <c r="E103" s="3">
        <v>17</v>
      </c>
      <c r="F103" s="3">
        <v>17</v>
      </c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6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>
        <v>23</v>
      </c>
      <c r="E104" s="3">
        <v>23</v>
      </c>
      <c r="F104" s="3">
        <v>23</v>
      </c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6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919</v>
      </c>
      <c r="E105" s="296">
        <f t="shared" ref="E105:O105" si="47">SUM(E101:E104)</f>
        <v>891</v>
      </c>
      <c r="F105" s="296">
        <f t="shared" si="47"/>
        <v>867</v>
      </c>
      <c r="G105" s="296">
        <f t="shared" si="47"/>
        <v>0</v>
      </c>
      <c r="H105" s="296">
        <f t="shared" si="47"/>
        <v>0</v>
      </c>
      <c r="I105" s="296">
        <f t="shared" si="47"/>
        <v>0</v>
      </c>
      <c r="J105" s="296">
        <f t="shared" si="47"/>
        <v>0</v>
      </c>
      <c r="K105" s="296">
        <f t="shared" si="47"/>
        <v>0</v>
      </c>
      <c r="L105" s="296">
        <f t="shared" si="47"/>
        <v>0</v>
      </c>
      <c r="M105" s="296">
        <f t="shared" si="47"/>
        <v>0</v>
      </c>
      <c r="N105" s="296">
        <f t="shared" si="47"/>
        <v>0</v>
      </c>
      <c r="O105" s="296">
        <f t="shared" si="47"/>
        <v>0</v>
      </c>
      <c r="P105" s="295">
        <f t="shared" si="46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778</v>
      </c>
      <c r="E107" s="3">
        <v>778</v>
      </c>
      <c r="F107" s="3">
        <v>769</v>
      </c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6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>
        <v>1</v>
      </c>
      <c r="E108" s="3">
        <v>1</v>
      </c>
      <c r="F108" s="3">
        <v>1</v>
      </c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6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5</v>
      </c>
      <c r="E109" s="3">
        <v>5</v>
      </c>
      <c r="F109" s="3">
        <v>4</v>
      </c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6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>
        <v>2</v>
      </c>
      <c r="E110" s="3">
        <v>2</v>
      </c>
      <c r="F110" s="3">
        <v>2</v>
      </c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6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786</v>
      </c>
      <c r="E111" s="296">
        <f t="shared" ref="E111:O111" si="48">SUM(E107:E110)</f>
        <v>786</v>
      </c>
      <c r="F111" s="296">
        <f t="shared" si="48"/>
        <v>776</v>
      </c>
      <c r="G111" s="296">
        <f t="shared" si="48"/>
        <v>0</v>
      </c>
      <c r="H111" s="296">
        <f t="shared" si="48"/>
        <v>0</v>
      </c>
      <c r="I111" s="296">
        <f t="shared" si="48"/>
        <v>0</v>
      </c>
      <c r="J111" s="296">
        <f t="shared" si="48"/>
        <v>0</v>
      </c>
      <c r="K111" s="296">
        <f t="shared" si="48"/>
        <v>0</v>
      </c>
      <c r="L111" s="296">
        <f t="shared" si="48"/>
        <v>0</v>
      </c>
      <c r="M111" s="296">
        <f t="shared" si="48"/>
        <v>0</v>
      </c>
      <c r="N111" s="296">
        <f t="shared" si="48"/>
        <v>0</v>
      </c>
      <c r="O111" s="296">
        <f t="shared" si="48"/>
        <v>0</v>
      </c>
      <c r="P111" s="295">
        <f t="shared" si="46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412">
        <v>1080</v>
      </c>
      <c r="E113" s="412">
        <v>1104</v>
      </c>
      <c r="F113" s="412">
        <v>1157</v>
      </c>
      <c r="G113" s="412"/>
      <c r="H113" s="412"/>
      <c r="I113" s="412"/>
      <c r="J113" s="412"/>
      <c r="K113" s="412"/>
      <c r="L113" s="412"/>
      <c r="M113" s="412"/>
      <c r="N113" s="412"/>
      <c r="O113" s="3"/>
      <c r="P113" s="295">
        <f t="shared" si="46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>
        <v>37</v>
      </c>
      <c r="E114" s="3">
        <v>41</v>
      </c>
      <c r="F114" s="3">
        <v>41</v>
      </c>
      <c r="G114" s="3"/>
      <c r="H114" s="3"/>
      <c r="I114" s="3"/>
      <c r="J114" s="3"/>
      <c r="K114" s="3"/>
      <c r="L114" s="412"/>
      <c r="M114" s="412"/>
      <c r="N114" s="412"/>
      <c r="O114" s="3"/>
      <c r="P114" s="295">
        <f t="shared" si="46"/>
        <v>0</v>
      </c>
    </row>
    <row r="115" spans="1:18" ht="15.75" x14ac:dyDescent="0.25">
      <c r="A115" s="331" t="s">
        <v>201</v>
      </c>
      <c r="B115" s="332"/>
      <c r="C115" s="4" t="s">
        <v>3</v>
      </c>
      <c r="D115" s="3">
        <v>109</v>
      </c>
      <c r="E115" s="3">
        <v>122</v>
      </c>
      <c r="F115" s="3">
        <v>123</v>
      </c>
      <c r="G115" s="3"/>
      <c r="H115" s="3"/>
      <c r="I115" s="3"/>
      <c r="J115" s="3"/>
      <c r="K115" s="3"/>
      <c r="L115" s="412"/>
      <c r="M115" s="412"/>
      <c r="N115" s="412"/>
      <c r="O115" s="3"/>
      <c r="P115" s="295">
        <f t="shared" si="46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>
        <v>10</v>
      </c>
      <c r="E116" s="3">
        <v>10</v>
      </c>
      <c r="F116" s="3">
        <v>10</v>
      </c>
      <c r="G116" s="3"/>
      <c r="H116" s="3"/>
      <c r="I116" s="3"/>
      <c r="J116" s="3"/>
      <c r="K116" s="3"/>
      <c r="L116" s="412"/>
      <c r="M116" s="412"/>
      <c r="N116" s="412"/>
      <c r="O116" s="3"/>
      <c r="P116" s="295">
        <f t="shared" si="46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1236</v>
      </c>
      <c r="E117" s="296">
        <f t="shared" ref="E117:P117" si="49">SUM(E113:E116)</f>
        <v>1277</v>
      </c>
      <c r="F117" s="296">
        <f t="shared" si="49"/>
        <v>1331</v>
      </c>
      <c r="G117" s="296">
        <f t="shared" si="49"/>
        <v>0</v>
      </c>
      <c r="H117" s="296">
        <f t="shared" si="49"/>
        <v>0</v>
      </c>
      <c r="I117" s="296">
        <f t="shared" si="49"/>
        <v>0</v>
      </c>
      <c r="J117" s="296">
        <f t="shared" si="49"/>
        <v>0</v>
      </c>
      <c r="K117" s="296">
        <f t="shared" si="49"/>
        <v>0</v>
      </c>
      <c r="L117" s="296">
        <f t="shared" si="49"/>
        <v>0</v>
      </c>
      <c r="M117" s="296">
        <f t="shared" si="49"/>
        <v>0</v>
      </c>
      <c r="N117" s="296">
        <f t="shared" si="49"/>
        <v>0</v>
      </c>
      <c r="O117" s="296"/>
      <c r="P117" s="257">
        <f t="shared" si="49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50">D111+D117</f>
        <v>2022</v>
      </c>
      <c r="E118" s="296">
        <f t="shared" si="50"/>
        <v>2063</v>
      </c>
      <c r="F118" s="296">
        <f t="shared" si="50"/>
        <v>2107</v>
      </c>
      <c r="G118" s="296">
        <f t="shared" si="50"/>
        <v>0</v>
      </c>
      <c r="H118" s="296">
        <f t="shared" si="50"/>
        <v>0</v>
      </c>
      <c r="I118" s="296">
        <f t="shared" si="50"/>
        <v>0</v>
      </c>
      <c r="J118" s="296">
        <f t="shared" si="50"/>
        <v>0</v>
      </c>
      <c r="K118" s="296">
        <f t="shared" si="50"/>
        <v>0</v>
      </c>
      <c r="L118" s="296">
        <f t="shared" si="50"/>
        <v>0</v>
      </c>
      <c r="M118" s="296">
        <f t="shared" si="50"/>
        <v>0</v>
      </c>
      <c r="N118" s="296">
        <f t="shared" si="50"/>
        <v>0</v>
      </c>
      <c r="O118" s="296"/>
      <c r="P118" s="296">
        <f t="shared" si="50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51">D105+D118</f>
        <v>2941</v>
      </c>
      <c r="E119" s="296">
        <f t="shared" si="51"/>
        <v>2954</v>
      </c>
      <c r="F119" s="296">
        <f t="shared" si="51"/>
        <v>2974</v>
      </c>
      <c r="G119" s="296">
        <f t="shared" si="51"/>
        <v>0</v>
      </c>
      <c r="H119" s="296">
        <f t="shared" si="51"/>
        <v>0</v>
      </c>
      <c r="I119" s="296">
        <f t="shared" si="51"/>
        <v>0</v>
      </c>
      <c r="J119" s="296">
        <f t="shared" si="51"/>
        <v>0</v>
      </c>
      <c r="K119" s="296">
        <f t="shared" si="51"/>
        <v>0</v>
      </c>
      <c r="L119" s="296">
        <f t="shared" si="51"/>
        <v>0</v>
      </c>
      <c r="M119" s="296">
        <f t="shared" si="51"/>
        <v>0</v>
      </c>
      <c r="N119" s="296">
        <f t="shared" si="51"/>
        <v>0</v>
      </c>
      <c r="O119" s="296">
        <f t="shared" si="51"/>
        <v>0</v>
      </c>
      <c r="P119" s="296">
        <f t="shared" si="51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3">
        <v>18200</v>
      </c>
      <c r="E121" s="413">
        <v>18200</v>
      </c>
      <c r="F121" s="3">
        <v>18200</v>
      </c>
      <c r="G121" s="413"/>
      <c r="H121" s="413"/>
      <c r="I121" s="3"/>
      <c r="J121" s="413"/>
      <c r="K121" s="3"/>
      <c r="L121" s="3"/>
      <c r="M121" s="3"/>
      <c r="N121" s="3"/>
      <c r="O121" s="3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3">
        <v>16455</v>
      </c>
      <c r="E122" s="413">
        <v>16445</v>
      </c>
      <c r="F122" s="3">
        <v>16445</v>
      </c>
      <c r="G122" s="413"/>
      <c r="H122" s="413"/>
      <c r="I122" s="3"/>
      <c r="J122" s="413"/>
      <c r="K122" s="3"/>
      <c r="L122" s="3"/>
      <c r="M122" s="3"/>
      <c r="N122" s="3"/>
      <c r="O122" s="3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52">D122/D121</f>
        <v>0.90412087912087913</v>
      </c>
      <c r="E123" s="25">
        <f t="shared" si="52"/>
        <v>0.90357142857142858</v>
      </c>
      <c r="F123" s="25">
        <f t="shared" si="52"/>
        <v>0.90357142857142858</v>
      </c>
      <c r="G123" s="300" t="e">
        <f t="shared" si="52"/>
        <v>#DIV/0!</v>
      </c>
      <c r="H123" s="300" t="e">
        <f t="shared" si="52"/>
        <v>#DIV/0!</v>
      </c>
      <c r="I123" s="300" t="e">
        <f t="shared" si="52"/>
        <v>#DIV/0!</v>
      </c>
      <c r="J123" s="300" t="e">
        <f t="shared" si="52"/>
        <v>#DIV/0!</v>
      </c>
      <c r="K123" s="300" t="e">
        <f t="shared" si="52"/>
        <v>#DIV/0!</v>
      </c>
      <c r="L123" s="300" t="e">
        <f t="shared" si="52"/>
        <v>#DIV/0!</v>
      </c>
      <c r="M123" s="300" t="e">
        <f t="shared" si="52"/>
        <v>#DIV/0!</v>
      </c>
      <c r="N123" s="300" t="e">
        <f t="shared" si="52"/>
        <v>#DIV/0!</v>
      </c>
      <c r="O123" s="300"/>
      <c r="P123" s="301" t="e">
        <f t="shared" si="52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3">F130</f>
        <v>0</v>
      </c>
      <c r="H125" s="399">
        <f t="shared" si="53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54">D125+D126-D127-D128</f>
        <v>0</v>
      </c>
      <c r="E129" s="140">
        <f t="shared" si="54"/>
        <v>0</v>
      </c>
      <c r="F129" s="140">
        <f t="shared" si="54"/>
        <v>0</v>
      </c>
      <c r="G129" s="140">
        <f t="shared" si="54"/>
        <v>0</v>
      </c>
      <c r="H129" s="140">
        <f t="shared" si="54"/>
        <v>0</v>
      </c>
      <c r="I129" s="140">
        <f t="shared" si="54"/>
        <v>0</v>
      </c>
      <c r="J129" s="140">
        <f t="shared" si="54"/>
        <v>0</v>
      </c>
      <c r="K129" s="140">
        <f t="shared" si="54"/>
        <v>0</v>
      </c>
      <c r="L129" s="140">
        <f t="shared" si="54"/>
        <v>0</v>
      </c>
      <c r="M129" s="140">
        <f t="shared" si="54"/>
        <v>0</v>
      </c>
      <c r="N129" s="140">
        <f t="shared" si="54"/>
        <v>0</v>
      </c>
      <c r="O129" s="140"/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5">E134</f>
        <v>0</v>
      </c>
      <c r="G130" s="399">
        <f t="shared" si="55"/>
        <v>0</v>
      </c>
      <c r="H130" s="399">
        <f t="shared" si="55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56">D130+D131-D132-D133</f>
        <v>0</v>
      </c>
      <c r="E134" s="140">
        <f t="shared" si="56"/>
        <v>0</v>
      </c>
      <c r="F134" s="140">
        <f t="shared" si="56"/>
        <v>0</v>
      </c>
      <c r="G134" s="140">
        <f t="shared" si="56"/>
        <v>0</v>
      </c>
      <c r="H134" s="140">
        <f t="shared" si="56"/>
        <v>0</v>
      </c>
      <c r="I134" s="140">
        <f t="shared" si="56"/>
        <v>0</v>
      </c>
      <c r="J134" s="140">
        <f t="shared" si="56"/>
        <v>0</v>
      </c>
      <c r="K134" s="140">
        <f t="shared" si="56"/>
        <v>0</v>
      </c>
      <c r="L134" s="140">
        <f t="shared" si="56"/>
        <v>0</v>
      </c>
      <c r="M134" s="140">
        <f t="shared" si="56"/>
        <v>0</v>
      </c>
      <c r="N134" s="140">
        <f t="shared" si="56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7">F139</f>
        <v>0</v>
      </c>
      <c r="H135" s="399">
        <f t="shared" si="57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L139" si="58">D135+D136-D137-D138</f>
        <v>0</v>
      </c>
      <c r="E139" s="140">
        <f t="shared" si="58"/>
        <v>0</v>
      </c>
      <c r="F139" s="140">
        <f t="shared" si="58"/>
        <v>0</v>
      </c>
      <c r="G139" s="140">
        <f t="shared" si="58"/>
        <v>0</v>
      </c>
      <c r="H139" s="140">
        <f t="shared" si="58"/>
        <v>0</v>
      </c>
      <c r="I139" s="140">
        <f t="shared" si="58"/>
        <v>0</v>
      </c>
      <c r="J139" s="140">
        <f t="shared" si="58"/>
        <v>0</v>
      </c>
      <c r="K139" s="140">
        <f t="shared" si="58"/>
        <v>0</v>
      </c>
      <c r="L139" s="140">
        <f t="shared" si="58"/>
        <v>0</v>
      </c>
      <c r="M139" s="140"/>
      <c r="N139" s="140"/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>
        <v>36</v>
      </c>
      <c r="E140" s="120">
        <f>D144</f>
        <v>26</v>
      </c>
      <c r="F140" s="120">
        <f t="shared" ref="F140" si="59">E144</f>
        <v>11</v>
      </c>
      <c r="G140" s="399"/>
      <c r="H140" s="399"/>
      <c r="I140" s="399"/>
      <c r="J140" s="399"/>
      <c r="K140" s="120">
        <f t="shared" ref="K140" si="60">J144</f>
        <v>0</v>
      </c>
      <c r="L140" s="399"/>
      <c r="M140" s="120">
        <f t="shared" ref="M140:N140" si="61">L144</f>
        <v>0</v>
      </c>
      <c r="N140" s="120">
        <f t="shared" si="61"/>
        <v>0</v>
      </c>
      <c r="O140" s="407"/>
      <c r="P140" s="406">
        <f>D140</f>
        <v>36</v>
      </c>
    </row>
    <row r="141" spans="1:18" ht="15.75" x14ac:dyDescent="0.25">
      <c r="A141" s="325"/>
      <c r="B141" s="4" t="s">
        <v>84</v>
      </c>
      <c r="C141" s="4" t="s">
        <v>3</v>
      </c>
      <c r="D141" s="399">
        <v>34</v>
      </c>
      <c r="E141" s="120">
        <v>22</v>
      </c>
      <c r="F141" s="120">
        <v>24</v>
      </c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80</v>
      </c>
    </row>
    <row r="142" spans="1:18" ht="15.75" x14ac:dyDescent="0.25">
      <c r="A142" s="325"/>
      <c r="B142" s="4" t="s">
        <v>83</v>
      </c>
      <c r="C142" s="4" t="s">
        <v>3</v>
      </c>
      <c r="D142" s="399">
        <v>43</v>
      </c>
      <c r="E142" s="120">
        <v>9</v>
      </c>
      <c r="F142" s="120">
        <v>11</v>
      </c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63</v>
      </c>
    </row>
    <row r="143" spans="1:18" ht="15.75" x14ac:dyDescent="0.25">
      <c r="A143" s="325"/>
      <c r="B143" s="4" t="s">
        <v>82</v>
      </c>
      <c r="C143" s="4" t="s">
        <v>3</v>
      </c>
      <c r="D143" s="399">
        <v>1</v>
      </c>
      <c r="E143" s="120">
        <v>28</v>
      </c>
      <c r="F143" s="120">
        <v>12</v>
      </c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41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L144" si="62">D140+D141-D142-D143</f>
        <v>26</v>
      </c>
      <c r="E144" s="140">
        <f t="shared" si="62"/>
        <v>11</v>
      </c>
      <c r="F144" s="140">
        <f>F140+F141-F142-F143</f>
        <v>12</v>
      </c>
      <c r="G144" s="120">
        <f t="shared" si="62"/>
        <v>0</v>
      </c>
      <c r="H144" s="140">
        <f t="shared" si="62"/>
        <v>0</v>
      </c>
      <c r="I144" s="140">
        <f t="shared" si="62"/>
        <v>0</v>
      </c>
      <c r="J144" s="140">
        <f t="shared" si="62"/>
        <v>0</v>
      </c>
      <c r="K144" s="140">
        <f t="shared" si="62"/>
        <v>0</v>
      </c>
      <c r="L144" s="120">
        <f t="shared" si="62"/>
        <v>0</v>
      </c>
      <c r="M144" s="140">
        <f>M140+M141-M142-M143</f>
        <v>0</v>
      </c>
      <c r="N144" s="140">
        <f>N140+N141-N142-N143</f>
        <v>0</v>
      </c>
      <c r="O144" s="140"/>
      <c r="P144" s="16">
        <f>P140+P141-P142-P143</f>
        <v>12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63">D125+D130+D135+D140</f>
        <v>36</v>
      </c>
      <c r="E145" s="141">
        <f t="shared" si="63"/>
        <v>26</v>
      </c>
      <c r="F145" s="141">
        <f t="shared" si="63"/>
        <v>11</v>
      </c>
      <c r="G145" s="141">
        <f t="shared" si="63"/>
        <v>0</v>
      </c>
      <c r="H145" s="141">
        <f t="shared" si="63"/>
        <v>0</v>
      </c>
      <c r="I145" s="141">
        <f t="shared" si="63"/>
        <v>0</v>
      </c>
      <c r="J145" s="141">
        <f t="shared" si="63"/>
        <v>0</v>
      </c>
      <c r="K145" s="141">
        <f t="shared" si="63"/>
        <v>0</v>
      </c>
      <c r="L145" s="141">
        <f t="shared" si="63"/>
        <v>0</v>
      </c>
      <c r="M145" s="141">
        <f t="shared" si="63"/>
        <v>0</v>
      </c>
      <c r="N145" s="141">
        <f t="shared" si="63"/>
        <v>0</v>
      </c>
      <c r="O145" s="141"/>
      <c r="P145" s="99">
        <f t="shared" si="63"/>
        <v>36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63"/>
        <v>34</v>
      </c>
      <c r="E146" s="141">
        <f t="shared" si="63"/>
        <v>22</v>
      </c>
      <c r="F146" s="141">
        <f t="shared" si="63"/>
        <v>24</v>
      </c>
      <c r="G146" s="141">
        <f t="shared" si="63"/>
        <v>0</v>
      </c>
      <c r="H146" s="141">
        <f t="shared" si="63"/>
        <v>0</v>
      </c>
      <c r="I146" s="141">
        <f t="shared" si="63"/>
        <v>0</v>
      </c>
      <c r="J146" s="141">
        <f t="shared" si="63"/>
        <v>0</v>
      </c>
      <c r="K146" s="141">
        <f t="shared" si="63"/>
        <v>0</v>
      </c>
      <c r="L146" s="141">
        <f t="shared" si="63"/>
        <v>0</v>
      </c>
      <c r="M146" s="141">
        <f t="shared" si="63"/>
        <v>0</v>
      </c>
      <c r="N146" s="141">
        <f t="shared" si="63"/>
        <v>0</v>
      </c>
      <c r="O146" s="141"/>
      <c r="P146" s="99">
        <f t="shared" si="63"/>
        <v>80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63"/>
        <v>43</v>
      </c>
      <c r="E147" s="141">
        <f t="shared" si="63"/>
        <v>9</v>
      </c>
      <c r="F147" s="141">
        <f t="shared" si="63"/>
        <v>11</v>
      </c>
      <c r="G147" s="141">
        <f t="shared" si="63"/>
        <v>0</v>
      </c>
      <c r="H147" s="141">
        <f t="shared" si="63"/>
        <v>0</v>
      </c>
      <c r="I147" s="141">
        <f t="shared" si="63"/>
        <v>0</v>
      </c>
      <c r="J147" s="141">
        <f t="shared" si="63"/>
        <v>0</v>
      </c>
      <c r="K147" s="141">
        <f t="shared" si="63"/>
        <v>0</v>
      </c>
      <c r="L147" s="141">
        <f t="shared" si="63"/>
        <v>0</v>
      </c>
      <c r="M147" s="141">
        <f t="shared" si="63"/>
        <v>0</v>
      </c>
      <c r="N147" s="141">
        <f t="shared" si="63"/>
        <v>0</v>
      </c>
      <c r="O147" s="141"/>
      <c r="P147" s="99">
        <f t="shared" si="63"/>
        <v>63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63"/>
        <v>1</v>
      </c>
      <c r="E148" s="141">
        <f t="shared" si="63"/>
        <v>28</v>
      </c>
      <c r="F148" s="141">
        <f t="shared" si="63"/>
        <v>12</v>
      </c>
      <c r="G148" s="141">
        <f t="shared" si="63"/>
        <v>0</v>
      </c>
      <c r="H148" s="141">
        <f t="shared" si="63"/>
        <v>0</v>
      </c>
      <c r="I148" s="141"/>
      <c r="J148" s="141">
        <f t="shared" si="63"/>
        <v>0</v>
      </c>
      <c r="K148" s="141">
        <f t="shared" si="63"/>
        <v>0</v>
      </c>
      <c r="L148" s="141">
        <f t="shared" si="63"/>
        <v>0</v>
      </c>
      <c r="M148" s="141">
        <f t="shared" si="63"/>
        <v>0</v>
      </c>
      <c r="N148" s="141">
        <f t="shared" si="63"/>
        <v>0</v>
      </c>
      <c r="O148" s="141"/>
      <c r="P148" s="99">
        <f t="shared" si="63"/>
        <v>41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N149" si="64">D145+D146-D147-D148</f>
        <v>26</v>
      </c>
      <c r="E149" s="140">
        <f t="shared" si="64"/>
        <v>11</v>
      </c>
      <c r="F149" s="140">
        <f t="shared" si="64"/>
        <v>12</v>
      </c>
      <c r="G149" s="140">
        <f t="shared" si="64"/>
        <v>0</v>
      </c>
      <c r="H149" s="140">
        <f t="shared" si="64"/>
        <v>0</v>
      </c>
      <c r="I149" s="140">
        <f t="shared" si="64"/>
        <v>0</v>
      </c>
      <c r="J149" s="140">
        <f t="shared" si="64"/>
        <v>0</v>
      </c>
      <c r="K149" s="140">
        <f t="shared" si="64"/>
        <v>0</v>
      </c>
      <c r="L149" s="140">
        <f t="shared" si="64"/>
        <v>0</v>
      </c>
      <c r="M149" s="140">
        <f t="shared" si="64"/>
        <v>0</v>
      </c>
      <c r="N149" s="140">
        <f t="shared" si="64"/>
        <v>0</v>
      </c>
      <c r="O149" s="140"/>
      <c r="P149" s="99">
        <f t="shared" si="63"/>
        <v>12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3">
        <v>68</v>
      </c>
      <c r="E153" s="3">
        <v>67</v>
      </c>
      <c r="F153" s="3">
        <v>88</v>
      </c>
      <c r="G153" s="3"/>
      <c r="H153" s="3"/>
      <c r="I153" s="3"/>
      <c r="J153" s="3"/>
      <c r="K153" s="3"/>
      <c r="L153" s="3"/>
      <c r="M153" s="120"/>
      <c r="N153" s="120"/>
      <c r="O153" s="3"/>
      <c r="P153" s="16">
        <f t="shared" ref="P153:P165" si="65">SUM(D153:O153)</f>
        <v>223</v>
      </c>
    </row>
    <row r="154" spans="1:16" ht="15.75" x14ac:dyDescent="0.25">
      <c r="A154" s="357"/>
      <c r="B154" s="18" t="s">
        <v>72</v>
      </c>
      <c r="C154" s="4" t="s">
        <v>57</v>
      </c>
      <c r="D154" s="3">
        <v>46</v>
      </c>
      <c r="E154" s="3">
        <v>47</v>
      </c>
      <c r="F154" s="3">
        <v>38</v>
      </c>
      <c r="G154" s="3"/>
      <c r="H154" s="3"/>
      <c r="I154" s="3"/>
      <c r="J154" s="3"/>
      <c r="K154" s="3"/>
      <c r="L154" s="3"/>
      <c r="M154" s="120"/>
      <c r="N154" s="120"/>
      <c r="O154" s="3"/>
      <c r="P154" s="16">
        <f t="shared" si="65"/>
        <v>131</v>
      </c>
    </row>
    <row r="155" spans="1:16" ht="15.75" x14ac:dyDescent="0.25">
      <c r="A155" s="357"/>
      <c r="B155" s="18" t="s">
        <v>53</v>
      </c>
      <c r="C155" s="4" t="s">
        <v>57</v>
      </c>
      <c r="D155" s="3">
        <v>18</v>
      </c>
      <c r="E155" s="3">
        <v>15</v>
      </c>
      <c r="F155" s="3">
        <v>10</v>
      </c>
      <c r="G155" s="3"/>
      <c r="H155" s="3"/>
      <c r="I155" s="3"/>
      <c r="J155" s="3"/>
      <c r="K155" s="3"/>
      <c r="L155" s="3"/>
      <c r="M155" s="120"/>
      <c r="N155" s="120"/>
      <c r="O155" s="3"/>
      <c r="P155" s="16">
        <f t="shared" si="65"/>
        <v>43</v>
      </c>
    </row>
    <row r="156" spans="1:16" ht="15.75" x14ac:dyDescent="0.25">
      <c r="A156" s="357"/>
      <c r="B156" s="18" t="s">
        <v>71</v>
      </c>
      <c r="C156" s="4" t="s">
        <v>57</v>
      </c>
      <c r="D156" s="3">
        <v>1</v>
      </c>
      <c r="E156" s="3">
        <v>4</v>
      </c>
      <c r="F156" s="3">
        <v>2</v>
      </c>
      <c r="G156" s="3"/>
      <c r="H156" s="3"/>
      <c r="I156" s="3"/>
      <c r="J156" s="3"/>
      <c r="K156" s="3"/>
      <c r="L156" s="3"/>
      <c r="M156" s="120"/>
      <c r="N156" s="120"/>
      <c r="O156" s="3"/>
      <c r="P156" s="16">
        <f t="shared" si="65"/>
        <v>7</v>
      </c>
    </row>
    <row r="157" spans="1:16" ht="15.75" x14ac:dyDescent="0.25">
      <c r="A157" s="357"/>
      <c r="B157" s="18" t="s">
        <v>52</v>
      </c>
      <c r="C157" s="4" t="s">
        <v>57</v>
      </c>
      <c r="D157" s="3">
        <v>8</v>
      </c>
      <c r="E157" s="3">
        <v>6</v>
      </c>
      <c r="F157" s="3">
        <v>7</v>
      </c>
      <c r="G157" s="3"/>
      <c r="H157" s="3"/>
      <c r="I157" s="3"/>
      <c r="J157" s="3"/>
      <c r="K157" s="3"/>
      <c r="L157" s="3"/>
      <c r="M157" s="120"/>
      <c r="N157" s="120"/>
      <c r="O157" s="3"/>
      <c r="P157" s="16">
        <f t="shared" si="65"/>
        <v>21</v>
      </c>
    </row>
    <row r="158" spans="1:16" ht="15.75" x14ac:dyDescent="0.25">
      <c r="A158" s="357"/>
      <c r="B158" s="18" t="s">
        <v>51</v>
      </c>
      <c r="C158" s="4" t="s">
        <v>57</v>
      </c>
      <c r="D158" s="3">
        <v>4</v>
      </c>
      <c r="E158" s="3">
        <v>6</v>
      </c>
      <c r="F158" s="3">
        <v>6</v>
      </c>
      <c r="G158" s="3"/>
      <c r="H158" s="3"/>
      <c r="I158" s="3"/>
      <c r="J158" s="3"/>
      <c r="K158" s="3"/>
      <c r="L158" s="3"/>
      <c r="M158" s="120"/>
      <c r="N158" s="120"/>
      <c r="O158" s="3"/>
      <c r="P158" s="16">
        <f t="shared" si="65"/>
        <v>16</v>
      </c>
    </row>
    <row r="159" spans="1:16" ht="15.75" x14ac:dyDescent="0.25">
      <c r="A159" s="357"/>
      <c r="B159" s="18" t="s">
        <v>62</v>
      </c>
      <c r="C159" s="4" t="s">
        <v>57</v>
      </c>
      <c r="D159" s="3"/>
      <c r="E159" s="3"/>
      <c r="F159" s="3"/>
      <c r="G159" s="3"/>
      <c r="H159" s="120"/>
      <c r="I159" s="120"/>
      <c r="J159" s="120"/>
      <c r="K159" s="3"/>
      <c r="L159" s="3"/>
      <c r="M159" s="120"/>
      <c r="N159" s="120"/>
      <c r="O159" s="120"/>
      <c r="P159" s="16">
        <f t="shared" si="65"/>
        <v>0</v>
      </c>
    </row>
    <row r="160" spans="1:16" ht="15.75" x14ac:dyDescent="0.25">
      <c r="A160" s="357"/>
      <c r="B160" s="18" t="s">
        <v>50</v>
      </c>
      <c r="C160" s="4" t="s">
        <v>57</v>
      </c>
      <c r="D160" s="3">
        <v>2</v>
      </c>
      <c r="E160" s="3">
        <v>3</v>
      </c>
      <c r="F160" s="3">
        <v>2</v>
      </c>
      <c r="G160" s="3"/>
      <c r="H160" s="120"/>
      <c r="I160" s="120"/>
      <c r="J160" s="120"/>
      <c r="K160" s="3"/>
      <c r="L160" s="3"/>
      <c r="M160" s="120"/>
      <c r="N160" s="120"/>
      <c r="O160" s="120"/>
      <c r="P160" s="16">
        <f t="shared" si="65"/>
        <v>7</v>
      </c>
    </row>
    <row r="161" spans="1:16" ht="15.75" x14ac:dyDescent="0.25">
      <c r="A161" s="357"/>
      <c r="B161" s="18" t="s">
        <v>49</v>
      </c>
      <c r="C161" s="4" t="s">
        <v>57</v>
      </c>
      <c r="D161" s="3">
        <v>1</v>
      </c>
      <c r="E161" s="3">
        <v>1</v>
      </c>
      <c r="F161" s="3">
        <v>1</v>
      </c>
      <c r="G161" s="3"/>
      <c r="H161" s="120"/>
      <c r="I161" s="120"/>
      <c r="J161" s="120"/>
      <c r="K161" s="3"/>
      <c r="L161" s="3"/>
      <c r="M161" s="120"/>
      <c r="N161" s="120"/>
      <c r="O161" s="120"/>
      <c r="P161" s="16">
        <f t="shared" si="65"/>
        <v>3</v>
      </c>
    </row>
    <row r="162" spans="1:16" ht="15.75" x14ac:dyDescent="0.25">
      <c r="A162" s="357"/>
      <c r="B162" s="18" t="s">
        <v>77</v>
      </c>
      <c r="C162" s="4" t="s">
        <v>57</v>
      </c>
      <c r="D162" s="3">
        <v>1</v>
      </c>
      <c r="E162" s="3"/>
      <c r="F162" s="3"/>
      <c r="G162" s="3"/>
      <c r="H162" s="120"/>
      <c r="I162" s="120"/>
      <c r="J162" s="120"/>
      <c r="K162" s="3"/>
      <c r="L162" s="3"/>
      <c r="M162" s="120"/>
      <c r="N162" s="120"/>
      <c r="O162" s="120"/>
      <c r="P162" s="16">
        <f t="shared" si="65"/>
        <v>1</v>
      </c>
    </row>
    <row r="163" spans="1:16" ht="15.75" x14ac:dyDescent="0.25">
      <c r="A163" s="357"/>
      <c r="B163" s="18" t="s">
        <v>69</v>
      </c>
      <c r="C163" s="4" t="s">
        <v>57</v>
      </c>
      <c r="D163" s="3">
        <v>2</v>
      </c>
      <c r="E163" s="3">
        <v>1</v>
      </c>
      <c r="F163" s="3"/>
      <c r="G163" s="3"/>
      <c r="H163" s="120"/>
      <c r="I163" s="120"/>
      <c r="J163" s="120"/>
      <c r="K163" s="120"/>
      <c r="L163" s="3"/>
      <c r="M163" s="120"/>
      <c r="N163" s="120"/>
      <c r="O163" s="120"/>
      <c r="P163" s="16">
        <f t="shared" si="65"/>
        <v>3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3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5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5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6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6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6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6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6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6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6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6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6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7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7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7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7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7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7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151</v>
      </c>
      <c r="E193" s="141">
        <f t="shared" ref="E193:P193" si="68">SUM(E153:E192)</f>
        <v>150</v>
      </c>
      <c r="F193" s="141">
        <f t="shared" si="68"/>
        <v>154</v>
      </c>
      <c r="G193" s="141">
        <f t="shared" si="68"/>
        <v>0</v>
      </c>
      <c r="H193" s="141">
        <f t="shared" si="68"/>
        <v>0</v>
      </c>
      <c r="I193" s="141">
        <f t="shared" si="68"/>
        <v>0</v>
      </c>
      <c r="J193" s="141">
        <f t="shared" si="68"/>
        <v>0</v>
      </c>
      <c r="K193" s="141">
        <f t="shared" si="68"/>
        <v>0</v>
      </c>
      <c r="L193" s="141">
        <f t="shared" si="68"/>
        <v>0</v>
      </c>
      <c r="M193" s="141">
        <f t="shared" si="68"/>
        <v>0</v>
      </c>
      <c r="N193" s="141">
        <f t="shared" si="68"/>
        <v>0</v>
      </c>
      <c r="O193" s="141">
        <f t="shared" si="68"/>
        <v>0</v>
      </c>
      <c r="P193" s="92">
        <f t="shared" si="68"/>
        <v>455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13</v>
      </c>
      <c r="E196" s="3">
        <v>13</v>
      </c>
      <c r="F196" s="3">
        <v>13</v>
      </c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3.25</v>
      </c>
    </row>
    <row r="197" spans="1:16" ht="15.75" x14ac:dyDescent="0.25">
      <c r="A197" s="331" t="s">
        <v>56</v>
      </c>
      <c r="B197" s="332"/>
      <c r="C197" s="14" t="s">
        <v>55</v>
      </c>
      <c r="D197" s="3">
        <v>10</v>
      </c>
      <c r="E197" s="3">
        <v>28</v>
      </c>
      <c r="F197" s="3">
        <v>48</v>
      </c>
      <c r="G197" s="3"/>
      <c r="H197" s="3"/>
      <c r="I197" s="279"/>
      <c r="J197" s="279"/>
      <c r="K197" s="3"/>
      <c r="L197" s="3"/>
      <c r="M197" s="3"/>
      <c r="N197" s="3"/>
      <c r="O197" s="279"/>
      <c r="P197" s="8">
        <f>SUM(D197:O197)</f>
        <v>86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9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9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9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9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9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70">SUM(D199:D203)</f>
        <v>0</v>
      </c>
      <c r="E204" s="13">
        <f t="shared" si="70"/>
        <v>0</v>
      </c>
      <c r="F204" s="13">
        <f t="shared" si="70"/>
        <v>0</v>
      </c>
      <c r="G204" s="13">
        <f t="shared" ref="G204:O204" si="71">SUM(G199:G203)</f>
        <v>0</v>
      </c>
      <c r="H204" s="13">
        <f t="shared" si="71"/>
        <v>0</v>
      </c>
      <c r="I204" s="275">
        <f t="shared" si="71"/>
        <v>0</v>
      </c>
      <c r="J204" s="275">
        <f t="shared" si="71"/>
        <v>0</v>
      </c>
      <c r="K204" s="275">
        <f t="shared" si="71"/>
        <v>0</v>
      </c>
      <c r="L204" s="275">
        <f t="shared" si="71"/>
        <v>0</v>
      </c>
      <c r="M204" s="275">
        <f t="shared" si="71"/>
        <v>0</v>
      </c>
      <c r="N204" s="275">
        <f t="shared" si="71"/>
        <v>0</v>
      </c>
      <c r="O204" s="275">
        <f t="shared" si="71"/>
        <v>0</v>
      </c>
      <c r="P204" s="100">
        <f t="shared" si="69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4095467</v>
      </c>
      <c r="E206" s="11">
        <v>7282651.1399999997</v>
      </c>
      <c r="F206" s="11">
        <v>4053726.01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15431844.15</v>
      </c>
    </row>
    <row r="207" spans="1:16" ht="15.75" x14ac:dyDescent="0.25">
      <c r="A207" s="331" t="s">
        <v>42</v>
      </c>
      <c r="B207" s="332"/>
      <c r="C207" s="4" t="s">
        <v>31</v>
      </c>
      <c r="D207" s="11">
        <v>7000</v>
      </c>
      <c r="E207" s="11">
        <v>12500</v>
      </c>
      <c r="F207" s="11">
        <v>6000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25500</v>
      </c>
    </row>
    <row r="208" spans="1:16" ht="15.75" x14ac:dyDescent="0.25">
      <c r="A208" s="338" t="s">
        <v>41</v>
      </c>
      <c r="B208" s="339"/>
      <c r="C208" s="4" t="s">
        <v>31</v>
      </c>
      <c r="D208" s="11">
        <v>15056</v>
      </c>
      <c r="E208" s="11">
        <v>47150</v>
      </c>
      <c r="F208" s="11">
        <v>23500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85706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72">SUM(D206:D209)</f>
        <v>4117523</v>
      </c>
      <c r="E210" s="309">
        <f t="shared" si="72"/>
        <v>7342301.1399999997</v>
      </c>
      <c r="F210" s="309">
        <f t="shared" si="72"/>
        <v>4083226.01</v>
      </c>
      <c r="G210" s="309">
        <f t="shared" si="72"/>
        <v>0</v>
      </c>
      <c r="H210" s="309">
        <f t="shared" si="72"/>
        <v>0</v>
      </c>
      <c r="I210" s="309">
        <f t="shared" si="72"/>
        <v>0</v>
      </c>
      <c r="J210" s="309">
        <f t="shared" si="72"/>
        <v>0</v>
      </c>
      <c r="K210" s="309">
        <f t="shared" si="72"/>
        <v>0</v>
      </c>
      <c r="L210" s="309">
        <f t="shared" si="72"/>
        <v>0</v>
      </c>
      <c r="M210" s="309">
        <f t="shared" si="72"/>
        <v>0</v>
      </c>
      <c r="N210" s="309">
        <f t="shared" si="72"/>
        <v>0</v>
      </c>
      <c r="O210" s="309">
        <f t="shared" si="72"/>
        <v>0</v>
      </c>
      <c r="P210" s="8">
        <f>SUM(D210:O210)</f>
        <v>15543050.15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6148407</v>
      </c>
      <c r="E212" s="11">
        <v>7130123.5999999996</v>
      </c>
      <c r="F212" s="11">
        <v>6571413.5999999996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19849944.199999999</v>
      </c>
    </row>
    <row r="213" spans="1:16" ht="15.75" x14ac:dyDescent="0.25">
      <c r="A213" s="331" t="s">
        <v>42</v>
      </c>
      <c r="B213" s="332"/>
      <c r="C213" s="4" t="s">
        <v>31</v>
      </c>
      <c r="D213" s="11">
        <v>39450</v>
      </c>
      <c r="E213" s="11">
        <v>52300</v>
      </c>
      <c r="F213" s="11">
        <v>44400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136150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965600</v>
      </c>
      <c r="E214" s="11">
        <v>1748220</v>
      </c>
      <c r="F214" s="11">
        <v>1046900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3760720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510250</v>
      </c>
      <c r="E215" s="11">
        <v>710271</v>
      </c>
      <c r="F215" s="11">
        <v>419388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1639909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73">SUM(D212:D215)</f>
        <v>7663707</v>
      </c>
      <c r="E216" s="309">
        <f t="shared" si="73"/>
        <v>9640914.5999999996</v>
      </c>
      <c r="F216" s="309">
        <f t="shared" si="73"/>
        <v>8082101.5999999996</v>
      </c>
      <c r="G216" s="309">
        <f t="shared" si="73"/>
        <v>0</v>
      </c>
      <c r="H216" s="309">
        <f t="shared" si="73"/>
        <v>0</v>
      </c>
      <c r="I216" s="309">
        <f t="shared" si="73"/>
        <v>0</v>
      </c>
      <c r="J216" s="309">
        <f t="shared" si="73"/>
        <v>0</v>
      </c>
      <c r="K216" s="309">
        <f t="shared" si="73"/>
        <v>0</v>
      </c>
      <c r="L216" s="309">
        <f t="shared" si="73"/>
        <v>0</v>
      </c>
      <c r="M216" s="309">
        <f t="shared" si="73"/>
        <v>0</v>
      </c>
      <c r="N216" s="309">
        <f t="shared" si="73"/>
        <v>0</v>
      </c>
      <c r="O216" s="309">
        <f t="shared" si="73"/>
        <v>0</v>
      </c>
      <c r="P216" s="8">
        <f>SUM(D216:O216)</f>
        <v>25386723.200000003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11781230</v>
      </c>
      <c r="E217" s="309">
        <f t="shared" ref="E217:P217" si="74">E210+E216</f>
        <v>16983215.739999998</v>
      </c>
      <c r="F217" s="309">
        <f t="shared" si="74"/>
        <v>12165327.609999999</v>
      </c>
      <c r="G217" s="309">
        <f t="shared" si="74"/>
        <v>0</v>
      </c>
      <c r="H217" s="309">
        <f>H210+H216</f>
        <v>0</v>
      </c>
      <c r="I217" s="309">
        <f t="shared" si="74"/>
        <v>0</v>
      </c>
      <c r="J217" s="309">
        <f t="shared" si="74"/>
        <v>0</v>
      </c>
      <c r="K217" s="309">
        <f t="shared" si="74"/>
        <v>0</v>
      </c>
      <c r="L217" s="309">
        <f t="shared" si="74"/>
        <v>0</v>
      </c>
      <c r="M217" s="309">
        <f t="shared" si="74"/>
        <v>0</v>
      </c>
      <c r="N217" s="309">
        <f t="shared" si="74"/>
        <v>0</v>
      </c>
      <c r="O217" s="309">
        <f t="shared" si="74"/>
        <v>0</v>
      </c>
      <c r="P217" s="280">
        <f t="shared" si="74"/>
        <v>40929773.350000001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3767904.65</v>
      </c>
      <c r="E219" s="11">
        <v>4376586.3</v>
      </c>
      <c r="F219" s="11">
        <v>6356914.1100000003</v>
      </c>
      <c r="G219" s="11"/>
      <c r="H219" s="11"/>
      <c r="I219" s="11"/>
      <c r="J219" s="11"/>
      <c r="K219" s="436"/>
      <c r="L219" s="11"/>
      <c r="M219" s="11"/>
      <c r="N219" s="11"/>
      <c r="O219" s="11"/>
      <c r="P219" s="8">
        <f>SUM(D219:O219)</f>
        <v>14501405.059999999</v>
      </c>
    </row>
    <row r="220" spans="1:16" ht="15.75" x14ac:dyDescent="0.25">
      <c r="A220" s="331" t="s">
        <v>34</v>
      </c>
      <c r="B220" s="332"/>
      <c r="C220" s="4" t="s">
        <v>31</v>
      </c>
      <c r="D220" s="11">
        <v>1530.24</v>
      </c>
      <c r="E220" s="11">
        <v>5164.5600000000004</v>
      </c>
      <c r="F220" s="11">
        <v>5929.68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12624.48</v>
      </c>
    </row>
    <row r="221" spans="1:16" ht="15.75" x14ac:dyDescent="0.25">
      <c r="A221" s="331" t="s">
        <v>33</v>
      </c>
      <c r="B221" s="332"/>
      <c r="C221" s="4" t="s">
        <v>31</v>
      </c>
      <c r="D221" s="11">
        <v>19059.63</v>
      </c>
      <c r="E221" s="11">
        <v>30400.45</v>
      </c>
      <c r="F221" s="11">
        <v>30400.45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79860.53</v>
      </c>
    </row>
    <row r="222" spans="1:16" ht="15.75" x14ac:dyDescent="0.25">
      <c r="A222" s="331" t="s">
        <v>32</v>
      </c>
      <c r="B222" s="332"/>
      <c r="C222" s="4" t="s">
        <v>31</v>
      </c>
      <c r="D222" s="11">
        <v>55597.51</v>
      </c>
      <c r="E222" s="11">
        <v>58983.15</v>
      </c>
      <c r="F222" s="11">
        <v>43800.88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158381.54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3844092.03</v>
      </c>
      <c r="E223" s="396">
        <f t="shared" ref="E223" si="75">SUM(E219:E222)</f>
        <v>4471134.46</v>
      </c>
      <c r="F223" s="396">
        <f>SUM(F219:F222)</f>
        <v>6437045.1200000001</v>
      </c>
      <c r="G223" s="309">
        <f>SUM(G219:G222)</f>
        <v>0</v>
      </c>
      <c r="H223" s="309">
        <f t="shared" ref="H223:O223" si="76">SUM(H219:H222)</f>
        <v>0</v>
      </c>
      <c r="I223" s="309">
        <f t="shared" si="76"/>
        <v>0</v>
      </c>
      <c r="J223" s="315">
        <f t="shared" si="76"/>
        <v>0</v>
      </c>
      <c r="K223" s="315">
        <f t="shared" si="76"/>
        <v>0</v>
      </c>
      <c r="L223" s="315">
        <f t="shared" si="76"/>
        <v>0</v>
      </c>
      <c r="M223" s="315">
        <f t="shared" si="76"/>
        <v>0</v>
      </c>
      <c r="N223" s="315">
        <f t="shared" si="76"/>
        <v>0</v>
      </c>
      <c r="O223" s="315">
        <f t="shared" si="76"/>
        <v>0</v>
      </c>
      <c r="P223" s="8">
        <f>SUM(D223:O223)</f>
        <v>14752271.609999999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7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7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7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7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7387965.3599999994</v>
      </c>
      <c r="E229" s="11">
        <v>9224298.4499999993</v>
      </c>
      <c r="F229" s="11">
        <v>7754866.169999999</v>
      </c>
      <c r="G229" s="11"/>
      <c r="H229" s="10"/>
      <c r="I229" s="10"/>
      <c r="J229" s="10"/>
      <c r="K229" s="427"/>
      <c r="L229" s="427"/>
      <c r="M229" s="427"/>
      <c r="N229" s="427"/>
      <c r="O229" s="10"/>
      <c r="P229" s="8">
        <f t="shared" si="77"/>
        <v>24367129.979999997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11232057.389999999</v>
      </c>
      <c r="E230" s="314">
        <f t="shared" ref="E230:O230" si="78">E223+E229</f>
        <v>13695432.91</v>
      </c>
      <c r="F230" s="314">
        <f t="shared" si="78"/>
        <v>14191911.289999999</v>
      </c>
      <c r="G230" s="314">
        <f t="shared" si="78"/>
        <v>0</v>
      </c>
      <c r="H230" s="314">
        <f t="shared" si="78"/>
        <v>0</v>
      </c>
      <c r="I230" s="314">
        <f t="shared" si="78"/>
        <v>0</v>
      </c>
      <c r="J230" s="314">
        <f t="shared" si="78"/>
        <v>0</v>
      </c>
      <c r="K230" s="314">
        <f t="shared" si="78"/>
        <v>0</v>
      </c>
      <c r="L230" s="314">
        <f t="shared" si="78"/>
        <v>0</v>
      </c>
      <c r="M230" s="314">
        <f t="shared" si="78"/>
        <v>0</v>
      </c>
      <c r="N230" s="314">
        <f t="shared" si="78"/>
        <v>0</v>
      </c>
      <c r="O230" s="314">
        <f t="shared" si="78"/>
        <v>0</v>
      </c>
      <c r="P230" s="8">
        <f t="shared" si="77"/>
        <v>39119401.589999996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436675.02</v>
      </c>
      <c r="E232" s="11">
        <v>436675</v>
      </c>
      <c r="F232" s="11">
        <v>431709.64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1305059.6600000001</v>
      </c>
    </row>
    <row r="233" spans="1:16" ht="15.75" x14ac:dyDescent="0.25">
      <c r="A233" s="331" t="s">
        <v>28</v>
      </c>
      <c r="B233" s="332"/>
      <c r="C233" s="4" t="s">
        <v>18</v>
      </c>
      <c r="D233" s="11">
        <v>382.56</v>
      </c>
      <c r="E233" s="11">
        <v>382.56</v>
      </c>
      <c r="F233" s="11">
        <v>382.56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1147.68</v>
      </c>
    </row>
    <row r="234" spans="1:16" ht="15.75" x14ac:dyDescent="0.25">
      <c r="A234" s="331" t="s">
        <v>27</v>
      </c>
      <c r="B234" s="332"/>
      <c r="C234" s="4" t="s">
        <v>18</v>
      </c>
      <c r="D234" s="11">
        <v>3393.64</v>
      </c>
      <c r="E234" s="11">
        <v>3393.64</v>
      </c>
      <c r="F234" s="11">
        <v>3393.64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10180.92</v>
      </c>
    </row>
    <row r="235" spans="1:16" ht="15.75" x14ac:dyDescent="0.25">
      <c r="A235" s="331" t="s">
        <v>26</v>
      </c>
      <c r="B235" s="332"/>
      <c r="C235" s="4" t="s">
        <v>18</v>
      </c>
      <c r="D235" s="11">
        <v>23186.7</v>
      </c>
      <c r="E235" s="11">
        <v>23186.7</v>
      </c>
      <c r="F235" s="11">
        <v>18549.36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64922.76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9">SUM(D232:D235)</f>
        <v>463637.92000000004</v>
      </c>
      <c r="E236" s="314">
        <f t="shared" si="79"/>
        <v>463637.9</v>
      </c>
      <c r="F236" s="314">
        <f t="shared" si="79"/>
        <v>454035.20000000001</v>
      </c>
      <c r="G236" s="314">
        <f t="shared" si="79"/>
        <v>0</v>
      </c>
      <c r="H236" s="314">
        <f t="shared" si="79"/>
        <v>0</v>
      </c>
      <c r="I236" s="314">
        <f t="shared" si="79"/>
        <v>0</v>
      </c>
      <c r="J236" s="314">
        <f t="shared" si="79"/>
        <v>0</v>
      </c>
      <c r="K236" s="314">
        <f t="shared" si="79"/>
        <v>0</v>
      </c>
      <c r="L236" s="314">
        <f t="shared" si="79"/>
        <v>0</v>
      </c>
      <c r="M236" s="314">
        <f t="shared" si="79"/>
        <v>0</v>
      </c>
      <c r="N236" s="314">
        <f t="shared" si="79"/>
        <v>0</v>
      </c>
      <c r="O236" s="314">
        <f t="shared" si="79"/>
        <v>0</v>
      </c>
      <c r="P236" s="280">
        <f t="shared" si="79"/>
        <v>1381311.02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694754</v>
      </c>
      <c r="E238" s="11">
        <v>694754</v>
      </c>
      <c r="F238" s="11">
        <v>686717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2076225</v>
      </c>
    </row>
    <row r="239" spans="1:16" ht="15.75" x14ac:dyDescent="0.25">
      <c r="A239" s="331" t="s">
        <v>22</v>
      </c>
      <c r="B239" s="332"/>
      <c r="C239" s="4" t="s">
        <v>18</v>
      </c>
      <c r="D239" s="11">
        <v>1786</v>
      </c>
      <c r="E239" s="11">
        <v>1786</v>
      </c>
      <c r="F239" s="11">
        <v>1786</v>
      </c>
      <c r="G239" s="11"/>
      <c r="H239" s="11"/>
      <c r="I239" s="11"/>
      <c r="J239" s="13"/>
      <c r="K239" s="13"/>
      <c r="L239" s="13"/>
      <c r="M239" s="13"/>
      <c r="N239" s="13"/>
      <c r="O239" s="11"/>
      <c r="P239" s="8">
        <f>SUM(D239:O239)</f>
        <v>5358</v>
      </c>
    </row>
    <row r="240" spans="1:16" ht="15.75" x14ac:dyDescent="0.25">
      <c r="A240" s="331" t="s">
        <v>21</v>
      </c>
      <c r="B240" s="332"/>
      <c r="C240" s="4" t="s">
        <v>18</v>
      </c>
      <c r="D240" s="11">
        <v>893</v>
      </c>
      <c r="E240" s="11">
        <v>893</v>
      </c>
      <c r="F240" s="11">
        <v>893</v>
      </c>
      <c r="G240" s="11"/>
      <c r="H240" s="11"/>
      <c r="I240" s="11"/>
      <c r="J240" s="13"/>
      <c r="K240" s="13"/>
      <c r="L240" s="13"/>
      <c r="M240" s="13"/>
      <c r="N240" s="13"/>
      <c r="O240" s="11"/>
      <c r="P240" s="8">
        <f>SUM(D240:O240)</f>
        <v>2679</v>
      </c>
    </row>
    <row r="241" spans="1:17" ht="15.75" x14ac:dyDescent="0.25">
      <c r="A241" s="331" t="s">
        <v>20</v>
      </c>
      <c r="B241" s="332"/>
      <c r="C241" s="4" t="s">
        <v>18</v>
      </c>
      <c r="D241" s="11">
        <v>4465</v>
      </c>
      <c r="E241" s="11">
        <v>4465</v>
      </c>
      <c r="F241" s="11">
        <v>3572</v>
      </c>
      <c r="G241" s="11"/>
      <c r="H241" s="11"/>
      <c r="I241" s="11"/>
      <c r="J241" s="13"/>
      <c r="K241" s="13"/>
      <c r="L241" s="13"/>
      <c r="M241" s="13"/>
      <c r="N241" s="13"/>
      <c r="O241" s="11"/>
      <c r="P241" s="8">
        <f>SUM(D241:O241)</f>
        <v>12502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80">SUM(D238:D241)</f>
        <v>701898</v>
      </c>
      <c r="E242" s="314">
        <f t="shared" ref="E242:P242" si="81">SUM(E238:E241)</f>
        <v>701898</v>
      </c>
      <c r="F242" s="314">
        <f t="shared" si="81"/>
        <v>692968</v>
      </c>
      <c r="G242" s="314">
        <f t="shared" si="81"/>
        <v>0</v>
      </c>
      <c r="H242" s="314">
        <f t="shared" si="81"/>
        <v>0</v>
      </c>
      <c r="I242" s="309">
        <f t="shared" si="81"/>
        <v>0</v>
      </c>
      <c r="J242" s="314">
        <f t="shared" si="81"/>
        <v>0</v>
      </c>
      <c r="K242" s="314">
        <f t="shared" si="81"/>
        <v>0</v>
      </c>
      <c r="L242" s="314">
        <f t="shared" si="81"/>
        <v>0</v>
      </c>
      <c r="M242" s="314">
        <f t="shared" si="81"/>
        <v>0</v>
      </c>
      <c r="N242" s="314">
        <f t="shared" si="81"/>
        <v>0</v>
      </c>
      <c r="O242" s="314">
        <f t="shared" si="81"/>
        <v>0</v>
      </c>
      <c r="P242" s="280">
        <f t="shared" si="81"/>
        <v>2096764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12397593.309999999</v>
      </c>
      <c r="E243" s="309">
        <f t="shared" ref="E243:O243" si="82">E230+E236+E242</f>
        <v>14860968.810000001</v>
      </c>
      <c r="F243" s="309">
        <f t="shared" si="82"/>
        <v>15338914.489999998</v>
      </c>
      <c r="G243" s="309">
        <f t="shared" si="82"/>
        <v>0</v>
      </c>
      <c r="H243" s="309">
        <f t="shared" si="82"/>
        <v>0</v>
      </c>
      <c r="I243" s="309">
        <f t="shared" si="82"/>
        <v>0</v>
      </c>
      <c r="J243" s="309">
        <f t="shared" si="82"/>
        <v>0</v>
      </c>
      <c r="K243" s="309">
        <f t="shared" si="82"/>
        <v>0</v>
      </c>
      <c r="L243" s="309">
        <f t="shared" si="82"/>
        <v>0</v>
      </c>
      <c r="M243" s="309">
        <f t="shared" si="82"/>
        <v>0</v>
      </c>
      <c r="N243" s="309">
        <f t="shared" si="82"/>
        <v>0</v>
      </c>
      <c r="O243" s="309">
        <f t="shared" si="82"/>
        <v>0</v>
      </c>
      <c r="P243" s="280">
        <f>P216+P223+P236+P242</f>
        <v>43617069.830000006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45433786.009999998</v>
      </c>
      <c r="E245" s="139">
        <v>44630315.299999997</v>
      </c>
      <c r="F245" s="139">
        <v>86372456.099999994</v>
      </c>
      <c r="G245" s="397"/>
      <c r="H245" s="139"/>
      <c r="I245" s="139"/>
      <c r="J245" s="397"/>
      <c r="K245" s="139"/>
      <c r="L245" s="139"/>
      <c r="M245" s="139"/>
      <c r="N245" s="139"/>
      <c r="O245" s="139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>
        <v>27100935.77</v>
      </c>
      <c r="E246" s="139">
        <v>27100935.77</v>
      </c>
      <c r="F246" s="139">
        <v>27100935.77</v>
      </c>
      <c r="G246" s="397"/>
      <c r="H246" s="139"/>
      <c r="I246" s="139"/>
      <c r="J246" s="397"/>
      <c r="K246" s="139"/>
      <c r="L246" s="139"/>
      <c r="M246" s="139"/>
      <c r="N246" s="139"/>
      <c r="O246" s="139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72534721.780000001</v>
      </c>
      <c r="E247" s="129">
        <f t="shared" ref="E247:P247" si="83">E245+E246</f>
        <v>71731251.069999993</v>
      </c>
      <c r="F247" s="129">
        <f t="shared" si="83"/>
        <v>113473391.86999999</v>
      </c>
      <c r="G247" s="129">
        <f t="shared" si="83"/>
        <v>0</v>
      </c>
      <c r="H247" s="129">
        <f t="shared" si="83"/>
        <v>0</v>
      </c>
      <c r="I247" s="129">
        <f t="shared" si="83"/>
        <v>0</v>
      </c>
      <c r="J247" s="129">
        <f t="shared" si="83"/>
        <v>0</v>
      </c>
      <c r="K247" s="129">
        <f t="shared" si="83"/>
        <v>0</v>
      </c>
      <c r="L247" s="129">
        <f t="shared" si="83"/>
        <v>0</v>
      </c>
      <c r="M247" s="129">
        <f t="shared" si="83"/>
        <v>0</v>
      </c>
      <c r="N247" s="129">
        <f t="shared" si="83"/>
        <v>0</v>
      </c>
      <c r="O247" s="129">
        <f t="shared" si="83"/>
        <v>0</v>
      </c>
      <c r="P247" s="317">
        <f t="shared" si="83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157.03478775349507</v>
      </c>
      <c r="E249" s="7">
        <f t="shared" ref="E249:P249" si="84">E58/E243%</f>
        <v>116.86905427937573</v>
      </c>
      <c r="F249" s="7">
        <f t="shared" si="84"/>
        <v>105.95042601153453</v>
      </c>
      <c r="G249" s="7" t="e">
        <f t="shared" si="84"/>
        <v>#DIV/0!</v>
      </c>
      <c r="H249" s="7" t="e">
        <f t="shared" si="84"/>
        <v>#DIV/0!</v>
      </c>
      <c r="I249" s="7" t="e">
        <f t="shared" si="84"/>
        <v>#DIV/0!</v>
      </c>
      <c r="J249" s="7" t="e">
        <f t="shared" si="84"/>
        <v>#DIV/0!</v>
      </c>
      <c r="K249" s="7" t="e">
        <f t="shared" si="84"/>
        <v>#DIV/0!</v>
      </c>
      <c r="L249" s="7" t="e">
        <f t="shared" si="84"/>
        <v>#DIV/0!</v>
      </c>
      <c r="M249" s="7" t="e">
        <f t="shared" si="84"/>
        <v>#DIV/0!</v>
      </c>
      <c r="N249" s="7" t="e">
        <f t="shared" si="84"/>
        <v>#DIV/0!</v>
      </c>
      <c r="O249" s="7"/>
      <c r="P249" s="318">
        <f t="shared" si="84"/>
        <v>121.71393791585196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8.355723021713132</v>
      </c>
      <c r="E250" s="25">
        <f t="shared" ref="E250:P250" si="85">E210/(E223+E245)%</f>
        <v>14.953328620413426</v>
      </c>
      <c r="F250" s="25">
        <f t="shared" si="85"/>
        <v>4.3995775823866667</v>
      </c>
      <c r="G250" s="25" t="e">
        <f t="shared" si="85"/>
        <v>#DIV/0!</v>
      </c>
      <c r="H250" s="25" t="e">
        <f t="shared" si="85"/>
        <v>#DIV/0!</v>
      </c>
      <c r="I250" s="25" t="e">
        <f t="shared" si="85"/>
        <v>#DIV/0!</v>
      </c>
      <c r="J250" s="25" t="e">
        <f t="shared" si="85"/>
        <v>#DIV/0!</v>
      </c>
      <c r="K250" s="25" t="e">
        <f t="shared" si="85"/>
        <v>#DIV/0!</v>
      </c>
      <c r="L250" s="25" t="e">
        <f t="shared" si="85"/>
        <v>#DIV/0!</v>
      </c>
      <c r="M250" s="25" t="e">
        <f t="shared" si="85"/>
        <v>#DIV/0!</v>
      </c>
      <c r="N250" s="25" t="e">
        <f t="shared" si="85"/>
        <v>#DIV/0!</v>
      </c>
      <c r="O250" s="25"/>
      <c r="P250" s="301">
        <f t="shared" si="85"/>
        <v>105.36038490142741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107.11301831137483</v>
      </c>
      <c r="E251" s="6">
        <f t="shared" ref="E251:P251" si="86">E210/E223%</f>
        <v>164.21561922787714</v>
      </c>
      <c r="F251" s="6">
        <f t="shared" si="86"/>
        <v>63.433235807425874</v>
      </c>
      <c r="G251" s="6" t="e">
        <f t="shared" si="86"/>
        <v>#DIV/0!</v>
      </c>
      <c r="H251" s="6" t="e">
        <f t="shared" si="86"/>
        <v>#DIV/0!</v>
      </c>
      <c r="I251" s="6" t="e">
        <f t="shared" si="86"/>
        <v>#DIV/0!</v>
      </c>
      <c r="J251" s="6" t="e">
        <f t="shared" si="86"/>
        <v>#DIV/0!</v>
      </c>
      <c r="K251" s="6" t="e">
        <f t="shared" si="86"/>
        <v>#DIV/0!</v>
      </c>
      <c r="L251" s="6" t="e">
        <f t="shared" si="86"/>
        <v>#DIV/0!</v>
      </c>
      <c r="M251" s="6" t="e">
        <f t="shared" si="86"/>
        <v>#DIV/0!</v>
      </c>
      <c r="N251" s="6" t="e">
        <f t="shared" si="86"/>
        <v>#DIV/0!</v>
      </c>
      <c r="O251" s="6"/>
      <c r="P251" s="319">
        <f t="shared" si="86"/>
        <v>105.36038490142741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22</v>
      </c>
      <c r="E253" s="3">
        <v>13</v>
      </c>
      <c r="F253" s="3">
        <f>F91</f>
        <v>19</v>
      </c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54</v>
      </c>
    </row>
    <row r="254" spans="1:17" ht="15.75" x14ac:dyDescent="0.25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3</v>
      </c>
    </row>
    <row r="255" spans="1:17" ht="15.75" customHeight="1" x14ac:dyDescent="0.25">
      <c r="A255" s="331" t="s">
        <v>11</v>
      </c>
      <c r="B255" s="332"/>
      <c r="C255" s="4" t="s">
        <v>3</v>
      </c>
      <c r="D255" s="3">
        <v>50</v>
      </c>
      <c r="E255" s="3">
        <f>E95</f>
        <v>42</v>
      </c>
      <c r="F255" s="3">
        <f t="shared" ref="F255:N255" si="87">F95</f>
        <v>43</v>
      </c>
      <c r="G255" s="3">
        <f t="shared" si="87"/>
        <v>43</v>
      </c>
      <c r="H255" s="3">
        <f t="shared" si="87"/>
        <v>43</v>
      </c>
      <c r="I255" s="3">
        <f>I95</f>
        <v>43</v>
      </c>
      <c r="J255" s="3">
        <f t="shared" si="87"/>
        <v>43</v>
      </c>
      <c r="K255" s="3">
        <f t="shared" si="87"/>
        <v>43</v>
      </c>
      <c r="L255" s="3">
        <f t="shared" si="87"/>
        <v>43</v>
      </c>
      <c r="M255" s="3">
        <f t="shared" si="87"/>
        <v>43</v>
      </c>
      <c r="N255" s="3">
        <f t="shared" si="87"/>
        <v>43</v>
      </c>
      <c r="O255" s="3"/>
      <c r="P255" s="410">
        <f>SUM(D255:O255)</f>
        <v>479</v>
      </c>
    </row>
    <row r="256" spans="1:17" ht="15.75" x14ac:dyDescent="0.25">
      <c r="A256" s="331" t="s">
        <v>10</v>
      </c>
      <c r="B256" s="332"/>
      <c r="C256" s="4" t="s">
        <v>3</v>
      </c>
      <c r="D256" s="3">
        <v>50</v>
      </c>
      <c r="E256" s="3">
        <v>42</v>
      </c>
      <c r="F256" s="3">
        <v>43</v>
      </c>
      <c r="G256" s="3">
        <f t="shared" ref="G256:N256" si="88">G91</f>
        <v>0</v>
      </c>
      <c r="H256" s="3">
        <f t="shared" si="88"/>
        <v>0</v>
      </c>
      <c r="I256" s="3">
        <f>I91</f>
        <v>0</v>
      </c>
      <c r="J256" s="3">
        <f t="shared" si="88"/>
        <v>0</v>
      </c>
      <c r="K256" s="3">
        <f t="shared" si="88"/>
        <v>0</v>
      </c>
      <c r="L256" s="3">
        <f t="shared" si="88"/>
        <v>0</v>
      </c>
      <c r="M256" s="3">
        <f t="shared" si="88"/>
        <v>0</v>
      </c>
      <c r="N256" s="3">
        <f t="shared" si="88"/>
        <v>0</v>
      </c>
      <c r="O256" s="3"/>
      <c r="P256" s="320">
        <f>SUM(D256:O256)</f>
        <v>135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7</v>
      </c>
      <c r="E257" s="3">
        <v>7</v>
      </c>
      <c r="F257" s="3">
        <v>7</v>
      </c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21</v>
      </c>
    </row>
    <row r="258" spans="1:16" ht="15.75" x14ac:dyDescent="0.25">
      <c r="A258" s="333" t="s">
        <v>8</v>
      </c>
      <c r="B258" s="334"/>
      <c r="C258" s="4" t="s">
        <v>3</v>
      </c>
      <c r="D258" s="398">
        <f t="shared" ref="D258:P258" si="89">D257/D256</f>
        <v>0.14000000000000001</v>
      </c>
      <c r="E258" s="398">
        <f t="shared" si="89"/>
        <v>0.16666666666666666</v>
      </c>
      <c r="F258" s="398">
        <f t="shared" si="89"/>
        <v>0.16279069767441862</v>
      </c>
      <c r="G258" s="398" t="e">
        <f t="shared" si="89"/>
        <v>#DIV/0!</v>
      </c>
      <c r="H258" s="398" t="e">
        <f t="shared" si="89"/>
        <v>#DIV/0!</v>
      </c>
      <c r="I258" s="398" t="e">
        <f t="shared" si="89"/>
        <v>#DIV/0!</v>
      </c>
      <c r="J258" s="398" t="e">
        <f>J257/J256</f>
        <v>#DIV/0!</v>
      </c>
      <c r="K258" s="398" t="e">
        <f t="shared" si="89"/>
        <v>#DIV/0!</v>
      </c>
      <c r="L258" s="398" t="e">
        <f t="shared" si="89"/>
        <v>#DIV/0!</v>
      </c>
      <c r="M258" s="398" t="e">
        <f t="shared" si="89"/>
        <v>#DIV/0!</v>
      </c>
      <c r="N258" s="398" t="e">
        <f t="shared" si="89"/>
        <v>#DIV/0!</v>
      </c>
      <c r="O258" s="398" t="e">
        <f t="shared" si="89"/>
        <v>#DIV/0!</v>
      </c>
      <c r="P258" s="320">
        <f t="shared" si="89"/>
        <v>0.15555555555555556</v>
      </c>
    </row>
    <row r="259" spans="1:16" ht="15.75" x14ac:dyDescent="0.25">
      <c r="A259" s="333" t="s">
        <v>7</v>
      </c>
      <c r="B259" s="334"/>
      <c r="C259" s="4" t="s">
        <v>6</v>
      </c>
      <c r="D259" s="1">
        <f>D92/D255*100</f>
        <v>0</v>
      </c>
      <c r="E259" s="1">
        <f t="shared" ref="E259:P259" si="90">E92/E255*100</f>
        <v>0</v>
      </c>
      <c r="F259" s="1">
        <f t="shared" si="90"/>
        <v>11.627906976744185</v>
      </c>
      <c r="G259" s="1">
        <f>G92/G255*100</f>
        <v>0</v>
      </c>
      <c r="H259" s="1">
        <f t="shared" si="90"/>
        <v>0</v>
      </c>
      <c r="I259" s="1">
        <f t="shared" si="90"/>
        <v>0</v>
      </c>
      <c r="J259" s="1">
        <f t="shared" si="90"/>
        <v>0</v>
      </c>
      <c r="K259" s="1">
        <f t="shared" si="90"/>
        <v>0</v>
      </c>
      <c r="L259" s="1">
        <f t="shared" si="90"/>
        <v>0</v>
      </c>
      <c r="M259" s="1">
        <f t="shared" si="90"/>
        <v>0</v>
      </c>
      <c r="N259" s="1">
        <f t="shared" si="90"/>
        <v>0</v>
      </c>
      <c r="O259" s="1" t="e">
        <f t="shared" si="90"/>
        <v>#DIV/0!</v>
      </c>
      <c r="P259" s="321">
        <f t="shared" si="90"/>
        <v>1.0438413361169103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15</v>
      </c>
      <c r="E261" s="3">
        <v>10</v>
      </c>
      <c r="F261" s="3">
        <v>14</v>
      </c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39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10</v>
      </c>
      <c r="E262" s="3">
        <v>3</v>
      </c>
      <c r="F262" s="3">
        <v>30</v>
      </c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43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1.5</v>
      </c>
      <c r="E263" s="106">
        <f t="shared" ref="E263:P263" si="91">E261/E262</f>
        <v>3.3333333333333335</v>
      </c>
      <c r="F263" s="106">
        <f t="shared" si="91"/>
        <v>0.46666666666666667</v>
      </c>
      <c r="G263" s="106" t="e">
        <f t="shared" si="91"/>
        <v>#DIV/0!</v>
      </c>
      <c r="H263" s="106" t="e">
        <f t="shared" si="91"/>
        <v>#DIV/0!</v>
      </c>
      <c r="I263" s="106" t="e">
        <f t="shared" si="91"/>
        <v>#DIV/0!</v>
      </c>
      <c r="J263" s="106" t="e">
        <f t="shared" si="91"/>
        <v>#DIV/0!</v>
      </c>
      <c r="K263" s="106" t="e">
        <f t="shared" si="91"/>
        <v>#DIV/0!</v>
      </c>
      <c r="L263" s="106" t="e">
        <f t="shared" si="91"/>
        <v>#DIV/0!</v>
      </c>
      <c r="M263" s="106" t="e">
        <f t="shared" si="91"/>
        <v>#DIV/0!</v>
      </c>
      <c r="N263" s="106" t="e">
        <f t="shared" si="91"/>
        <v>#DIV/0!</v>
      </c>
      <c r="O263" s="106" t="e">
        <f t="shared" si="91"/>
        <v>#DIV/0!</v>
      </c>
      <c r="P263" s="167">
        <f t="shared" si="91"/>
        <v>0.90697674418604646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63"/>
  <sheetViews>
    <sheetView tabSelected="1" zoomScale="91" zoomScaleNormal="9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261" sqref="F261:F262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43194</v>
      </c>
      <c r="E9" s="52">
        <v>47903</v>
      </c>
      <c r="F9" s="52">
        <v>48675</v>
      </c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139772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15725</v>
      </c>
      <c r="E11" s="22">
        <v>15973</v>
      </c>
      <c r="F11" s="22">
        <v>18757</v>
      </c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50455</v>
      </c>
    </row>
    <row r="12" spans="1:16" ht="15.75" x14ac:dyDescent="0.25">
      <c r="A12" s="338" t="s">
        <v>158</v>
      </c>
      <c r="B12" s="339"/>
      <c r="C12" s="4" t="s">
        <v>154</v>
      </c>
      <c r="D12" s="22">
        <v>813</v>
      </c>
      <c r="E12" s="22">
        <v>877</v>
      </c>
      <c r="F12" s="22">
        <v>1050</v>
      </c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2740</v>
      </c>
    </row>
    <row r="13" spans="1:16" ht="15.75" x14ac:dyDescent="0.25">
      <c r="A13" s="338" t="s">
        <v>157</v>
      </c>
      <c r="B13" s="339"/>
      <c r="C13" s="4" t="s">
        <v>154</v>
      </c>
      <c r="D13" s="22">
        <v>117</v>
      </c>
      <c r="E13" s="22">
        <v>85</v>
      </c>
      <c r="F13" s="22">
        <v>161</v>
      </c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363</v>
      </c>
    </row>
    <row r="14" spans="1:16" ht="15.75" x14ac:dyDescent="0.25">
      <c r="A14" s="331" t="s">
        <v>156</v>
      </c>
      <c r="B14" s="332"/>
      <c r="C14" s="4" t="s">
        <v>154</v>
      </c>
      <c r="D14" s="22">
        <v>113</v>
      </c>
      <c r="E14" s="22">
        <v>240</v>
      </c>
      <c r="F14" s="22">
        <v>219</v>
      </c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572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" si="0">SUM(D11:D14)</f>
        <v>16768</v>
      </c>
      <c r="E15" s="258">
        <f t="shared" ref="E15" si="1">SUM(E11:E14)</f>
        <v>17175</v>
      </c>
      <c r="F15" s="258">
        <f t="shared" ref="F15" si="2">SUM(F11:F14)</f>
        <v>20187</v>
      </c>
      <c r="G15" s="258">
        <f t="shared" ref="G15" si="3">SUM(G11:G14)</f>
        <v>0</v>
      </c>
      <c r="H15" s="258">
        <f t="shared" ref="H15" si="4">SUM(H11:H14)</f>
        <v>0</v>
      </c>
      <c r="I15" s="258">
        <f t="shared" ref="I15" si="5">SUM(I11:I14)</f>
        <v>0</v>
      </c>
      <c r="J15" s="258">
        <f t="shared" ref="J15" si="6">SUM(J11:J14)</f>
        <v>0</v>
      </c>
      <c r="K15" s="258">
        <f t="shared" ref="K15" si="7">SUM(K11:K14)</f>
        <v>0</v>
      </c>
      <c r="L15" s="258">
        <f t="shared" ref="L15" si="8">SUM(L11:L14)</f>
        <v>0</v>
      </c>
      <c r="M15" s="258">
        <f t="shared" ref="M15" si="9">SUM(M11:M14)</f>
        <v>0</v>
      </c>
      <c r="N15" s="258">
        <f t="shared" ref="N15:O15" si="10">SUM(N11:N14)</f>
        <v>0</v>
      </c>
      <c r="O15" s="258">
        <f t="shared" si="10"/>
        <v>0</v>
      </c>
      <c r="P15" s="257">
        <f t="shared" ref="P15" si="11">SUM(P11:P14)</f>
        <v>54130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7965.5299999999961</v>
      </c>
      <c r="E17" s="22">
        <v>8716.5000000000127</v>
      </c>
      <c r="F17" s="22">
        <v>8365.2000000000062</v>
      </c>
      <c r="G17" s="339"/>
      <c r="H17" s="339"/>
      <c r="I17" s="339"/>
      <c r="J17" s="339"/>
      <c r="K17" s="339"/>
      <c r="L17" s="22"/>
      <c r="M17" s="22"/>
      <c r="N17" s="22"/>
      <c r="O17" s="339"/>
      <c r="P17" s="257">
        <f>SUM(D17:O17)</f>
        <v>25047.230000000018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339"/>
      <c r="L18" s="22"/>
      <c r="M18" s="22"/>
      <c r="N18" s="22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5415.6299999999992</v>
      </c>
      <c r="E19" s="22">
        <v>6954.9</v>
      </c>
      <c r="F19" s="22">
        <v>5241.7999999999984</v>
      </c>
      <c r="G19" s="339"/>
      <c r="H19" s="339"/>
      <c r="I19" s="339"/>
      <c r="J19" s="339"/>
      <c r="K19" s="339"/>
      <c r="L19" s="22"/>
      <c r="M19" s="22"/>
      <c r="N19" s="22"/>
      <c r="O19" s="339"/>
      <c r="P19" s="257">
        <f>SUM(D19:O19)</f>
        <v>17612.329999999998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714</v>
      </c>
      <c r="E20" s="22">
        <v>988.99999999999989</v>
      </c>
      <c r="F20" s="22">
        <v>916</v>
      </c>
      <c r="G20" s="22"/>
      <c r="H20" s="332"/>
      <c r="I20" s="332"/>
      <c r="J20" s="332"/>
      <c r="K20" s="332"/>
      <c r="L20" s="22"/>
      <c r="M20" s="22"/>
      <c r="N20" s="22"/>
      <c r="O20" s="332"/>
      <c r="P20" s="257">
        <f>SUM(D20:O20)</f>
        <v>2619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14095.159999999996</v>
      </c>
      <c r="E21" s="258">
        <f t="shared" ref="E21:P21" si="12">SUM(E17:E20)</f>
        <v>16660.400000000012</v>
      </c>
      <c r="F21" s="258">
        <f t="shared" si="12"/>
        <v>14523.000000000004</v>
      </c>
      <c r="G21" s="258">
        <f t="shared" si="12"/>
        <v>0</v>
      </c>
      <c r="H21" s="258">
        <f t="shared" si="12"/>
        <v>0</v>
      </c>
      <c r="I21" s="258">
        <f t="shared" si="12"/>
        <v>0</v>
      </c>
      <c r="J21" s="258">
        <f t="shared" si="12"/>
        <v>0</v>
      </c>
      <c r="K21" s="258">
        <f t="shared" si="12"/>
        <v>0</v>
      </c>
      <c r="L21" s="258">
        <f t="shared" si="12"/>
        <v>0</v>
      </c>
      <c r="M21" s="258">
        <f t="shared" si="12"/>
        <v>0</v>
      </c>
      <c r="N21" s="258">
        <f t="shared" si="12"/>
        <v>0</v>
      </c>
      <c r="O21" s="258">
        <f t="shared" si="12"/>
        <v>0</v>
      </c>
      <c r="P21" s="257">
        <f t="shared" si="12"/>
        <v>45278.560000000012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30863.159999999996</v>
      </c>
      <c r="E22" s="258">
        <f t="shared" ref="E22:P22" si="13">E21+E15</f>
        <v>33835.400000000009</v>
      </c>
      <c r="F22" s="258">
        <f t="shared" si="13"/>
        <v>34710</v>
      </c>
      <c r="G22" s="258">
        <f t="shared" si="13"/>
        <v>0</v>
      </c>
      <c r="H22" s="258">
        <f t="shared" si="13"/>
        <v>0</v>
      </c>
      <c r="I22" s="258">
        <f t="shared" si="13"/>
        <v>0</v>
      </c>
      <c r="J22" s="258">
        <f t="shared" si="13"/>
        <v>0</v>
      </c>
      <c r="K22" s="258">
        <f t="shared" si="13"/>
        <v>0</v>
      </c>
      <c r="L22" s="258">
        <f t="shared" si="13"/>
        <v>0</v>
      </c>
      <c r="M22" s="258">
        <f t="shared" si="13"/>
        <v>0</v>
      </c>
      <c r="N22" s="258">
        <f t="shared" si="13"/>
        <v>0</v>
      </c>
      <c r="O22" s="258">
        <f t="shared" si="13"/>
        <v>0</v>
      </c>
      <c r="P22" s="257">
        <f t="shared" si="13"/>
        <v>99408.560000000012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12330.840000000004</v>
      </c>
      <c r="E24" s="261">
        <f t="shared" ref="E24:P24" si="14">E9-E22</f>
        <v>14067.599999999991</v>
      </c>
      <c r="F24" s="261">
        <f t="shared" si="14"/>
        <v>13965</v>
      </c>
      <c r="G24" s="261">
        <f t="shared" si="14"/>
        <v>0</v>
      </c>
      <c r="H24" s="261">
        <f t="shared" si="14"/>
        <v>0</v>
      </c>
      <c r="I24" s="261">
        <f t="shared" si="14"/>
        <v>0</v>
      </c>
      <c r="J24" s="261">
        <f t="shared" si="14"/>
        <v>0</v>
      </c>
      <c r="K24" s="261">
        <f t="shared" si="14"/>
        <v>0</v>
      </c>
      <c r="L24" s="261">
        <f t="shared" si="14"/>
        <v>0</v>
      </c>
      <c r="M24" s="261">
        <f t="shared" si="14"/>
        <v>0</v>
      </c>
      <c r="N24" s="261">
        <f t="shared" si="14"/>
        <v>0</v>
      </c>
      <c r="O24" s="261">
        <f t="shared" si="14"/>
        <v>0</v>
      </c>
      <c r="P24" s="262">
        <f t="shared" si="14"/>
        <v>40363.439999999988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15">D24/D9</f>
        <v>0.28547576052229484</v>
      </c>
      <c r="E25" s="265">
        <f t="shared" si="15"/>
        <v>0.29366845500281802</v>
      </c>
      <c r="F25" s="265">
        <f t="shared" si="15"/>
        <v>0.2869029275808937</v>
      </c>
      <c r="G25" s="265" t="e">
        <f t="shared" si="15"/>
        <v>#DIV/0!</v>
      </c>
      <c r="H25" s="265" t="e">
        <f t="shared" si="15"/>
        <v>#DIV/0!</v>
      </c>
      <c r="I25" s="265" t="e">
        <f t="shared" si="15"/>
        <v>#DIV/0!</v>
      </c>
      <c r="J25" s="265" t="e">
        <f t="shared" si="15"/>
        <v>#DIV/0!</v>
      </c>
      <c r="K25" s="265" t="e">
        <f t="shared" si="15"/>
        <v>#DIV/0!</v>
      </c>
      <c r="L25" s="265" t="e">
        <f t="shared" si="15"/>
        <v>#DIV/0!</v>
      </c>
      <c r="M25" s="265" t="e">
        <f t="shared" si="15"/>
        <v>#DIV/0!</v>
      </c>
      <c r="N25" s="265" t="e">
        <f t="shared" si="15"/>
        <v>#DIV/0!</v>
      </c>
      <c r="O25" s="265" t="e">
        <f t="shared" si="15"/>
        <v>#DIV/0!</v>
      </c>
      <c r="P25" s="266">
        <f t="shared" si="15"/>
        <v>0.28878058552499775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8">
        <v>90</v>
      </c>
      <c r="E29" s="38">
        <v>94</v>
      </c>
      <c r="F29" s="38">
        <v>97</v>
      </c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281</v>
      </c>
    </row>
    <row r="30" spans="1:18" ht="15.75" x14ac:dyDescent="0.25">
      <c r="A30" s="187"/>
      <c r="B30" s="441"/>
      <c r="C30" s="37" t="s">
        <v>141</v>
      </c>
      <c r="D30" s="13">
        <f t="shared" ref="D30:F30" si="16">D29/(D9/1000)</f>
        <v>2.0836227253785249</v>
      </c>
      <c r="E30" s="13">
        <f t="shared" si="16"/>
        <v>1.9622988121829532</v>
      </c>
      <c r="F30" s="13">
        <f t="shared" si="16"/>
        <v>1.9928094504365692</v>
      </c>
      <c r="G30" s="275" t="e">
        <f t="shared" ref="G30:P30" si="17">G29/(G9/1000)</f>
        <v>#DIV/0!</v>
      </c>
      <c r="H30" s="275" t="e">
        <f t="shared" si="17"/>
        <v>#DIV/0!</v>
      </c>
      <c r="I30" s="13" t="e">
        <f t="shared" si="17"/>
        <v>#DIV/0!</v>
      </c>
      <c r="J30" s="13" t="e">
        <f t="shared" si="17"/>
        <v>#DIV/0!</v>
      </c>
      <c r="K30" s="13" t="e">
        <f t="shared" si="17"/>
        <v>#DIV/0!</v>
      </c>
      <c r="L30" s="13" t="e">
        <f t="shared" ref="L30" si="18">L29/(L9/1000)</f>
        <v>#DIV/0!</v>
      </c>
      <c r="M30" s="275" t="e">
        <f t="shared" si="17"/>
        <v>#DIV/0!</v>
      </c>
      <c r="N30" s="275" t="e">
        <f t="shared" si="17"/>
        <v>#DIV/0!</v>
      </c>
      <c r="O30" s="275"/>
      <c r="P30" s="276">
        <f t="shared" si="17"/>
        <v>2.0104169647711991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 t="shared" ref="D32:G32" si="19">D31/(D9/1000)</f>
        <v>0</v>
      </c>
      <c r="E32" s="13">
        <f t="shared" si="19"/>
        <v>0</v>
      </c>
      <c r="F32" s="13">
        <f t="shared" si="19"/>
        <v>0</v>
      </c>
      <c r="G32" s="13" t="e">
        <f t="shared" si="19"/>
        <v>#DIV/0!</v>
      </c>
      <c r="H32" s="275" t="e">
        <f t="shared" ref="H32:P32" si="20">H31/(H9/1000)</f>
        <v>#DIV/0!</v>
      </c>
      <c r="I32" s="275" t="e">
        <f t="shared" si="20"/>
        <v>#DIV/0!</v>
      </c>
      <c r="J32" s="275" t="e">
        <f t="shared" si="20"/>
        <v>#DIV/0!</v>
      </c>
      <c r="K32" s="275" t="e">
        <f t="shared" si="20"/>
        <v>#DIV/0!</v>
      </c>
      <c r="L32" s="275" t="e">
        <f t="shared" si="20"/>
        <v>#DIV/0!</v>
      </c>
      <c r="M32" s="275" t="e">
        <f t="shared" si="20"/>
        <v>#DIV/0!</v>
      </c>
      <c r="N32" s="275" t="e">
        <f t="shared" si="20"/>
        <v>#DIV/0!</v>
      </c>
      <c r="O32" s="275"/>
      <c r="P32" s="276">
        <f t="shared" si="20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 t="shared" ref="D34:G34" si="21">D33/(D9/1000)</f>
        <v>0</v>
      </c>
      <c r="E34" s="13">
        <f t="shared" si="21"/>
        <v>0</v>
      </c>
      <c r="F34" s="13">
        <f t="shared" si="21"/>
        <v>0</v>
      </c>
      <c r="G34" s="13" t="e">
        <f t="shared" si="21"/>
        <v>#DIV/0!</v>
      </c>
      <c r="H34" s="275" t="e">
        <f t="shared" ref="H34:P34" si="22">H33/(H9/1000)</f>
        <v>#DIV/0!</v>
      </c>
      <c r="I34" s="275" t="e">
        <f t="shared" si="22"/>
        <v>#DIV/0!</v>
      </c>
      <c r="J34" s="275" t="e">
        <f t="shared" si="22"/>
        <v>#DIV/0!</v>
      </c>
      <c r="K34" s="275" t="e">
        <f t="shared" si="22"/>
        <v>#DIV/0!</v>
      </c>
      <c r="L34" s="275" t="e">
        <f t="shared" si="22"/>
        <v>#DIV/0!</v>
      </c>
      <c r="M34" s="275" t="e">
        <f t="shared" si="22"/>
        <v>#DIV/0!</v>
      </c>
      <c r="N34" s="275" t="e">
        <f t="shared" si="22"/>
        <v>#DIV/0!</v>
      </c>
      <c r="O34" s="275"/>
      <c r="P34" s="276">
        <f t="shared" si="22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1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 t="shared" ref="D38:F38" si="23">D37/(D9/1000)</f>
        <v>0</v>
      </c>
      <c r="E38" s="13">
        <f t="shared" si="23"/>
        <v>0</v>
      </c>
      <c r="F38" s="13">
        <f t="shared" si="23"/>
        <v>0</v>
      </c>
      <c r="G38" s="275" t="e">
        <f t="shared" ref="G38:P38" si="24">G37/(G9/1000)</f>
        <v>#DIV/0!</v>
      </c>
      <c r="H38" s="275" t="e">
        <f t="shared" si="24"/>
        <v>#DIV/0!</v>
      </c>
      <c r="I38" s="275" t="e">
        <f t="shared" si="24"/>
        <v>#DIV/0!</v>
      </c>
      <c r="J38" s="275" t="e">
        <f t="shared" si="24"/>
        <v>#DIV/0!</v>
      </c>
      <c r="K38" s="275" t="e">
        <f t="shared" si="24"/>
        <v>#DIV/0!</v>
      </c>
      <c r="L38" s="275" t="e">
        <f t="shared" si="24"/>
        <v>#DIV/0!</v>
      </c>
      <c r="M38" s="275" t="e">
        <f t="shared" si="24"/>
        <v>#DIV/0!</v>
      </c>
      <c r="N38" s="275" t="e">
        <f t="shared" si="24"/>
        <v>#DIV/0!</v>
      </c>
      <c r="O38" s="275"/>
      <c r="P38" s="276">
        <f t="shared" si="24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 t="shared" ref="D40:F40" si="25">D39/(D9/1000)</f>
        <v>0</v>
      </c>
      <c r="E40" s="13">
        <f t="shared" si="25"/>
        <v>0</v>
      </c>
      <c r="F40" s="13">
        <f t="shared" si="25"/>
        <v>0</v>
      </c>
      <c r="G40" s="275" t="e">
        <f t="shared" ref="G40:P40" si="26">G39/(G9/1000)</f>
        <v>#DIV/0!</v>
      </c>
      <c r="H40" s="275" t="e">
        <f t="shared" si="26"/>
        <v>#DIV/0!</v>
      </c>
      <c r="I40" s="275" t="e">
        <f t="shared" si="26"/>
        <v>#DIV/0!</v>
      </c>
      <c r="J40" s="275" t="e">
        <f t="shared" si="26"/>
        <v>#DIV/0!</v>
      </c>
      <c r="K40" s="275" t="e">
        <f t="shared" si="26"/>
        <v>#DIV/0!</v>
      </c>
      <c r="L40" s="275" t="e">
        <f t="shared" si="26"/>
        <v>#DIV/0!</v>
      </c>
      <c r="M40" s="275" t="e">
        <f t="shared" si="26"/>
        <v>#DIV/0!</v>
      </c>
      <c r="N40" s="275" t="e">
        <f t="shared" si="26"/>
        <v>#DIV/0!</v>
      </c>
      <c r="O40" s="275"/>
      <c r="P40" s="276">
        <f t="shared" si="26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460050.3</v>
      </c>
      <c r="E41" s="278">
        <f t="shared" ref="E41:O41" si="27">(E29*$B29)+(E31*$B31)+(E33*$B33)+(E35*$B35)+(E37*$B37)+(E39*$B39)</f>
        <v>480496.98</v>
      </c>
      <c r="F41" s="278">
        <f t="shared" si="27"/>
        <v>495831.99</v>
      </c>
      <c r="G41" s="278">
        <f t="shared" si="27"/>
        <v>0</v>
      </c>
      <c r="H41" s="278">
        <f t="shared" si="27"/>
        <v>0</v>
      </c>
      <c r="I41" s="278">
        <f t="shared" si="27"/>
        <v>0</v>
      </c>
      <c r="J41" s="278">
        <f t="shared" si="27"/>
        <v>0</v>
      </c>
      <c r="K41" s="278">
        <f t="shared" si="27"/>
        <v>0</v>
      </c>
      <c r="L41" s="278">
        <f t="shared" si="27"/>
        <v>0</v>
      </c>
      <c r="M41" s="278">
        <f t="shared" si="27"/>
        <v>0</v>
      </c>
      <c r="N41" s="278">
        <f t="shared" si="27"/>
        <v>0</v>
      </c>
      <c r="O41" s="278">
        <f t="shared" si="27"/>
        <v>0</v>
      </c>
      <c r="P41" s="34">
        <f>SUM(D41:O41)</f>
        <v>1436379.27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28">D41/D9</f>
        <v>10.650791776635643</v>
      </c>
      <c r="E42" s="275">
        <f t="shared" si="28"/>
        <v>10.030623969271236</v>
      </c>
      <c r="F42" s="275">
        <f t="shared" si="28"/>
        <v>10.186584283513097</v>
      </c>
      <c r="G42" s="275" t="e">
        <f t="shared" si="28"/>
        <v>#DIV/0!</v>
      </c>
      <c r="H42" s="275" t="e">
        <f t="shared" si="28"/>
        <v>#DIV/0!</v>
      </c>
      <c r="I42" s="275" t="e">
        <f t="shared" si="28"/>
        <v>#DIV/0!</v>
      </c>
      <c r="J42" s="275" t="e">
        <f t="shared" si="28"/>
        <v>#DIV/0!</v>
      </c>
      <c r="K42" s="275" t="e">
        <f t="shared" si="28"/>
        <v>#DIV/0!</v>
      </c>
      <c r="L42" s="275" t="e">
        <f t="shared" si="28"/>
        <v>#DIV/0!</v>
      </c>
      <c r="M42" s="275" t="e">
        <f t="shared" si="28"/>
        <v>#DIV/0!</v>
      </c>
      <c r="N42" s="275" t="e">
        <f t="shared" si="28"/>
        <v>#DIV/0!</v>
      </c>
      <c r="O42" s="275" t="e">
        <f t="shared" si="28"/>
        <v>#DIV/0!</v>
      </c>
      <c r="P42" s="39">
        <f t="shared" si="28"/>
        <v>10.276588086311994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8">
        <v>56</v>
      </c>
      <c r="E44" s="38">
        <v>60</v>
      </c>
      <c r="F44" s="38">
        <v>65</v>
      </c>
      <c r="G44" s="38"/>
      <c r="H44" s="38"/>
      <c r="I44" s="38"/>
      <c r="J44" s="38"/>
      <c r="K44" s="38"/>
      <c r="L44" s="3"/>
      <c r="M44" s="38"/>
      <c r="N44" s="3"/>
      <c r="O44" s="38"/>
      <c r="P44" s="34">
        <f>SUM(D44:O44)</f>
        <v>181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G45" si="29">D44/D9</f>
        <v>1.2964763624577487E-3</v>
      </c>
      <c r="E45" s="13">
        <f t="shared" si="29"/>
        <v>1.2525311567125233E-3</v>
      </c>
      <c r="F45" s="13">
        <f t="shared" si="29"/>
        <v>1.3353877760657422E-3</v>
      </c>
      <c r="G45" s="13" t="e">
        <f t="shared" si="29"/>
        <v>#DIV/0!</v>
      </c>
      <c r="H45" s="275" t="e">
        <f t="shared" ref="H45:P45" si="30">H44/H9</f>
        <v>#DIV/0!</v>
      </c>
      <c r="I45" s="13"/>
      <c r="J45" s="275" t="e">
        <f t="shared" si="30"/>
        <v>#DIV/0!</v>
      </c>
      <c r="K45" s="275"/>
      <c r="L45" s="275" t="e">
        <f t="shared" si="30"/>
        <v>#DIV/0!</v>
      </c>
      <c r="M45" s="275" t="e">
        <f t="shared" si="30"/>
        <v>#DIV/0!</v>
      </c>
      <c r="N45" s="275" t="e">
        <f t="shared" si="30"/>
        <v>#DIV/0!</v>
      </c>
      <c r="O45" s="275"/>
      <c r="P45" s="276">
        <f t="shared" si="30"/>
        <v>1.2949660876284234E-3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18696.72</v>
      </c>
      <c r="E46" s="403">
        <f>333.87*E44</f>
        <v>20032.2</v>
      </c>
      <c r="F46" s="403">
        <f t="shared" ref="F46:O46" si="31">333.87*F44</f>
        <v>21701.55</v>
      </c>
      <c r="G46" s="403">
        <f t="shared" si="31"/>
        <v>0</v>
      </c>
      <c r="H46" s="403">
        <f t="shared" si="31"/>
        <v>0</v>
      </c>
      <c r="I46" s="403">
        <f t="shared" si="31"/>
        <v>0</v>
      </c>
      <c r="J46" s="403">
        <f t="shared" si="31"/>
        <v>0</v>
      </c>
      <c r="K46" s="403">
        <f t="shared" si="31"/>
        <v>0</v>
      </c>
      <c r="L46" s="403">
        <f t="shared" si="31"/>
        <v>0</v>
      </c>
      <c r="M46" s="403">
        <f t="shared" si="31"/>
        <v>0</v>
      </c>
      <c r="N46" s="403">
        <f t="shared" si="31"/>
        <v>0</v>
      </c>
      <c r="O46" s="403">
        <f t="shared" si="31"/>
        <v>0</v>
      </c>
      <c r="P46" s="34">
        <f>SUM(D46:O46)</f>
        <v>60430.47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F47" si="32">D46/D9</f>
        <v>0.43285456313376863</v>
      </c>
      <c r="E47" s="13">
        <f t="shared" si="32"/>
        <v>0.41818257729161012</v>
      </c>
      <c r="F47" s="13">
        <f t="shared" si="32"/>
        <v>0.4458459167950693</v>
      </c>
      <c r="G47" s="275" t="e">
        <f t="shared" ref="G47:P47" si="33">G46/G9</f>
        <v>#DIV/0!</v>
      </c>
      <c r="H47" s="275" t="e">
        <f t="shared" si="33"/>
        <v>#DIV/0!</v>
      </c>
      <c r="I47" s="275" t="e">
        <f t="shared" si="33"/>
        <v>#DIV/0!</v>
      </c>
      <c r="J47" s="275" t="e">
        <f t="shared" si="33"/>
        <v>#DIV/0!</v>
      </c>
      <c r="K47" s="275" t="e">
        <f t="shared" si="33"/>
        <v>#DIV/0!</v>
      </c>
      <c r="L47" s="275" t="e">
        <f t="shared" si="33"/>
        <v>#DIV/0!</v>
      </c>
      <c r="M47" s="275" t="e">
        <f t="shared" si="33"/>
        <v>#DIV/0!</v>
      </c>
      <c r="N47" s="275" t="e">
        <f t="shared" si="33"/>
        <v>#DIV/0!</v>
      </c>
      <c r="O47" s="275" t="e">
        <f t="shared" si="33"/>
        <v>#DIV/0!</v>
      </c>
      <c r="P47" s="276">
        <f t="shared" si="33"/>
        <v>0.43235032767650172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>
        <v>917</v>
      </c>
      <c r="E49" s="3">
        <v>717</v>
      </c>
      <c r="F49" s="3">
        <v>980</v>
      </c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2614</v>
      </c>
    </row>
    <row r="50" spans="1:16" ht="15.75" x14ac:dyDescent="0.25">
      <c r="A50" s="331" t="s">
        <v>189</v>
      </c>
      <c r="B50" s="332"/>
      <c r="C50" s="4" t="s">
        <v>128</v>
      </c>
      <c r="D50" s="3">
        <v>111</v>
      </c>
      <c r="E50" s="3">
        <v>60</v>
      </c>
      <c r="F50" s="3">
        <v>90</v>
      </c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261</v>
      </c>
    </row>
    <row r="51" spans="1:16" ht="15.75" x14ac:dyDescent="0.25">
      <c r="A51" s="331" t="s">
        <v>127</v>
      </c>
      <c r="B51" s="332"/>
      <c r="C51" s="4" t="s">
        <v>31</v>
      </c>
      <c r="D51" s="11">
        <f>6687*D50</f>
        <v>742257</v>
      </c>
      <c r="E51" s="11">
        <f>6687*E50</f>
        <v>401220</v>
      </c>
      <c r="F51" s="11">
        <f t="shared" ref="F51:O51" si="34">6687*F50</f>
        <v>601830</v>
      </c>
      <c r="G51" s="11">
        <f t="shared" si="34"/>
        <v>0</v>
      </c>
      <c r="H51" s="11">
        <f t="shared" si="34"/>
        <v>0</v>
      </c>
      <c r="I51" s="11">
        <f t="shared" si="34"/>
        <v>0</v>
      </c>
      <c r="J51" s="11">
        <f t="shared" si="34"/>
        <v>0</v>
      </c>
      <c r="K51" s="11">
        <f t="shared" si="34"/>
        <v>0</v>
      </c>
      <c r="L51" s="11">
        <f t="shared" si="34"/>
        <v>0</v>
      </c>
      <c r="M51" s="11">
        <f t="shared" si="34"/>
        <v>0</v>
      </c>
      <c r="N51" s="11">
        <f t="shared" si="34"/>
        <v>0</v>
      </c>
      <c r="O51" s="11">
        <f t="shared" si="34"/>
        <v>0</v>
      </c>
      <c r="P51" s="280">
        <f>SUM(D51:O51)</f>
        <v>1745307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3">
        <v>18900545.98</v>
      </c>
      <c r="E54" s="3">
        <v>19057153.670000002</v>
      </c>
      <c r="F54" s="3">
        <v>19057153.670000002</v>
      </c>
      <c r="G54" s="3"/>
      <c r="H54" s="3"/>
      <c r="I54" s="3"/>
      <c r="J54" s="3"/>
      <c r="K54" s="11"/>
      <c r="L54" s="11"/>
      <c r="M54" s="11"/>
      <c r="N54" s="11"/>
      <c r="O54" s="3"/>
      <c r="P54" s="34">
        <f>SUM(D54:O54)</f>
        <v>57014853.320000008</v>
      </c>
    </row>
    <row r="55" spans="1:16" ht="15.75" x14ac:dyDescent="0.25">
      <c r="A55" s="281" t="s">
        <v>123</v>
      </c>
      <c r="B55" s="260"/>
      <c r="C55" s="4" t="s">
        <v>18</v>
      </c>
      <c r="D55" s="3">
        <v>2552049.21</v>
      </c>
      <c r="E55" s="3">
        <v>2715248.86</v>
      </c>
      <c r="F55" s="3">
        <v>3664989.0559999989</v>
      </c>
      <c r="G55" s="3"/>
      <c r="H55" s="3"/>
      <c r="I55" s="3"/>
      <c r="J55" s="3"/>
      <c r="K55" s="3"/>
      <c r="L55" s="11"/>
      <c r="M55" s="11"/>
      <c r="N55" s="11"/>
      <c r="O55" s="3"/>
      <c r="P55" s="34">
        <f>SUM(D55:O55)</f>
        <v>8932287.1259999983</v>
      </c>
    </row>
    <row r="56" spans="1:16" ht="15.75" x14ac:dyDescent="0.25">
      <c r="A56" s="331" t="s">
        <v>122</v>
      </c>
      <c r="B56" s="332"/>
      <c r="C56" s="4" t="s">
        <v>18</v>
      </c>
      <c r="D56" s="3">
        <v>7925613.6800000006</v>
      </c>
      <c r="E56" s="3">
        <v>3391329.95</v>
      </c>
      <c r="F56" s="3">
        <v>4903050</v>
      </c>
      <c r="G56" s="3"/>
      <c r="H56" s="3"/>
      <c r="I56" s="3"/>
      <c r="J56" s="3"/>
      <c r="K56" s="3"/>
      <c r="L56" s="11"/>
      <c r="M56" s="396"/>
      <c r="N56" s="11"/>
      <c r="O56" s="3"/>
      <c r="P56" s="34">
        <f>SUM(D56:O56)</f>
        <v>16219993.630000001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30599212.890000001</v>
      </c>
      <c r="E58" s="11">
        <f t="shared" ref="E58:F58" si="35">E41+E46+E51+E52+E54+E55+E56</f>
        <v>26065481.66</v>
      </c>
      <c r="F58" s="11">
        <f t="shared" si="35"/>
        <v>28744556.265999999</v>
      </c>
      <c r="G58" s="277">
        <f t="shared" ref="G58:N58" si="36">G41+G46+G51+G52+G54+G55+G56</f>
        <v>0</v>
      </c>
      <c r="H58" s="277">
        <f t="shared" si="36"/>
        <v>0</v>
      </c>
      <c r="I58" s="277">
        <f t="shared" si="36"/>
        <v>0</v>
      </c>
      <c r="J58" s="404">
        <f t="shared" si="36"/>
        <v>0</v>
      </c>
      <c r="K58" s="404">
        <f t="shared" si="36"/>
        <v>0</v>
      </c>
      <c r="L58" s="404">
        <f t="shared" si="36"/>
        <v>0</v>
      </c>
      <c r="M58" s="404">
        <f t="shared" si="36"/>
        <v>0</v>
      </c>
      <c r="N58" s="404">
        <f t="shared" si="36"/>
        <v>0</v>
      </c>
      <c r="O58" s="404"/>
      <c r="P58" s="59">
        <f>SUM(D58:O58)</f>
        <v>85409250.816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F59" si="37">D58/D9</f>
        <v>708.41350395888321</v>
      </c>
      <c r="E59" s="13">
        <f t="shared" si="37"/>
        <v>544.13046489781436</v>
      </c>
      <c r="F59" s="13">
        <f t="shared" si="37"/>
        <v>590.54044717000511</v>
      </c>
      <c r="G59" s="275" t="e">
        <f t="shared" ref="G59:P59" si="38">G58/G9</f>
        <v>#DIV/0!</v>
      </c>
      <c r="H59" s="275" t="e">
        <f t="shared" si="38"/>
        <v>#DIV/0!</v>
      </c>
      <c r="I59" s="275" t="e">
        <f t="shared" si="38"/>
        <v>#DIV/0!</v>
      </c>
      <c r="J59" s="275" t="e">
        <f t="shared" si="38"/>
        <v>#DIV/0!</v>
      </c>
      <c r="K59" s="275" t="e">
        <f t="shared" si="38"/>
        <v>#DIV/0!</v>
      </c>
      <c r="L59" s="275" t="e">
        <f t="shared" si="38"/>
        <v>#DIV/0!</v>
      </c>
      <c r="M59" s="275" t="e">
        <f t="shared" si="38"/>
        <v>#DIV/0!</v>
      </c>
      <c r="N59" s="275" t="e">
        <f t="shared" si="38"/>
        <v>#DIV/0!</v>
      </c>
      <c r="O59" s="275"/>
      <c r="P59" s="276">
        <f t="shared" si="38"/>
        <v>611.06123412414502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991.44782614612382</v>
      </c>
      <c r="E60" s="13">
        <f t="shared" ref="E60:F60" si="39">E58/E22</f>
        <v>770.36126837572465</v>
      </c>
      <c r="F60" s="13">
        <f t="shared" si="39"/>
        <v>828.13472388360697</v>
      </c>
      <c r="G60" s="275" t="e">
        <f t="shared" ref="G60:N60" si="40">G58/G22</f>
        <v>#DIV/0!</v>
      </c>
      <c r="H60" s="275" t="e">
        <f t="shared" si="40"/>
        <v>#DIV/0!</v>
      </c>
      <c r="I60" s="275" t="e">
        <f t="shared" si="40"/>
        <v>#DIV/0!</v>
      </c>
      <c r="J60" s="275" t="e">
        <f t="shared" si="40"/>
        <v>#DIV/0!</v>
      </c>
      <c r="K60" s="275" t="e">
        <f t="shared" si="40"/>
        <v>#DIV/0!</v>
      </c>
      <c r="L60" s="275" t="e">
        <f t="shared" si="40"/>
        <v>#DIV/0!</v>
      </c>
      <c r="M60" s="275" t="e">
        <f t="shared" si="40"/>
        <v>#DIV/0!</v>
      </c>
      <c r="N60" s="275" t="e">
        <f t="shared" si="40"/>
        <v>#DIV/0!</v>
      </c>
      <c r="O60" s="275"/>
      <c r="P60" s="282">
        <f>P58/P22</f>
        <v>859.1740069064474</v>
      </c>
    </row>
    <row r="61" spans="1:16" ht="15.75" x14ac:dyDescent="0.25">
      <c r="A61" s="331" t="s">
        <v>116</v>
      </c>
      <c r="B61" s="332"/>
      <c r="C61" s="4" t="s">
        <v>3</v>
      </c>
      <c r="D61" s="3">
        <v>9</v>
      </c>
      <c r="E61" s="3">
        <v>9</v>
      </c>
      <c r="F61" s="3">
        <v>9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F62" si="41">(D61*1000*31)/D9</f>
        <v>6.4592304486734271</v>
      </c>
      <c r="E62" s="13">
        <f t="shared" si="41"/>
        <v>5.824269878713233</v>
      </c>
      <c r="F62" s="13">
        <f t="shared" si="41"/>
        <v>5.7318952234206471</v>
      </c>
      <c r="G62" s="275" t="e">
        <f t="shared" ref="G62:P62" si="42">(G61*1000*31)/G9</f>
        <v>#DIV/0!</v>
      </c>
      <c r="H62" s="275" t="e">
        <f t="shared" si="42"/>
        <v>#DIV/0!</v>
      </c>
      <c r="I62" s="13" t="e">
        <f t="shared" si="42"/>
        <v>#DIV/0!</v>
      </c>
      <c r="J62" s="275" t="e">
        <f t="shared" si="42"/>
        <v>#DIV/0!</v>
      </c>
      <c r="K62" s="275" t="e">
        <f t="shared" si="42"/>
        <v>#DIV/0!</v>
      </c>
      <c r="L62" s="275" t="e">
        <f t="shared" si="42"/>
        <v>#DIV/0!</v>
      </c>
      <c r="M62" s="275" t="e">
        <f>(M61*1000*31)/M9</f>
        <v>#DIV/0!</v>
      </c>
      <c r="N62" s="275" t="e">
        <f t="shared" si="42"/>
        <v>#DIV/0!</v>
      </c>
      <c r="O62" s="275"/>
      <c r="P62" s="276">
        <f t="shared" si="42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22</v>
      </c>
      <c r="E63" s="3">
        <v>22</v>
      </c>
      <c r="F63" s="3">
        <v>22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66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10</v>
      </c>
      <c r="E66" s="3">
        <f>D71</f>
        <v>38</v>
      </c>
      <c r="F66" s="3">
        <f>E71</f>
        <v>30</v>
      </c>
      <c r="G66" s="3">
        <f t="shared" ref="G66:O66" si="43">F71</f>
        <v>20</v>
      </c>
      <c r="H66" s="3">
        <f t="shared" si="43"/>
        <v>20</v>
      </c>
      <c r="I66" s="3">
        <f t="shared" si="43"/>
        <v>20</v>
      </c>
      <c r="J66" s="3">
        <f t="shared" si="43"/>
        <v>20</v>
      </c>
      <c r="K66" s="3">
        <f t="shared" si="43"/>
        <v>20</v>
      </c>
      <c r="L66" s="3">
        <f t="shared" si="43"/>
        <v>20</v>
      </c>
      <c r="M66" s="3">
        <f t="shared" si="43"/>
        <v>20</v>
      </c>
      <c r="N66" s="3">
        <f t="shared" si="43"/>
        <v>20</v>
      </c>
      <c r="O66" s="3">
        <f t="shared" si="43"/>
        <v>20</v>
      </c>
      <c r="P66" s="31">
        <f>D66</f>
        <v>10</v>
      </c>
    </row>
    <row r="67" spans="1:16" ht="15.75" x14ac:dyDescent="0.25">
      <c r="A67" s="325"/>
      <c r="B67" s="4" t="s">
        <v>106</v>
      </c>
      <c r="C67" s="4" t="s">
        <v>3</v>
      </c>
      <c r="D67" s="3">
        <v>30</v>
      </c>
      <c r="E67" s="3">
        <v>15</v>
      </c>
      <c r="F67" s="3">
        <v>25</v>
      </c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70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44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>
        <v>2</v>
      </c>
      <c r="E69" s="3">
        <v>23</v>
      </c>
      <c r="F69" s="3">
        <v>35</v>
      </c>
      <c r="G69" s="3"/>
      <c r="H69" s="3"/>
      <c r="I69" s="3"/>
      <c r="J69" s="284"/>
      <c r="K69" s="3"/>
      <c r="L69" s="3"/>
      <c r="M69" s="3"/>
      <c r="N69" s="3"/>
      <c r="O69" s="284"/>
      <c r="P69" s="31">
        <f t="shared" si="44"/>
        <v>60</v>
      </c>
    </row>
    <row r="70" spans="1:16" ht="15.75" x14ac:dyDescent="0.25">
      <c r="A70" s="325"/>
      <c r="B70" s="4" t="s">
        <v>190</v>
      </c>
      <c r="C70" s="4" t="s">
        <v>3</v>
      </c>
      <c r="D70" s="411">
        <f>D68+D69</f>
        <v>2</v>
      </c>
      <c r="E70" s="411">
        <v>23</v>
      </c>
      <c r="F70" s="411">
        <f>F68+F69</f>
        <v>35</v>
      </c>
      <c r="G70" s="411">
        <f t="shared" ref="G70:I70" si="45">G68+G69</f>
        <v>0</v>
      </c>
      <c r="H70" s="411">
        <f t="shared" si="45"/>
        <v>0</v>
      </c>
      <c r="I70" s="411">
        <f t="shared" si="45"/>
        <v>0</v>
      </c>
      <c r="J70" s="411"/>
      <c r="K70" s="3">
        <f t="shared" ref="K70" si="46">K68+K69</f>
        <v>0</v>
      </c>
      <c r="L70" s="3">
        <f t="shared" ref="L70:N70" si="47">L68+L69</f>
        <v>0</v>
      </c>
      <c r="M70" s="3">
        <f t="shared" si="47"/>
        <v>0</v>
      </c>
      <c r="N70" s="3">
        <f t="shared" si="47"/>
        <v>0</v>
      </c>
      <c r="O70" s="411"/>
      <c r="P70" s="285">
        <f t="shared" ref="P70" si="48">P68+P69</f>
        <v>60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38</v>
      </c>
      <c r="E71" s="22">
        <f t="shared" ref="E71:I71" si="49">E66+E67-E70</f>
        <v>30</v>
      </c>
      <c r="F71" s="22">
        <f t="shared" si="49"/>
        <v>20</v>
      </c>
      <c r="G71" s="22">
        <f t="shared" si="49"/>
        <v>20</v>
      </c>
      <c r="H71" s="22">
        <f t="shared" si="49"/>
        <v>20</v>
      </c>
      <c r="I71" s="22">
        <f t="shared" si="49"/>
        <v>20</v>
      </c>
      <c r="J71" s="402">
        <f t="shared" ref="J71:N71" si="50">J66+J67-J70</f>
        <v>20</v>
      </c>
      <c r="K71" s="22">
        <f t="shared" si="50"/>
        <v>20</v>
      </c>
      <c r="L71" s="22">
        <f t="shared" si="50"/>
        <v>20</v>
      </c>
      <c r="M71" s="22">
        <f t="shared" si="50"/>
        <v>20</v>
      </c>
      <c r="N71" s="22">
        <f t="shared" si="50"/>
        <v>20</v>
      </c>
      <c r="O71" s="22"/>
      <c r="P71" s="287">
        <f>P66+P67-P70</f>
        <v>20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51">E77</f>
        <v>0</v>
      </c>
      <c r="G72" s="3">
        <f t="shared" si="51"/>
        <v>0</v>
      </c>
      <c r="H72" s="3">
        <f t="shared" si="51"/>
        <v>0</v>
      </c>
      <c r="I72" s="3">
        <f t="shared" si="51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52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52"/>
        <v>0</v>
      </c>
    </row>
    <row r="76" spans="1:16" ht="15.75" x14ac:dyDescent="0.25">
      <c r="A76" s="325"/>
      <c r="B76" s="4" t="s">
        <v>190</v>
      </c>
      <c r="C76" s="4" t="s">
        <v>3</v>
      </c>
      <c r="D76" s="411">
        <f>D74+D75</f>
        <v>0</v>
      </c>
      <c r="E76" s="411">
        <f t="shared" ref="E76:N76" si="53">E74+E75</f>
        <v>0</v>
      </c>
      <c r="F76" s="411">
        <f t="shared" si="53"/>
        <v>0</v>
      </c>
      <c r="G76" s="411">
        <f t="shared" si="53"/>
        <v>0</v>
      </c>
      <c r="H76" s="411">
        <f t="shared" si="53"/>
        <v>0</v>
      </c>
      <c r="I76" s="411">
        <f t="shared" si="53"/>
        <v>0</v>
      </c>
      <c r="J76" s="411">
        <f t="shared" si="53"/>
        <v>0</v>
      </c>
      <c r="K76" s="411">
        <f t="shared" si="53"/>
        <v>0</v>
      </c>
      <c r="L76" s="411">
        <f t="shared" si="53"/>
        <v>0</v>
      </c>
      <c r="M76" s="411">
        <f t="shared" si="53"/>
        <v>0</v>
      </c>
      <c r="N76" s="411">
        <f t="shared" si="53"/>
        <v>0</v>
      </c>
      <c r="O76" s="411"/>
      <c r="P76" s="285">
        <f t="shared" ref="P76" si="54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55">E72+E73-E76</f>
        <v>0</v>
      </c>
      <c r="F77" s="141">
        <f t="shared" si="55"/>
        <v>0</v>
      </c>
      <c r="G77" s="141">
        <f t="shared" si="55"/>
        <v>0</v>
      </c>
      <c r="H77" s="141">
        <f t="shared" si="55"/>
        <v>0</v>
      </c>
      <c r="I77" s="141">
        <f t="shared" si="55"/>
        <v>0</v>
      </c>
      <c r="J77" s="141">
        <f t="shared" si="55"/>
        <v>0</v>
      </c>
      <c r="K77" s="141">
        <f t="shared" si="55"/>
        <v>0</v>
      </c>
      <c r="L77" s="141">
        <f t="shared" si="55"/>
        <v>0</v>
      </c>
      <c r="M77" s="141">
        <f t="shared" si="55"/>
        <v>0</v>
      </c>
      <c r="N77" s="141">
        <f t="shared" si="55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K78" si="56">E83</f>
        <v>0</v>
      </c>
      <c r="G78" s="3">
        <f t="shared" si="56"/>
        <v>0</v>
      </c>
      <c r="H78" s="3">
        <f t="shared" si="56"/>
        <v>0</v>
      </c>
      <c r="I78" s="3">
        <f t="shared" si="56"/>
        <v>0</v>
      </c>
      <c r="J78" s="3">
        <f t="shared" si="56"/>
        <v>0</v>
      </c>
      <c r="K78" s="3">
        <f t="shared" si="56"/>
        <v>0</v>
      </c>
      <c r="L78" s="3">
        <f t="shared" ref="L78" si="57">K83</f>
        <v>0</v>
      </c>
      <c r="M78" s="3">
        <f t="shared" ref="M78" si="58">L83</f>
        <v>0</v>
      </c>
      <c r="N78" s="3">
        <f t="shared" ref="N78" si="59">M83</f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411">
        <f t="shared" ref="D82:H82" si="60">D80+D81</f>
        <v>0</v>
      </c>
      <c r="E82" s="411">
        <f t="shared" si="60"/>
        <v>0</v>
      </c>
      <c r="F82" s="411">
        <f t="shared" si="60"/>
        <v>0</v>
      </c>
      <c r="G82" s="411">
        <f t="shared" si="60"/>
        <v>0</v>
      </c>
      <c r="H82" s="411">
        <f t="shared" si="60"/>
        <v>0</v>
      </c>
      <c r="I82" s="411">
        <f>I80+I81</f>
        <v>0</v>
      </c>
      <c r="J82" s="411">
        <f t="shared" ref="J82:N82" si="61">J80+J81</f>
        <v>0</v>
      </c>
      <c r="K82" s="411">
        <f t="shared" si="61"/>
        <v>0</v>
      </c>
      <c r="L82" s="411">
        <f t="shared" si="61"/>
        <v>0</v>
      </c>
      <c r="M82" s="411">
        <f t="shared" si="61"/>
        <v>0</v>
      </c>
      <c r="N82" s="411">
        <f t="shared" si="61"/>
        <v>0</v>
      </c>
      <c r="O82" s="411"/>
      <c r="P82" s="288">
        <f t="shared" ref="P82" si="62">P81+P80</f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H83" si="63">E78+E79-E82</f>
        <v>0</v>
      </c>
      <c r="F83" s="22">
        <f t="shared" si="63"/>
        <v>0</v>
      </c>
      <c r="G83" s="22">
        <f t="shared" si="63"/>
        <v>0</v>
      </c>
      <c r="H83" s="22">
        <f t="shared" si="63"/>
        <v>0</v>
      </c>
      <c r="I83" s="286">
        <f t="shared" ref="I83" si="64">I78+I79-I82</f>
        <v>0</v>
      </c>
      <c r="J83" s="286">
        <f t="shared" ref="J83:P83" si="65">J78+J79-J82</f>
        <v>0</v>
      </c>
      <c r="K83" s="286">
        <f t="shared" ref="K83:N83" si="66">K78+K79-K82</f>
        <v>0</v>
      </c>
      <c r="L83" s="286">
        <f t="shared" si="66"/>
        <v>0</v>
      </c>
      <c r="M83" s="286">
        <f t="shared" si="66"/>
        <v>0</v>
      </c>
      <c r="N83" s="286">
        <f t="shared" si="66"/>
        <v>0</v>
      </c>
      <c r="O83" s="286"/>
      <c r="P83" s="289">
        <f t="shared" si="65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67">E89</f>
        <v>0</v>
      </c>
      <c r="G84" s="3">
        <f t="shared" si="67"/>
        <v>0</v>
      </c>
      <c r="H84" s="3">
        <f t="shared" si="67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68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68"/>
        <v>0</v>
      </c>
    </row>
    <row r="88" spans="1:16" ht="15.75" x14ac:dyDescent="0.25">
      <c r="A88" s="378"/>
      <c r="B88" s="4" t="s">
        <v>190</v>
      </c>
      <c r="C88" s="4" t="s">
        <v>3</v>
      </c>
      <c r="D88" s="411">
        <f>D86+D87</f>
        <v>0</v>
      </c>
      <c r="E88" s="411">
        <f t="shared" ref="E88:N88" si="69">E86+E87</f>
        <v>0</v>
      </c>
      <c r="F88" s="411">
        <f t="shared" si="69"/>
        <v>0</v>
      </c>
      <c r="G88" s="411">
        <f t="shared" si="69"/>
        <v>0</v>
      </c>
      <c r="H88" s="411">
        <f t="shared" si="69"/>
        <v>0</v>
      </c>
      <c r="I88" s="411">
        <f t="shared" si="69"/>
        <v>0</v>
      </c>
      <c r="J88" s="411">
        <f t="shared" si="69"/>
        <v>0</v>
      </c>
      <c r="K88" s="411">
        <f t="shared" si="69"/>
        <v>0</v>
      </c>
      <c r="L88" s="411">
        <f t="shared" si="69"/>
        <v>0</v>
      </c>
      <c r="M88" s="411">
        <f t="shared" si="69"/>
        <v>0</v>
      </c>
      <c r="N88" s="411">
        <f t="shared" si="69"/>
        <v>0</v>
      </c>
      <c r="O88" s="411"/>
      <c r="P88" s="31">
        <f t="shared" si="68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70">E84+E85-E88</f>
        <v>0</v>
      </c>
      <c r="F89" s="22">
        <f t="shared" si="70"/>
        <v>0</v>
      </c>
      <c r="G89" s="22">
        <f t="shared" si="70"/>
        <v>0</v>
      </c>
      <c r="H89" s="22">
        <f t="shared" si="70"/>
        <v>0</v>
      </c>
      <c r="I89" s="22">
        <f t="shared" si="70"/>
        <v>0</v>
      </c>
      <c r="J89" s="22">
        <f t="shared" si="70"/>
        <v>0</v>
      </c>
      <c r="K89" s="22">
        <f t="shared" si="70"/>
        <v>0</v>
      </c>
      <c r="L89" s="22">
        <f t="shared" si="70"/>
        <v>0</v>
      </c>
      <c r="M89" s="22">
        <f t="shared" si="70"/>
        <v>0</v>
      </c>
      <c r="N89" s="22">
        <f t="shared" si="70"/>
        <v>0</v>
      </c>
      <c r="O89" s="22"/>
      <c r="P89" s="289">
        <f t="shared" ref="P89" si="71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72">D66+D72+D78+D84</f>
        <v>10</v>
      </c>
      <c r="E90" s="122">
        <f t="shared" si="72"/>
        <v>38</v>
      </c>
      <c r="F90" s="122">
        <f t="shared" si="72"/>
        <v>30</v>
      </c>
      <c r="G90" s="122">
        <f t="shared" si="72"/>
        <v>20</v>
      </c>
      <c r="H90" s="122">
        <f t="shared" si="72"/>
        <v>20</v>
      </c>
      <c r="I90" s="122">
        <f t="shared" si="72"/>
        <v>20</v>
      </c>
      <c r="J90" s="122">
        <f t="shared" si="72"/>
        <v>20</v>
      </c>
      <c r="K90" s="122">
        <f t="shared" si="72"/>
        <v>20</v>
      </c>
      <c r="L90" s="122">
        <f t="shared" si="72"/>
        <v>20</v>
      </c>
      <c r="M90" s="122">
        <f t="shared" si="72"/>
        <v>20</v>
      </c>
      <c r="N90" s="122">
        <f t="shared" si="72"/>
        <v>20</v>
      </c>
      <c r="O90" s="122"/>
      <c r="P90" s="31">
        <f>D90</f>
        <v>10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72"/>
        <v>30</v>
      </c>
      <c r="E91" s="122">
        <f t="shared" si="72"/>
        <v>15</v>
      </c>
      <c r="F91" s="122">
        <f t="shared" si="72"/>
        <v>25</v>
      </c>
      <c r="G91" s="122">
        <f t="shared" si="72"/>
        <v>0</v>
      </c>
      <c r="H91" s="122">
        <f t="shared" si="72"/>
        <v>0</v>
      </c>
      <c r="I91" s="122">
        <f t="shared" si="72"/>
        <v>0</v>
      </c>
      <c r="J91" s="122">
        <f t="shared" si="72"/>
        <v>0</v>
      </c>
      <c r="K91" s="122">
        <f t="shared" si="72"/>
        <v>0</v>
      </c>
      <c r="L91" s="122">
        <f t="shared" si="72"/>
        <v>0</v>
      </c>
      <c r="M91" s="122">
        <f t="shared" si="72"/>
        <v>0</v>
      </c>
      <c r="N91" s="122">
        <f t="shared" si="72"/>
        <v>0</v>
      </c>
      <c r="O91" s="122"/>
      <c r="P91" s="31">
        <f>SUM(D91:O91)</f>
        <v>70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72"/>
        <v>0</v>
      </c>
      <c r="E92" s="122">
        <f t="shared" si="72"/>
        <v>0</v>
      </c>
      <c r="F92" s="122">
        <f t="shared" si="72"/>
        <v>0</v>
      </c>
      <c r="G92" s="122">
        <f t="shared" si="72"/>
        <v>0</v>
      </c>
      <c r="H92" s="122">
        <f t="shared" si="72"/>
        <v>0</v>
      </c>
      <c r="I92" s="122">
        <f t="shared" si="72"/>
        <v>0</v>
      </c>
      <c r="J92" s="122">
        <f t="shared" si="72"/>
        <v>0</v>
      </c>
      <c r="K92" s="122">
        <f t="shared" si="72"/>
        <v>0</v>
      </c>
      <c r="L92" s="122">
        <f t="shared" si="72"/>
        <v>0</v>
      </c>
      <c r="M92" s="122">
        <f t="shared" si="72"/>
        <v>0</v>
      </c>
      <c r="N92" s="122">
        <f t="shared" si="72"/>
        <v>0</v>
      </c>
      <c r="O92" s="122"/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72"/>
        <v>2</v>
      </c>
      <c r="E93" s="122">
        <f t="shared" si="72"/>
        <v>23</v>
      </c>
      <c r="F93" s="122">
        <f t="shared" si="72"/>
        <v>35</v>
      </c>
      <c r="G93" s="122">
        <f t="shared" si="72"/>
        <v>0</v>
      </c>
      <c r="H93" s="122">
        <f t="shared" si="72"/>
        <v>0</v>
      </c>
      <c r="I93" s="122">
        <f t="shared" si="72"/>
        <v>0</v>
      </c>
      <c r="J93" s="122">
        <f t="shared" si="72"/>
        <v>0</v>
      </c>
      <c r="K93" s="122">
        <f t="shared" si="72"/>
        <v>0</v>
      </c>
      <c r="L93" s="122">
        <f t="shared" si="72"/>
        <v>0</v>
      </c>
      <c r="M93" s="122">
        <f t="shared" si="72"/>
        <v>0</v>
      </c>
      <c r="N93" s="122">
        <f t="shared" si="72"/>
        <v>0</v>
      </c>
      <c r="O93" s="122"/>
      <c r="P93" s="31">
        <f>SUM(D93:O93)</f>
        <v>60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2</v>
      </c>
      <c r="E94" s="123">
        <f t="shared" ref="E94:N94" si="73">E93+E92</f>
        <v>23</v>
      </c>
      <c r="F94" s="123">
        <f t="shared" si="73"/>
        <v>35</v>
      </c>
      <c r="G94" s="123">
        <f t="shared" si="73"/>
        <v>0</v>
      </c>
      <c r="H94" s="123">
        <f t="shared" si="73"/>
        <v>0</v>
      </c>
      <c r="I94" s="123">
        <f t="shared" si="73"/>
        <v>0</v>
      </c>
      <c r="J94" s="123">
        <f t="shared" si="73"/>
        <v>0</v>
      </c>
      <c r="K94" s="123">
        <f t="shared" si="73"/>
        <v>0</v>
      </c>
      <c r="L94" s="123">
        <f t="shared" si="73"/>
        <v>0</v>
      </c>
      <c r="M94" s="123">
        <f t="shared" si="73"/>
        <v>0</v>
      </c>
      <c r="N94" s="123">
        <f t="shared" si="73"/>
        <v>0</v>
      </c>
      <c r="O94" s="123"/>
      <c r="P94" s="130">
        <f t="shared" ref="P94" si="74">P93+P92</f>
        <v>60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38</v>
      </c>
      <c r="E95" s="124">
        <f t="shared" ref="E95:N95" si="75">E90+E91-E94</f>
        <v>30</v>
      </c>
      <c r="F95" s="124">
        <f t="shared" si="75"/>
        <v>20</v>
      </c>
      <c r="G95" s="124">
        <f t="shared" si="75"/>
        <v>20</v>
      </c>
      <c r="H95" s="124">
        <f t="shared" si="75"/>
        <v>20</v>
      </c>
      <c r="I95" s="124">
        <f t="shared" si="75"/>
        <v>20</v>
      </c>
      <c r="J95" s="124">
        <f t="shared" si="75"/>
        <v>20</v>
      </c>
      <c r="K95" s="124">
        <f t="shared" si="75"/>
        <v>20</v>
      </c>
      <c r="L95" s="124">
        <f t="shared" si="75"/>
        <v>20</v>
      </c>
      <c r="M95" s="124">
        <f t="shared" si="75"/>
        <v>20</v>
      </c>
      <c r="N95" s="124">
        <f t="shared" si="75"/>
        <v>20</v>
      </c>
      <c r="O95" s="124"/>
      <c r="P95" s="131">
        <f t="shared" ref="P95" si="76">P90+P91-P94</f>
        <v>20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2</v>
      </c>
      <c r="E98" s="395">
        <v>23</v>
      </c>
      <c r="F98" s="395">
        <v>55</v>
      </c>
      <c r="G98" s="395"/>
      <c r="H98" s="395"/>
      <c r="I98" s="395"/>
      <c r="J98" s="395"/>
      <c r="K98" s="395"/>
      <c r="L98" s="395"/>
      <c r="M98" s="395"/>
      <c r="N98" s="294"/>
      <c r="O98" s="294"/>
      <c r="P98" s="97">
        <f>SUM(D98:O98)</f>
        <v>80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675</v>
      </c>
      <c r="E101" s="3">
        <v>652</v>
      </c>
      <c r="F101" s="3">
        <v>672</v>
      </c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77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25</v>
      </c>
      <c r="E102" s="3">
        <v>24</v>
      </c>
      <c r="F102" s="3">
        <v>24</v>
      </c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77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70</v>
      </c>
      <c r="E103" s="3">
        <v>70</v>
      </c>
      <c r="F103" s="3">
        <v>70</v>
      </c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77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>
        <v>16</v>
      </c>
      <c r="E104" s="3">
        <v>16</v>
      </c>
      <c r="F104" s="3">
        <v>16</v>
      </c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77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786</v>
      </c>
      <c r="E105" s="296">
        <f t="shared" ref="E105:O105" si="78">SUM(E101:E104)</f>
        <v>762</v>
      </c>
      <c r="F105" s="296">
        <f t="shared" si="78"/>
        <v>782</v>
      </c>
      <c r="G105" s="296">
        <f t="shared" si="78"/>
        <v>0</v>
      </c>
      <c r="H105" s="296">
        <f t="shared" si="78"/>
        <v>0</v>
      </c>
      <c r="I105" s="296">
        <f t="shared" si="78"/>
        <v>0</v>
      </c>
      <c r="J105" s="296">
        <f t="shared" si="78"/>
        <v>0</v>
      </c>
      <c r="K105" s="296">
        <f t="shared" si="78"/>
        <v>0</v>
      </c>
      <c r="L105" s="296">
        <f t="shared" si="78"/>
        <v>0</v>
      </c>
      <c r="M105" s="296">
        <f t="shared" si="78"/>
        <v>0</v>
      </c>
      <c r="N105" s="296">
        <f t="shared" si="78"/>
        <v>0</v>
      </c>
      <c r="O105" s="296">
        <f t="shared" si="78"/>
        <v>0</v>
      </c>
      <c r="P105" s="295">
        <f t="shared" si="77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1956</v>
      </c>
      <c r="E107" s="3">
        <v>1960</v>
      </c>
      <c r="F107" s="3">
        <v>1917</v>
      </c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77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>
        <v>7</v>
      </c>
      <c r="E108" s="3">
        <v>8</v>
      </c>
      <c r="F108" s="3">
        <v>10</v>
      </c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77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11</v>
      </c>
      <c r="E109" s="3">
        <v>11</v>
      </c>
      <c r="F109" s="3">
        <v>12</v>
      </c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77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>
        <v>13</v>
      </c>
      <c r="E110" s="3">
        <v>13</v>
      </c>
      <c r="F110" s="3">
        <v>13</v>
      </c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77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1987</v>
      </c>
      <c r="E111" s="296">
        <f t="shared" ref="E111:O111" si="79">SUM(E107:E110)</f>
        <v>1992</v>
      </c>
      <c r="F111" s="296">
        <f t="shared" si="79"/>
        <v>1952</v>
      </c>
      <c r="G111" s="296">
        <f t="shared" si="79"/>
        <v>0</v>
      </c>
      <c r="H111" s="296">
        <f t="shared" si="79"/>
        <v>0</v>
      </c>
      <c r="I111" s="296">
        <f t="shared" si="79"/>
        <v>0</v>
      </c>
      <c r="J111" s="296">
        <f t="shared" si="79"/>
        <v>0</v>
      </c>
      <c r="K111" s="296">
        <f t="shared" si="79"/>
        <v>0</v>
      </c>
      <c r="L111" s="296">
        <f t="shared" si="79"/>
        <v>0</v>
      </c>
      <c r="M111" s="296">
        <f t="shared" si="79"/>
        <v>0</v>
      </c>
      <c r="N111" s="296">
        <f t="shared" si="79"/>
        <v>0</v>
      </c>
      <c r="O111" s="296">
        <f t="shared" si="79"/>
        <v>0</v>
      </c>
      <c r="P111" s="295">
        <f t="shared" si="77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3">
        <v>1460</v>
      </c>
      <c r="E113" s="3">
        <v>1492</v>
      </c>
      <c r="F113" s="3">
        <v>1547</v>
      </c>
      <c r="G113" s="3"/>
      <c r="H113" s="3"/>
      <c r="I113" s="3"/>
      <c r="J113" s="3"/>
      <c r="K113" s="412"/>
      <c r="L113" s="3"/>
      <c r="M113" s="412"/>
      <c r="N113" s="412"/>
      <c r="O113" s="3"/>
      <c r="P113" s="295">
        <f t="shared" si="77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>
        <v>96</v>
      </c>
      <c r="E114" s="3">
        <v>103</v>
      </c>
      <c r="F114" s="3">
        <v>103</v>
      </c>
      <c r="G114" s="3"/>
      <c r="H114" s="3"/>
      <c r="I114" s="3"/>
      <c r="J114" s="3"/>
      <c r="K114" s="412"/>
      <c r="L114" s="3"/>
      <c r="M114" s="412"/>
      <c r="N114" s="412"/>
      <c r="O114" s="3"/>
      <c r="P114" s="295">
        <f t="shared" si="77"/>
        <v>0</v>
      </c>
    </row>
    <row r="115" spans="1:18" ht="15.75" x14ac:dyDescent="0.25">
      <c r="A115" s="331" t="s">
        <v>201</v>
      </c>
      <c r="B115" s="332"/>
      <c r="C115" s="4" t="s">
        <v>3</v>
      </c>
      <c r="D115" s="3">
        <v>117</v>
      </c>
      <c r="E115" s="3">
        <v>117</v>
      </c>
      <c r="F115" s="3">
        <v>117</v>
      </c>
      <c r="G115" s="3"/>
      <c r="H115" s="3"/>
      <c r="I115" s="3"/>
      <c r="J115" s="3"/>
      <c r="K115" s="412"/>
      <c r="L115" s="3"/>
      <c r="M115" s="412"/>
      <c r="N115" s="412"/>
      <c r="O115" s="3"/>
      <c r="P115" s="295">
        <f t="shared" si="77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>
        <v>4</v>
      </c>
      <c r="E116" s="3">
        <v>4</v>
      </c>
      <c r="F116" s="3">
        <v>4</v>
      </c>
      <c r="G116" s="3"/>
      <c r="H116" s="3"/>
      <c r="I116" s="3"/>
      <c r="J116" s="3"/>
      <c r="K116" s="412"/>
      <c r="L116" s="3"/>
      <c r="M116" s="412"/>
      <c r="N116" s="412"/>
      <c r="O116" s="3"/>
      <c r="P116" s="295">
        <f t="shared" si="77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1677</v>
      </c>
      <c r="E117" s="296">
        <f t="shared" ref="E117:P117" si="80">SUM(E113:E116)</f>
        <v>1716</v>
      </c>
      <c r="F117" s="296">
        <f t="shared" si="80"/>
        <v>1771</v>
      </c>
      <c r="G117" s="296">
        <f t="shared" si="80"/>
        <v>0</v>
      </c>
      <c r="H117" s="296">
        <f t="shared" ref="H117" si="81">SUM(H113:H116)</f>
        <v>0</v>
      </c>
      <c r="I117" s="296">
        <f t="shared" si="80"/>
        <v>0</v>
      </c>
      <c r="J117" s="296">
        <f t="shared" si="80"/>
        <v>0</v>
      </c>
      <c r="K117" s="296">
        <f t="shared" ref="K117" si="82">SUM(K113:K116)</f>
        <v>0</v>
      </c>
      <c r="L117" s="296">
        <f t="shared" si="80"/>
        <v>0</v>
      </c>
      <c r="M117" s="296">
        <f t="shared" ref="M117:O117" si="83">SUM(M113:M116)</f>
        <v>0</v>
      </c>
      <c r="N117" s="296">
        <f t="shared" si="83"/>
        <v>0</v>
      </c>
      <c r="O117" s="296">
        <f t="shared" si="83"/>
        <v>0</v>
      </c>
      <c r="P117" s="257">
        <f t="shared" si="80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I118" si="84">D111+D117</f>
        <v>3664</v>
      </c>
      <c r="E118" s="296">
        <f t="shared" si="84"/>
        <v>3708</v>
      </c>
      <c r="F118" s="296">
        <f t="shared" si="84"/>
        <v>3723</v>
      </c>
      <c r="G118" s="296">
        <f t="shared" si="84"/>
        <v>0</v>
      </c>
      <c r="H118" s="296">
        <f t="shared" si="84"/>
        <v>0</v>
      </c>
      <c r="I118" s="296">
        <f t="shared" si="84"/>
        <v>0</v>
      </c>
      <c r="J118" s="296">
        <f t="shared" ref="J118:K118" si="85">J111+J117</f>
        <v>0</v>
      </c>
      <c r="K118" s="296">
        <f t="shared" si="85"/>
        <v>0</v>
      </c>
      <c r="L118" s="296">
        <f t="shared" ref="L118:M118" si="86">L111+L117</f>
        <v>0</v>
      </c>
      <c r="M118" s="296">
        <f t="shared" si="86"/>
        <v>0</v>
      </c>
      <c r="N118" s="296">
        <f t="shared" ref="N118:P118" si="87">N111+N117</f>
        <v>0</v>
      </c>
      <c r="O118" s="296">
        <f t="shared" si="87"/>
        <v>0</v>
      </c>
      <c r="P118" s="296">
        <f t="shared" si="87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I119" si="88">D105+D118</f>
        <v>4450</v>
      </c>
      <c r="E119" s="296">
        <f t="shared" si="88"/>
        <v>4470</v>
      </c>
      <c r="F119" s="296">
        <f t="shared" si="88"/>
        <v>4505</v>
      </c>
      <c r="G119" s="296">
        <f t="shared" si="88"/>
        <v>0</v>
      </c>
      <c r="H119" s="296">
        <f t="shared" si="88"/>
        <v>0</v>
      </c>
      <c r="I119" s="296">
        <f t="shared" si="88"/>
        <v>0</v>
      </c>
      <c r="J119" s="296">
        <f t="shared" ref="J119:K119" si="89">J105+J118</f>
        <v>0</v>
      </c>
      <c r="K119" s="296">
        <f t="shared" si="89"/>
        <v>0</v>
      </c>
      <c r="L119" s="296">
        <f t="shared" ref="L119:M119" si="90">L105+L118</f>
        <v>0</v>
      </c>
      <c r="M119" s="296">
        <f t="shared" si="90"/>
        <v>0</v>
      </c>
      <c r="N119" s="296">
        <f t="shared" ref="N119:P119" si="91">N105+N118</f>
        <v>0</v>
      </c>
      <c r="O119" s="296">
        <f t="shared" si="91"/>
        <v>0</v>
      </c>
      <c r="P119" s="296">
        <f t="shared" si="91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75" x14ac:dyDescent="0.25">
      <c r="A121" s="331" t="s">
        <v>95</v>
      </c>
      <c r="B121" s="332"/>
      <c r="C121" s="4" t="s">
        <v>3</v>
      </c>
      <c r="D121" s="3">
        <v>25000</v>
      </c>
      <c r="E121" s="3">
        <v>25000</v>
      </c>
      <c r="F121" s="3">
        <v>25000</v>
      </c>
      <c r="G121" s="3"/>
      <c r="H121" s="3"/>
      <c r="I121" s="3"/>
      <c r="J121" s="3"/>
      <c r="K121" s="3"/>
      <c r="L121" s="3"/>
      <c r="M121" s="3"/>
      <c r="N121" s="3"/>
      <c r="O121" s="3"/>
      <c r="P121" s="27">
        <f>O121</f>
        <v>0</v>
      </c>
    </row>
    <row r="122" spans="1:18" ht="15.75" x14ac:dyDescent="0.25">
      <c r="A122" s="331" t="s">
        <v>94</v>
      </c>
      <c r="B122" s="332"/>
      <c r="C122" s="4" t="s">
        <v>3</v>
      </c>
      <c r="D122" s="3">
        <v>20580</v>
      </c>
      <c r="E122" s="3">
        <v>20600</v>
      </c>
      <c r="F122" s="3">
        <v>20650</v>
      </c>
      <c r="G122" s="3"/>
      <c r="H122" s="3"/>
      <c r="I122" s="3"/>
      <c r="J122" s="3"/>
      <c r="K122" s="3"/>
      <c r="L122" s="3"/>
      <c r="M122" s="3"/>
      <c r="N122" s="3"/>
      <c r="O122" s="3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F123" si="92">D122/D121</f>
        <v>0.82320000000000004</v>
      </c>
      <c r="E123" s="25">
        <f t="shared" si="92"/>
        <v>0.82399999999999995</v>
      </c>
      <c r="F123" s="25">
        <f t="shared" si="92"/>
        <v>0.82599999999999996</v>
      </c>
      <c r="G123" s="300" t="e">
        <f t="shared" ref="G123:P123" si="93">G122/G121</f>
        <v>#DIV/0!</v>
      </c>
      <c r="H123" s="300" t="e">
        <f t="shared" si="93"/>
        <v>#DIV/0!</v>
      </c>
      <c r="I123" s="300" t="e">
        <f t="shared" si="93"/>
        <v>#DIV/0!</v>
      </c>
      <c r="J123" s="300" t="e">
        <f t="shared" si="93"/>
        <v>#DIV/0!</v>
      </c>
      <c r="K123" s="300" t="e">
        <f t="shared" si="93"/>
        <v>#DIV/0!</v>
      </c>
      <c r="L123" s="300" t="e">
        <f t="shared" si="93"/>
        <v>#DIV/0!</v>
      </c>
      <c r="M123" s="300" t="e">
        <f t="shared" si="93"/>
        <v>#DIV/0!</v>
      </c>
      <c r="N123" s="300" t="e">
        <f>N122/N121</f>
        <v>#DIV/0!</v>
      </c>
      <c r="O123" s="300" t="e">
        <f t="shared" si="93"/>
        <v>#DIV/0!</v>
      </c>
      <c r="P123" s="301" t="e">
        <f t="shared" si="93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94">F130</f>
        <v>0</v>
      </c>
      <c r="H125" s="399">
        <f t="shared" si="94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95">D125+D126-D127-D128</f>
        <v>0</v>
      </c>
      <c r="E129" s="140">
        <f t="shared" si="95"/>
        <v>0</v>
      </c>
      <c r="F129" s="140">
        <f t="shared" si="95"/>
        <v>0</v>
      </c>
      <c r="G129" s="140">
        <f t="shared" si="95"/>
        <v>0</v>
      </c>
      <c r="H129" s="140">
        <f t="shared" si="95"/>
        <v>0</v>
      </c>
      <c r="I129" s="140">
        <f t="shared" si="95"/>
        <v>0</v>
      </c>
      <c r="J129" s="140">
        <f t="shared" si="95"/>
        <v>0</v>
      </c>
      <c r="K129" s="140">
        <f t="shared" si="95"/>
        <v>0</v>
      </c>
      <c r="L129" s="140">
        <f t="shared" si="95"/>
        <v>0</v>
      </c>
      <c r="M129" s="140">
        <f t="shared" si="95"/>
        <v>0</v>
      </c>
      <c r="N129" s="140">
        <f t="shared" si="95"/>
        <v>0</v>
      </c>
      <c r="O129" s="140"/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96">E134</f>
        <v>0</v>
      </c>
      <c r="G130" s="399">
        <f t="shared" si="96"/>
        <v>0</v>
      </c>
      <c r="H130" s="399">
        <f t="shared" si="96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97">D130+D131-D132-D133</f>
        <v>0</v>
      </c>
      <c r="E134" s="140">
        <f t="shared" si="97"/>
        <v>0</v>
      </c>
      <c r="F134" s="140">
        <f t="shared" si="97"/>
        <v>0</v>
      </c>
      <c r="G134" s="140">
        <f t="shared" si="97"/>
        <v>0</v>
      </c>
      <c r="H134" s="140">
        <f t="shared" si="97"/>
        <v>0</v>
      </c>
      <c r="I134" s="140">
        <f t="shared" si="97"/>
        <v>0</v>
      </c>
      <c r="J134" s="140">
        <f t="shared" si="97"/>
        <v>0</v>
      </c>
      <c r="K134" s="140">
        <f t="shared" si="97"/>
        <v>0</v>
      </c>
      <c r="L134" s="140">
        <f t="shared" si="97"/>
        <v>0</v>
      </c>
      <c r="M134" s="140">
        <f t="shared" si="97"/>
        <v>0</v>
      </c>
      <c r="N134" s="140">
        <f t="shared" si="97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98">F139</f>
        <v>0</v>
      </c>
      <c r="H135" s="399">
        <f t="shared" si="98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N139" si="99">D135+D136-D137-D138</f>
        <v>0</v>
      </c>
      <c r="E139" s="140">
        <f t="shared" si="99"/>
        <v>0</v>
      </c>
      <c r="F139" s="140">
        <f t="shared" si="99"/>
        <v>0</v>
      </c>
      <c r="G139" s="140">
        <f t="shared" si="99"/>
        <v>0</v>
      </c>
      <c r="H139" s="140">
        <f t="shared" si="99"/>
        <v>0</v>
      </c>
      <c r="I139" s="140">
        <f t="shared" si="99"/>
        <v>0</v>
      </c>
      <c r="J139" s="140">
        <f t="shared" si="99"/>
        <v>0</v>
      </c>
      <c r="K139" s="140">
        <f t="shared" si="99"/>
        <v>0</v>
      </c>
      <c r="L139" s="140">
        <f t="shared" si="99"/>
        <v>0</v>
      </c>
      <c r="M139" s="140">
        <f t="shared" si="99"/>
        <v>0</v>
      </c>
      <c r="N139" s="140">
        <f t="shared" si="99"/>
        <v>0</v>
      </c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>
        <v>124</v>
      </c>
      <c r="E140" s="411">
        <f>D144</f>
        <v>162</v>
      </c>
      <c r="F140" s="120">
        <f t="shared" ref="F140:H140" si="100">E144</f>
        <v>131</v>
      </c>
      <c r="G140" s="120">
        <f t="shared" si="100"/>
        <v>28</v>
      </c>
      <c r="H140" s="120">
        <f t="shared" si="100"/>
        <v>28</v>
      </c>
      <c r="I140" s="399"/>
      <c r="J140" s="399"/>
      <c r="K140" s="120">
        <f t="shared" ref="K140" si="101">J144</f>
        <v>0</v>
      </c>
      <c r="L140" s="120">
        <f t="shared" ref="L140:N140" si="102">K144</f>
        <v>0</v>
      </c>
      <c r="M140" s="120">
        <f t="shared" si="102"/>
        <v>0</v>
      </c>
      <c r="N140" s="120">
        <f t="shared" si="102"/>
        <v>0</v>
      </c>
      <c r="O140" s="407"/>
      <c r="P140" s="406">
        <f>D140</f>
        <v>124</v>
      </c>
    </row>
    <row r="141" spans="1:18" ht="15.75" x14ac:dyDescent="0.25">
      <c r="A141" s="325"/>
      <c r="B141" s="4" t="s">
        <v>84</v>
      </c>
      <c r="C141" s="4" t="s">
        <v>3</v>
      </c>
      <c r="D141" s="120">
        <v>38</v>
      </c>
      <c r="E141" s="120"/>
      <c r="F141" s="120"/>
      <c r="G141" s="120"/>
      <c r="H141" s="120"/>
      <c r="I141" s="120"/>
      <c r="J141" s="120"/>
      <c r="K141" s="120"/>
      <c r="L141" s="3"/>
      <c r="M141" s="120"/>
      <c r="N141" s="120"/>
      <c r="O141" s="120"/>
      <c r="P141" s="16">
        <f>SUM(D141:O141)</f>
        <v>38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>
        <v>31</v>
      </c>
      <c r="F142" s="120">
        <v>33</v>
      </c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64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>
        <v>70</v>
      </c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70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N144" si="103">D140+D141-D142-D143</f>
        <v>162</v>
      </c>
      <c r="E144" s="140">
        <f t="shared" si="103"/>
        <v>131</v>
      </c>
      <c r="F144" s="140">
        <f t="shared" si="103"/>
        <v>28</v>
      </c>
      <c r="G144" s="120">
        <f t="shared" si="103"/>
        <v>28</v>
      </c>
      <c r="H144" s="140">
        <f t="shared" si="103"/>
        <v>28</v>
      </c>
      <c r="I144" s="140">
        <f t="shared" si="103"/>
        <v>0</v>
      </c>
      <c r="J144" s="140">
        <f t="shared" si="103"/>
        <v>0</v>
      </c>
      <c r="K144" s="140">
        <f t="shared" si="103"/>
        <v>0</v>
      </c>
      <c r="L144" s="140">
        <f t="shared" si="103"/>
        <v>0</v>
      </c>
      <c r="M144" s="140">
        <f t="shared" si="103"/>
        <v>0</v>
      </c>
      <c r="N144" s="140">
        <f t="shared" si="103"/>
        <v>0</v>
      </c>
      <c r="O144" s="140"/>
      <c r="P144" s="16">
        <f>P140+P141-P142-P143</f>
        <v>28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N148" si="104">D125+D130+D135+D140</f>
        <v>124</v>
      </c>
      <c r="E145" s="141">
        <f t="shared" si="104"/>
        <v>162</v>
      </c>
      <c r="F145" s="141">
        <f t="shared" si="104"/>
        <v>131</v>
      </c>
      <c r="G145" s="141">
        <f t="shared" si="104"/>
        <v>28</v>
      </c>
      <c r="H145" s="141">
        <f t="shared" si="104"/>
        <v>28</v>
      </c>
      <c r="I145" s="141">
        <f t="shared" si="104"/>
        <v>0</v>
      </c>
      <c r="J145" s="141">
        <f t="shared" si="104"/>
        <v>0</v>
      </c>
      <c r="K145" s="141">
        <f t="shared" si="104"/>
        <v>0</v>
      </c>
      <c r="L145" s="141">
        <f t="shared" si="104"/>
        <v>0</v>
      </c>
      <c r="M145" s="141">
        <f t="shared" si="104"/>
        <v>0</v>
      </c>
      <c r="N145" s="141">
        <f t="shared" si="104"/>
        <v>0</v>
      </c>
      <c r="O145" s="141"/>
      <c r="P145" s="99">
        <f t="shared" ref="P145:P149" si="105">P125+P130+P135+P140</f>
        <v>124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104"/>
        <v>38</v>
      </c>
      <c r="E146" s="141">
        <f t="shared" si="104"/>
        <v>0</v>
      </c>
      <c r="F146" s="141">
        <f t="shared" si="104"/>
        <v>0</v>
      </c>
      <c r="G146" s="141">
        <f t="shared" si="104"/>
        <v>0</v>
      </c>
      <c r="H146" s="141">
        <f t="shared" si="104"/>
        <v>0</v>
      </c>
      <c r="I146" s="141">
        <f t="shared" si="104"/>
        <v>0</v>
      </c>
      <c r="J146" s="141">
        <f t="shared" si="104"/>
        <v>0</v>
      </c>
      <c r="K146" s="141">
        <f t="shared" si="104"/>
        <v>0</v>
      </c>
      <c r="L146" s="141">
        <f t="shared" si="104"/>
        <v>0</v>
      </c>
      <c r="M146" s="141">
        <f t="shared" si="104"/>
        <v>0</v>
      </c>
      <c r="N146" s="141">
        <f t="shared" si="104"/>
        <v>0</v>
      </c>
      <c r="O146" s="141"/>
      <c r="P146" s="99">
        <f t="shared" si="105"/>
        <v>38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104"/>
        <v>0</v>
      </c>
      <c r="E147" s="141">
        <f t="shared" si="104"/>
        <v>31</v>
      </c>
      <c r="F147" s="141">
        <f t="shared" si="104"/>
        <v>33</v>
      </c>
      <c r="G147" s="141">
        <f t="shared" si="104"/>
        <v>0</v>
      </c>
      <c r="H147" s="141">
        <f t="shared" si="104"/>
        <v>0</v>
      </c>
      <c r="I147" s="141">
        <f t="shared" si="104"/>
        <v>0</v>
      </c>
      <c r="J147" s="141">
        <f t="shared" si="104"/>
        <v>0</v>
      </c>
      <c r="K147" s="141">
        <f t="shared" si="104"/>
        <v>0</v>
      </c>
      <c r="L147" s="141">
        <f t="shared" si="104"/>
        <v>0</v>
      </c>
      <c r="M147" s="141">
        <f t="shared" si="104"/>
        <v>0</v>
      </c>
      <c r="N147" s="141">
        <f t="shared" si="104"/>
        <v>0</v>
      </c>
      <c r="O147" s="141"/>
      <c r="P147" s="99">
        <f t="shared" si="105"/>
        <v>64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104"/>
        <v>0</v>
      </c>
      <c r="E148" s="141">
        <f t="shared" si="104"/>
        <v>0</v>
      </c>
      <c r="F148" s="141">
        <f t="shared" si="104"/>
        <v>70</v>
      </c>
      <c r="G148" s="141">
        <f t="shared" si="104"/>
        <v>0</v>
      </c>
      <c r="H148" s="141">
        <f t="shared" si="104"/>
        <v>0</v>
      </c>
      <c r="I148" s="141">
        <f t="shared" si="104"/>
        <v>0</v>
      </c>
      <c r="J148" s="141">
        <f t="shared" si="104"/>
        <v>0</v>
      </c>
      <c r="K148" s="141">
        <f t="shared" si="104"/>
        <v>0</v>
      </c>
      <c r="L148" s="141">
        <f t="shared" si="104"/>
        <v>0</v>
      </c>
      <c r="M148" s="141">
        <f t="shared" si="104"/>
        <v>0</v>
      </c>
      <c r="N148" s="141">
        <f t="shared" si="104"/>
        <v>0</v>
      </c>
      <c r="O148" s="141"/>
      <c r="P148" s="99">
        <f t="shared" si="105"/>
        <v>70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106">D145+D146-D147-D148</f>
        <v>162</v>
      </c>
      <c r="E149" s="140">
        <f t="shared" si="106"/>
        <v>131</v>
      </c>
      <c r="F149" s="140">
        <f t="shared" si="106"/>
        <v>28</v>
      </c>
      <c r="G149" s="140">
        <f t="shared" si="106"/>
        <v>28</v>
      </c>
      <c r="H149" s="140">
        <f t="shared" si="106"/>
        <v>28</v>
      </c>
      <c r="I149" s="140">
        <f t="shared" si="106"/>
        <v>0</v>
      </c>
      <c r="J149" s="140">
        <f t="shared" si="106"/>
        <v>0</v>
      </c>
      <c r="K149" s="140">
        <f t="shared" si="106"/>
        <v>0</v>
      </c>
      <c r="L149" s="140">
        <f t="shared" si="106"/>
        <v>0</v>
      </c>
      <c r="M149" s="140">
        <f t="shared" si="106"/>
        <v>0</v>
      </c>
      <c r="N149" s="140">
        <f t="shared" si="106"/>
        <v>0</v>
      </c>
      <c r="O149" s="140">
        <f t="shared" si="106"/>
        <v>0</v>
      </c>
      <c r="P149" s="99">
        <f t="shared" si="105"/>
        <v>28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>
        <v>15</v>
      </c>
      <c r="E153" s="120">
        <v>18</v>
      </c>
      <c r="F153" s="120">
        <v>24</v>
      </c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107">SUM(D153:O153)</f>
        <v>57</v>
      </c>
    </row>
    <row r="154" spans="1:16" ht="15.75" x14ac:dyDescent="0.25">
      <c r="A154" s="357"/>
      <c r="B154" s="18" t="s">
        <v>72</v>
      </c>
      <c r="C154" s="4" t="s">
        <v>57</v>
      </c>
      <c r="D154" s="120">
        <v>10</v>
      </c>
      <c r="E154" s="120">
        <v>6</v>
      </c>
      <c r="F154" s="120">
        <v>8</v>
      </c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107"/>
        <v>24</v>
      </c>
    </row>
    <row r="155" spans="1:16" ht="15.75" x14ac:dyDescent="0.25">
      <c r="A155" s="357"/>
      <c r="B155" s="18" t="s">
        <v>53</v>
      </c>
      <c r="C155" s="4" t="s">
        <v>57</v>
      </c>
      <c r="D155" s="120">
        <v>4</v>
      </c>
      <c r="E155" s="120">
        <v>6</v>
      </c>
      <c r="F155" s="120">
        <v>10</v>
      </c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107"/>
        <v>20</v>
      </c>
    </row>
    <row r="156" spans="1:16" ht="15.75" x14ac:dyDescent="0.25">
      <c r="A156" s="357"/>
      <c r="B156" s="18" t="s">
        <v>71</v>
      </c>
      <c r="C156" s="4" t="s">
        <v>57</v>
      </c>
      <c r="D156" s="120">
        <v>1</v>
      </c>
      <c r="E156" s="120">
        <v>2</v>
      </c>
      <c r="F156" s="120">
        <v>2</v>
      </c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107"/>
        <v>5</v>
      </c>
    </row>
    <row r="157" spans="1:16" ht="15.75" x14ac:dyDescent="0.25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107"/>
        <v>0</v>
      </c>
    </row>
    <row r="158" spans="1:16" ht="15.75" x14ac:dyDescent="0.25">
      <c r="A158" s="357"/>
      <c r="B158" s="18" t="s">
        <v>51</v>
      </c>
      <c r="C158" s="4" t="s">
        <v>57</v>
      </c>
      <c r="D158" s="120">
        <v>1</v>
      </c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107"/>
        <v>1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>
        <v>1</v>
      </c>
      <c r="F159" s="120">
        <v>1</v>
      </c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107"/>
        <v>2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>
        <v>1</v>
      </c>
      <c r="F160" s="120">
        <v>1</v>
      </c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107"/>
        <v>2</v>
      </c>
    </row>
    <row r="161" spans="1:16" ht="15.75" x14ac:dyDescent="0.25">
      <c r="A161" s="357"/>
      <c r="B161" s="18" t="s">
        <v>49</v>
      </c>
      <c r="C161" s="4" t="s">
        <v>57</v>
      </c>
      <c r="D161" s="120">
        <v>1</v>
      </c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107"/>
        <v>1</v>
      </c>
    </row>
    <row r="162" spans="1:16" ht="15.75" x14ac:dyDescent="0.25">
      <c r="A162" s="357"/>
      <c r="B162" s="18" t="s">
        <v>77</v>
      </c>
      <c r="C162" s="4" t="s">
        <v>57</v>
      </c>
      <c r="D162" s="120">
        <v>1</v>
      </c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107"/>
        <v>1</v>
      </c>
    </row>
    <row r="163" spans="1:16" ht="15.75" x14ac:dyDescent="0.25">
      <c r="A163" s="357"/>
      <c r="B163" s="18" t="s">
        <v>69</v>
      </c>
      <c r="C163" s="4" t="s">
        <v>57</v>
      </c>
      <c r="D163" s="120">
        <v>1</v>
      </c>
      <c r="E163" s="120">
        <v>1</v>
      </c>
      <c r="F163" s="120">
        <v>1</v>
      </c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107"/>
        <v>3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107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107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120"/>
      <c r="M167" s="284"/>
      <c r="N167" s="120"/>
      <c r="O167" s="279"/>
      <c r="P167" s="16">
        <f t="shared" ref="P167:P175" si="108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108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120"/>
      <c r="O169" s="279"/>
      <c r="P169" s="16">
        <f t="shared" si="108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120"/>
      <c r="O170" s="279"/>
      <c r="P170" s="16">
        <f t="shared" si="108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120"/>
      <c r="O171" s="279"/>
      <c r="P171" s="16">
        <f t="shared" si="108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120"/>
      <c r="O172" s="279"/>
      <c r="P172" s="16">
        <f t="shared" si="108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120"/>
      <c r="O173" s="279"/>
      <c r="P173" s="16">
        <f t="shared" si="108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120"/>
      <c r="O174" s="279"/>
      <c r="P174" s="16">
        <f t="shared" si="108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120"/>
      <c r="O175" s="279"/>
      <c r="P175" s="16">
        <f t="shared" si="108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120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120"/>
      <c r="O177" s="279"/>
      <c r="P177" s="16">
        <f t="shared" ref="P177:P182" si="109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120"/>
      <c r="O178" s="279"/>
      <c r="P178" s="16">
        <f t="shared" si="109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120"/>
      <c r="O179" s="279"/>
      <c r="P179" s="16">
        <f t="shared" si="109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120"/>
      <c r="O180" s="279"/>
      <c r="P180" s="16">
        <f t="shared" si="109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120"/>
      <c r="O181" s="279"/>
      <c r="P181" s="16">
        <f t="shared" si="109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120"/>
      <c r="O182" s="279"/>
      <c r="P182" s="16">
        <f t="shared" si="109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120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120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34</v>
      </c>
      <c r="E193" s="141">
        <f t="shared" ref="E193:P193" si="110">SUM(E153:E192)</f>
        <v>35</v>
      </c>
      <c r="F193" s="141">
        <f t="shared" si="110"/>
        <v>47</v>
      </c>
      <c r="G193" s="141">
        <f t="shared" si="110"/>
        <v>0</v>
      </c>
      <c r="H193" s="141">
        <f t="shared" si="110"/>
        <v>0</v>
      </c>
      <c r="I193" s="141">
        <f t="shared" si="110"/>
        <v>0</v>
      </c>
      <c r="J193" s="141">
        <f t="shared" si="110"/>
        <v>0</v>
      </c>
      <c r="K193" s="141">
        <f t="shared" si="110"/>
        <v>0</v>
      </c>
      <c r="L193" s="141">
        <f t="shared" si="110"/>
        <v>0</v>
      </c>
      <c r="M193" s="141">
        <f t="shared" si="110"/>
        <v>0</v>
      </c>
      <c r="N193" s="141">
        <f t="shared" si="110"/>
        <v>0</v>
      </c>
      <c r="O193" s="141">
        <f t="shared" si="110"/>
        <v>0</v>
      </c>
      <c r="P193" s="92">
        <f t="shared" si="110"/>
        <v>116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18</v>
      </c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5.5</v>
      </c>
    </row>
    <row r="197" spans="1:16" ht="15.75" x14ac:dyDescent="0.25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111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111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111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>
        <v>1000</v>
      </c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111"/>
        <v>1000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111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112">SUM(D199:D203)</f>
        <v>0</v>
      </c>
      <c r="E204" s="13">
        <f t="shared" si="112"/>
        <v>1000</v>
      </c>
      <c r="F204" s="13">
        <f t="shared" si="112"/>
        <v>0</v>
      </c>
      <c r="G204" s="13">
        <f t="shared" ref="G204" si="113">SUM(G199:G203)</f>
        <v>0</v>
      </c>
      <c r="H204" s="13">
        <f t="shared" ref="H204" si="114">SUM(H199:H203)</f>
        <v>0</v>
      </c>
      <c r="I204" s="275">
        <f t="shared" ref="I204:O204" si="115">SUM(I199:I203)</f>
        <v>0</v>
      </c>
      <c r="J204" s="275">
        <f t="shared" si="115"/>
        <v>0</v>
      </c>
      <c r="K204" s="275">
        <f t="shared" si="115"/>
        <v>0</v>
      </c>
      <c r="L204" s="275">
        <f t="shared" si="115"/>
        <v>0</v>
      </c>
      <c r="M204" s="275">
        <f t="shared" si="115"/>
        <v>0</v>
      </c>
      <c r="N204" s="275">
        <f t="shared" si="115"/>
        <v>0</v>
      </c>
      <c r="O204" s="275">
        <f t="shared" si="115"/>
        <v>0</v>
      </c>
      <c r="P204" s="100">
        <f t="shared" si="111"/>
        <v>1000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15900725</v>
      </c>
      <c r="E206" s="11">
        <v>20017590.629999999</v>
      </c>
      <c r="F206" s="11">
        <v>14456509.74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50374825.369999997</v>
      </c>
    </row>
    <row r="207" spans="1:16" ht="15.75" x14ac:dyDescent="0.25">
      <c r="A207" s="331" t="s">
        <v>42</v>
      </c>
      <c r="B207" s="332"/>
      <c r="C207" s="4" t="s">
        <v>31</v>
      </c>
      <c r="D207" s="11">
        <v>97100</v>
      </c>
      <c r="E207" s="11">
        <v>215400</v>
      </c>
      <c r="F207" s="11">
        <v>190900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503400</v>
      </c>
    </row>
    <row r="208" spans="1:16" ht="15.75" x14ac:dyDescent="0.25">
      <c r="A208" s="338" t="s">
        <v>41</v>
      </c>
      <c r="B208" s="339"/>
      <c r="C208" s="4" t="s">
        <v>31</v>
      </c>
      <c r="D208" s="11">
        <v>420450</v>
      </c>
      <c r="E208" s="11">
        <v>641500</v>
      </c>
      <c r="F208" s="11">
        <v>117400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1179350</v>
      </c>
    </row>
    <row r="209" spans="1:16" ht="15.75" x14ac:dyDescent="0.25">
      <c r="A209" s="331" t="s">
        <v>40</v>
      </c>
      <c r="B209" s="332"/>
      <c r="C209" s="4" t="s">
        <v>31</v>
      </c>
      <c r="D209" s="11">
        <v>160100</v>
      </c>
      <c r="E209" s="11">
        <v>468100</v>
      </c>
      <c r="F209" s="11">
        <v>30000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658200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116">SUM(D206:D209)</f>
        <v>16578375</v>
      </c>
      <c r="E210" s="309">
        <f t="shared" si="116"/>
        <v>21342590.629999999</v>
      </c>
      <c r="F210" s="309">
        <f t="shared" si="116"/>
        <v>14794809.74</v>
      </c>
      <c r="G210" s="309">
        <f t="shared" si="116"/>
        <v>0</v>
      </c>
      <c r="H210" s="309">
        <f t="shared" si="116"/>
        <v>0</v>
      </c>
      <c r="I210" s="309">
        <f t="shared" si="116"/>
        <v>0</v>
      </c>
      <c r="J210" s="309">
        <f t="shared" si="116"/>
        <v>0</v>
      </c>
      <c r="K210" s="309">
        <f t="shared" si="116"/>
        <v>0</v>
      </c>
      <c r="L210" s="309">
        <f t="shared" si="116"/>
        <v>0</v>
      </c>
      <c r="M210" s="309">
        <f t="shared" si="116"/>
        <v>0</v>
      </c>
      <c r="N210" s="309">
        <f t="shared" si="116"/>
        <v>0</v>
      </c>
      <c r="O210" s="309">
        <f t="shared" si="116"/>
        <v>0</v>
      </c>
      <c r="P210" s="8">
        <f>SUM(D210:O210)</f>
        <v>52715775.369999997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10581127.15</v>
      </c>
      <c r="E212" s="11">
        <v>11326710.779999999</v>
      </c>
      <c r="F212" s="11">
        <v>11079819.599999994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32987657.529999994</v>
      </c>
    </row>
    <row r="213" spans="1:16" ht="15.75" x14ac:dyDescent="0.25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3419300</v>
      </c>
      <c r="E214" s="11">
        <v>4681219</v>
      </c>
      <c r="F214" s="11">
        <v>4472948.09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12573467.09</v>
      </c>
    </row>
    <row r="215" spans="1:16" ht="15.75" x14ac:dyDescent="0.25">
      <c r="A215" s="331" t="s">
        <v>40</v>
      </c>
      <c r="B215" s="332"/>
      <c r="C215" s="4" t="s">
        <v>31</v>
      </c>
      <c r="D215" s="11">
        <v>16486795.23</v>
      </c>
      <c r="E215" s="11">
        <v>21158580.399999999</v>
      </c>
      <c r="F215" s="11">
        <v>15934530.4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53579906.029999994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" si="117">SUM(D212:D215)</f>
        <v>30487222.380000003</v>
      </c>
      <c r="E216" s="309">
        <f t="shared" ref="E216:O216" si="118">SUM(E212:E215)</f>
        <v>37166510.18</v>
      </c>
      <c r="F216" s="309">
        <f t="shared" si="118"/>
        <v>31487298.089999996</v>
      </c>
      <c r="G216" s="309">
        <f t="shared" si="118"/>
        <v>0</v>
      </c>
      <c r="H216" s="309">
        <f t="shared" si="118"/>
        <v>0</v>
      </c>
      <c r="I216" s="309">
        <f t="shared" si="118"/>
        <v>0</v>
      </c>
      <c r="J216" s="309">
        <f t="shared" si="118"/>
        <v>0</v>
      </c>
      <c r="K216" s="309">
        <f t="shared" si="118"/>
        <v>0</v>
      </c>
      <c r="L216" s="309">
        <f t="shared" si="118"/>
        <v>0</v>
      </c>
      <c r="M216" s="309">
        <f t="shared" si="118"/>
        <v>0</v>
      </c>
      <c r="N216" s="309">
        <f t="shared" si="118"/>
        <v>0</v>
      </c>
      <c r="O216" s="309">
        <f t="shared" si="118"/>
        <v>0</v>
      </c>
      <c r="P216" s="8">
        <f>SUM(D216:O216)</f>
        <v>99141030.650000006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47065597.380000003</v>
      </c>
      <c r="E217" s="309">
        <f t="shared" ref="E217:P217" si="119">E210+E216</f>
        <v>58509100.810000002</v>
      </c>
      <c r="F217" s="309">
        <f t="shared" si="119"/>
        <v>46282107.829999998</v>
      </c>
      <c r="G217" s="309">
        <f t="shared" si="119"/>
        <v>0</v>
      </c>
      <c r="H217" s="309">
        <f t="shared" si="119"/>
        <v>0</v>
      </c>
      <c r="I217" s="309">
        <f t="shared" si="119"/>
        <v>0</v>
      </c>
      <c r="J217" s="309">
        <f t="shared" si="119"/>
        <v>0</v>
      </c>
      <c r="K217" s="309">
        <f t="shared" si="119"/>
        <v>0</v>
      </c>
      <c r="L217" s="309">
        <f t="shared" si="119"/>
        <v>0</v>
      </c>
      <c r="M217" s="309">
        <f t="shared" si="119"/>
        <v>0</v>
      </c>
      <c r="N217" s="309">
        <f t="shared" si="119"/>
        <v>0</v>
      </c>
      <c r="O217" s="309">
        <f t="shared" si="119"/>
        <v>0</v>
      </c>
      <c r="P217" s="280">
        <f t="shared" si="119"/>
        <v>151856806.02000001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14082801.380000001</v>
      </c>
      <c r="E219" s="11">
        <v>14284067.029999999</v>
      </c>
      <c r="F219" s="11">
        <v>16683627.93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45050496.340000004</v>
      </c>
    </row>
    <row r="220" spans="1:16" ht="15.75" x14ac:dyDescent="0.25">
      <c r="A220" s="331" t="s">
        <v>34</v>
      </c>
      <c r="B220" s="332"/>
      <c r="C220" s="4" t="s">
        <v>31</v>
      </c>
      <c r="D220" s="11">
        <v>155510.64000000001</v>
      </c>
      <c r="E220" s="11">
        <v>167752.56</v>
      </c>
      <c r="F220" s="11">
        <v>200844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524107.2</v>
      </c>
    </row>
    <row r="221" spans="1:16" ht="15.75" x14ac:dyDescent="0.25">
      <c r="A221" s="331" t="s">
        <v>33</v>
      </c>
      <c r="B221" s="332"/>
      <c r="C221" s="4" t="s">
        <v>31</v>
      </c>
      <c r="D221" s="11">
        <v>345649.88</v>
      </c>
      <c r="E221" s="11">
        <v>249479.46</v>
      </c>
      <c r="F221" s="11">
        <v>475086.39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1070215.73</v>
      </c>
    </row>
    <row r="222" spans="1:16" ht="15.75" x14ac:dyDescent="0.25">
      <c r="A222" s="331" t="s">
        <v>32</v>
      </c>
      <c r="B222" s="332"/>
      <c r="C222" s="4" t="s">
        <v>31</v>
      </c>
      <c r="D222" s="11">
        <v>340928.59</v>
      </c>
      <c r="E222" s="11">
        <v>966828.93</v>
      </c>
      <c r="F222" s="11">
        <v>857365.5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2165123.02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14924890.490000002</v>
      </c>
      <c r="E223" s="396">
        <f t="shared" ref="E223" si="120">SUM(E219:E222)</f>
        <v>15668127.98</v>
      </c>
      <c r="F223" s="396">
        <f>SUM(F219:F222)</f>
        <v>18216923.82</v>
      </c>
      <c r="G223" s="309">
        <f>SUM(G219:G222)</f>
        <v>0</v>
      </c>
      <c r="H223" s="309">
        <f t="shared" ref="H223:O223" si="121">SUM(H219:H222)</f>
        <v>0</v>
      </c>
      <c r="I223" s="309">
        <f t="shared" si="121"/>
        <v>0</v>
      </c>
      <c r="J223" s="315">
        <f t="shared" si="121"/>
        <v>0</v>
      </c>
      <c r="K223" s="315">
        <f t="shared" si="121"/>
        <v>0</v>
      </c>
      <c r="L223" s="315">
        <f t="shared" si="121"/>
        <v>0</v>
      </c>
      <c r="M223" s="315">
        <f t="shared" si="121"/>
        <v>0</v>
      </c>
      <c r="N223" s="315">
        <f t="shared" si="121"/>
        <v>0</v>
      </c>
      <c r="O223" s="315">
        <f t="shared" si="121"/>
        <v>0</v>
      </c>
      <c r="P223" s="8">
        <f>SUM(D223:O223)</f>
        <v>48809942.290000007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11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122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11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122"/>
        <v>0</v>
      </c>
    </row>
    <row r="227" spans="1:16" ht="15.75" x14ac:dyDescent="0.25">
      <c r="A227" s="331" t="s">
        <v>33</v>
      </c>
      <c r="B227" s="332"/>
      <c r="C227" s="4" t="s">
        <v>31</v>
      </c>
      <c r="D227" s="11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122"/>
        <v>0</v>
      </c>
    </row>
    <row r="228" spans="1:16" ht="15.75" x14ac:dyDescent="0.25">
      <c r="A228" s="331" t="s">
        <v>32</v>
      </c>
      <c r="B228" s="332"/>
      <c r="C228" s="4" t="s">
        <v>31</v>
      </c>
      <c r="D228" s="11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122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29784010.950000003</v>
      </c>
      <c r="E229" s="11">
        <v>36682954.560000002</v>
      </c>
      <c r="F229" s="11">
        <v>30690964.949999996</v>
      </c>
      <c r="G229" s="11"/>
      <c r="H229" s="10"/>
      <c r="I229" s="10"/>
      <c r="J229" s="10"/>
      <c r="K229" s="427"/>
      <c r="L229" s="427"/>
      <c r="M229" s="427"/>
      <c r="N229" s="427"/>
      <c r="O229" s="427"/>
      <c r="P229" s="8">
        <f t="shared" si="122"/>
        <v>97157930.460000008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44708901.440000005</v>
      </c>
      <c r="E230" s="314">
        <f t="shared" ref="E230:O230" si="123">E223+E229</f>
        <v>52351082.540000007</v>
      </c>
      <c r="F230" s="314">
        <f t="shared" si="123"/>
        <v>48907888.769999996</v>
      </c>
      <c r="G230" s="314">
        <f t="shared" si="123"/>
        <v>0</v>
      </c>
      <c r="H230" s="314">
        <f t="shared" si="123"/>
        <v>0</v>
      </c>
      <c r="I230" s="314">
        <f t="shared" si="123"/>
        <v>0</v>
      </c>
      <c r="J230" s="314">
        <f t="shared" si="123"/>
        <v>0</v>
      </c>
      <c r="K230" s="314">
        <f t="shared" si="123"/>
        <v>0</v>
      </c>
      <c r="L230" s="314">
        <f t="shared" si="123"/>
        <v>0</v>
      </c>
      <c r="M230" s="314">
        <f t="shared" si="123"/>
        <v>0</v>
      </c>
      <c r="N230" s="314">
        <f t="shared" si="123"/>
        <v>0</v>
      </c>
      <c r="O230" s="314">
        <f t="shared" si="123"/>
        <v>0</v>
      </c>
      <c r="P230" s="8">
        <f t="shared" si="122"/>
        <v>145967872.75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1090408.72</v>
      </c>
      <c r="E232" s="11">
        <v>1092302.57</v>
      </c>
      <c r="F232" s="11">
        <v>1097207.18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3279918.4699999997</v>
      </c>
    </row>
    <row r="233" spans="1:16" ht="15.75" x14ac:dyDescent="0.25">
      <c r="A233" s="331" t="s">
        <v>28</v>
      </c>
      <c r="B233" s="332"/>
      <c r="C233" s="4" t="s">
        <v>18</v>
      </c>
      <c r="D233" s="11">
        <v>2486.64</v>
      </c>
      <c r="E233" s="11">
        <v>2486.64</v>
      </c>
      <c r="F233" s="11">
        <v>2486.64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7459.92</v>
      </c>
    </row>
    <row r="234" spans="1:16" ht="15.75" x14ac:dyDescent="0.25">
      <c r="A234" s="331" t="s">
        <v>27</v>
      </c>
      <c r="B234" s="332"/>
      <c r="C234" s="4" t="s">
        <v>18</v>
      </c>
      <c r="D234" s="11">
        <v>23755.48</v>
      </c>
      <c r="E234" s="11">
        <v>27149.119999999999</v>
      </c>
      <c r="F234" s="11">
        <v>33936.400000000001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84841</v>
      </c>
    </row>
    <row r="235" spans="1:16" ht="15.75" x14ac:dyDescent="0.25">
      <c r="A235" s="331" t="s">
        <v>26</v>
      </c>
      <c r="B235" s="332"/>
      <c r="C235" s="4" t="s">
        <v>18</v>
      </c>
      <c r="D235" s="11">
        <v>51010.74</v>
      </c>
      <c r="E235" s="11">
        <v>51010.74</v>
      </c>
      <c r="F235" s="11">
        <v>55648.08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157669.56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O236" si="124">SUM(D232:D235)</f>
        <v>1167661.5799999998</v>
      </c>
      <c r="E236" s="314">
        <f t="shared" si="124"/>
        <v>1172949.07</v>
      </c>
      <c r="F236" s="314">
        <f t="shared" si="124"/>
        <v>1189278.2999999998</v>
      </c>
      <c r="G236" s="314">
        <f t="shared" si="124"/>
        <v>0</v>
      </c>
      <c r="H236" s="314">
        <f t="shared" si="124"/>
        <v>0</v>
      </c>
      <c r="I236" s="314">
        <f t="shared" si="124"/>
        <v>0</v>
      </c>
      <c r="J236" s="314">
        <f t="shared" si="124"/>
        <v>0</v>
      </c>
      <c r="K236" s="314">
        <f t="shared" si="124"/>
        <v>0</v>
      </c>
      <c r="L236" s="314">
        <f t="shared" si="124"/>
        <v>0</v>
      </c>
      <c r="M236" s="314">
        <f t="shared" si="124"/>
        <v>0</v>
      </c>
      <c r="N236" s="314">
        <f t="shared" si="124"/>
        <v>0</v>
      </c>
      <c r="O236" s="314">
        <f t="shared" si="124"/>
        <v>0</v>
      </c>
      <c r="P236" s="280">
        <f t="shared" ref="P236" si="125">SUM(P232:P235)</f>
        <v>3529888.9499999997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1746708</v>
      </c>
      <c r="E238" s="11">
        <v>1750280</v>
      </c>
      <c r="F238" s="11">
        <v>1755638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5252626</v>
      </c>
    </row>
    <row r="239" spans="1:16" ht="15.75" x14ac:dyDescent="0.25">
      <c r="A239" s="331" t="s">
        <v>22</v>
      </c>
      <c r="B239" s="332"/>
      <c r="C239" s="4" t="s">
        <v>18</v>
      </c>
      <c r="D239" s="11">
        <v>11609</v>
      </c>
      <c r="E239" s="11">
        <v>11609</v>
      </c>
      <c r="F239" s="11">
        <v>11609</v>
      </c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34827</v>
      </c>
    </row>
    <row r="240" spans="1:16" ht="15.75" x14ac:dyDescent="0.25">
      <c r="A240" s="331" t="s">
        <v>21</v>
      </c>
      <c r="B240" s="332"/>
      <c r="C240" s="4" t="s">
        <v>18</v>
      </c>
      <c r="D240" s="11">
        <v>6251</v>
      </c>
      <c r="E240" s="11">
        <v>7144</v>
      </c>
      <c r="F240" s="11">
        <v>8930</v>
      </c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22325</v>
      </c>
    </row>
    <row r="241" spans="1:17" ht="15.75" x14ac:dyDescent="0.25">
      <c r="A241" s="331" t="s">
        <v>20</v>
      </c>
      <c r="B241" s="332"/>
      <c r="C241" s="4" t="s">
        <v>18</v>
      </c>
      <c r="D241" s="11">
        <v>9823</v>
      </c>
      <c r="E241" s="11">
        <v>9823</v>
      </c>
      <c r="F241" s="11">
        <v>10716</v>
      </c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30362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126">SUM(D238:D241)</f>
        <v>1774391</v>
      </c>
      <c r="E242" s="314">
        <f t="shared" ref="E242:P242" si="127">SUM(E238:E241)</f>
        <v>1778856</v>
      </c>
      <c r="F242" s="314">
        <f t="shared" si="127"/>
        <v>1786893</v>
      </c>
      <c r="G242" s="314">
        <f t="shared" si="127"/>
        <v>0</v>
      </c>
      <c r="H242" s="314">
        <f t="shared" si="127"/>
        <v>0</v>
      </c>
      <c r="I242" s="309">
        <f t="shared" si="127"/>
        <v>0</v>
      </c>
      <c r="J242" s="314">
        <f t="shared" si="127"/>
        <v>0</v>
      </c>
      <c r="K242" s="314">
        <f t="shared" si="127"/>
        <v>0</v>
      </c>
      <c r="L242" s="314">
        <f t="shared" si="127"/>
        <v>0</v>
      </c>
      <c r="M242" s="314">
        <f t="shared" si="127"/>
        <v>0</v>
      </c>
      <c r="N242" s="314">
        <f t="shared" si="127"/>
        <v>0</v>
      </c>
      <c r="O242" s="314">
        <f t="shared" si="127"/>
        <v>0</v>
      </c>
      <c r="P242" s="280">
        <f t="shared" si="127"/>
        <v>5340140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47650954.020000003</v>
      </c>
      <c r="E243" s="309">
        <f t="shared" ref="E243:O243" si="128">E230+E236+E242</f>
        <v>55302887.610000007</v>
      </c>
      <c r="F243" s="309">
        <f t="shared" si="128"/>
        <v>51884060.069999993</v>
      </c>
      <c r="G243" s="309">
        <f t="shared" si="128"/>
        <v>0</v>
      </c>
      <c r="H243" s="309">
        <f t="shared" si="128"/>
        <v>0</v>
      </c>
      <c r="I243" s="309">
        <f t="shared" si="128"/>
        <v>0</v>
      </c>
      <c r="J243" s="309">
        <f t="shared" si="128"/>
        <v>0</v>
      </c>
      <c r="K243" s="309">
        <f t="shared" si="128"/>
        <v>0</v>
      </c>
      <c r="L243" s="309">
        <f t="shared" si="128"/>
        <v>0</v>
      </c>
      <c r="M243" s="309">
        <f t="shared" si="128"/>
        <v>0</v>
      </c>
      <c r="N243" s="309">
        <f t="shared" si="128"/>
        <v>0</v>
      </c>
      <c r="O243" s="309">
        <f t="shared" si="128"/>
        <v>0</v>
      </c>
      <c r="P243" s="280">
        <f>P216+P223+P236+P242</f>
        <v>156821001.88999999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69887599.5</v>
      </c>
      <c r="E245" s="397">
        <v>68820477.150000006</v>
      </c>
      <c r="F245" s="397">
        <v>146847162.28</v>
      </c>
      <c r="G245" s="397"/>
      <c r="H245" s="397"/>
      <c r="I245" s="397"/>
      <c r="J245" s="397"/>
      <c r="K245" s="139"/>
      <c r="L245" s="397"/>
      <c r="M245" s="139"/>
      <c r="N245" s="139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>
        <v>684908.7</v>
      </c>
      <c r="E246" s="397">
        <v>684908.7</v>
      </c>
      <c r="F246" s="397">
        <v>684908.7</v>
      </c>
      <c r="G246" s="397"/>
      <c r="H246" s="397"/>
      <c r="I246" s="397"/>
      <c r="J246" s="397"/>
      <c r="K246" s="139"/>
      <c r="L246" s="397"/>
      <c r="M246" s="139"/>
      <c r="N246" s="139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70572508.200000003</v>
      </c>
      <c r="E247" s="129">
        <f t="shared" ref="E247:O247" si="129">E245+E246</f>
        <v>69505385.850000009</v>
      </c>
      <c r="F247" s="129">
        <f t="shared" si="129"/>
        <v>147532070.97999999</v>
      </c>
      <c r="G247" s="129">
        <f t="shared" si="129"/>
        <v>0</v>
      </c>
      <c r="H247" s="129">
        <f t="shared" si="129"/>
        <v>0</v>
      </c>
      <c r="I247" s="129">
        <f t="shared" si="129"/>
        <v>0</v>
      </c>
      <c r="J247" s="129">
        <f t="shared" si="129"/>
        <v>0</v>
      </c>
      <c r="K247" s="129">
        <f t="shared" si="129"/>
        <v>0</v>
      </c>
      <c r="L247" s="129">
        <f t="shared" si="129"/>
        <v>0</v>
      </c>
      <c r="M247" s="129">
        <f t="shared" si="129"/>
        <v>0</v>
      </c>
      <c r="N247" s="129">
        <f t="shared" si="129"/>
        <v>0</v>
      </c>
      <c r="O247" s="129">
        <f t="shared" si="129"/>
        <v>0</v>
      </c>
      <c r="P247" s="317">
        <f t="shared" ref="P247" si="130">P245+P246</f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64.215320593910747</v>
      </c>
      <c r="E249" s="7">
        <f t="shared" ref="E249:N249" si="131">E58/E243%</f>
        <v>47.132225434258828</v>
      </c>
      <c r="F249" s="7">
        <f t="shared" si="131"/>
        <v>55.401516818882214</v>
      </c>
      <c r="G249" s="7" t="e">
        <f t="shared" si="131"/>
        <v>#DIV/0!</v>
      </c>
      <c r="H249" s="7" t="e">
        <f t="shared" si="131"/>
        <v>#DIV/0!</v>
      </c>
      <c r="I249" s="7" t="e">
        <f t="shared" si="131"/>
        <v>#DIV/0!</v>
      </c>
      <c r="J249" s="7" t="e">
        <f t="shared" si="131"/>
        <v>#DIV/0!</v>
      </c>
      <c r="K249" s="7" t="e">
        <f t="shared" si="131"/>
        <v>#DIV/0!</v>
      </c>
      <c r="L249" s="7" t="e">
        <f t="shared" si="131"/>
        <v>#DIV/0!</v>
      </c>
      <c r="M249" s="7" t="e">
        <f t="shared" si="131"/>
        <v>#DIV/0!</v>
      </c>
      <c r="N249" s="7" t="e">
        <f t="shared" si="131"/>
        <v>#DIV/0!</v>
      </c>
      <c r="O249" s="7" t="e">
        <f>O58/O243%</f>
        <v>#DIV/0!</v>
      </c>
      <c r="P249" s="318">
        <f t="shared" ref="P249" si="132">P58/P243%</f>
        <v>54.462890675771341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19.547091474327317</v>
      </c>
      <c r="E250" s="25">
        <f t="shared" ref="E250:N250" si="133">E210/(E223+E245)%</f>
        <v>25.260910151328471</v>
      </c>
      <c r="F250" s="25">
        <f t="shared" si="133"/>
        <v>8.9630700957184164</v>
      </c>
      <c r="G250" s="25" t="e">
        <f t="shared" si="133"/>
        <v>#DIV/0!</v>
      </c>
      <c r="H250" s="25" t="e">
        <f t="shared" si="133"/>
        <v>#DIV/0!</v>
      </c>
      <c r="I250" s="25" t="e">
        <f t="shared" si="133"/>
        <v>#DIV/0!</v>
      </c>
      <c r="J250" s="25" t="e">
        <f t="shared" si="133"/>
        <v>#DIV/0!</v>
      </c>
      <c r="K250" s="25" t="e">
        <f t="shared" si="133"/>
        <v>#DIV/0!</v>
      </c>
      <c r="L250" s="25" t="e">
        <f t="shared" si="133"/>
        <v>#DIV/0!</v>
      </c>
      <c r="M250" s="25" t="e">
        <f t="shared" si="133"/>
        <v>#DIV/0!</v>
      </c>
      <c r="N250" s="25" t="e">
        <f t="shared" si="133"/>
        <v>#DIV/0!</v>
      </c>
      <c r="O250" s="25" t="e">
        <f>O210/(O223+O245)%</f>
        <v>#DIV/0!</v>
      </c>
      <c r="P250" s="301">
        <f t="shared" ref="P250" si="134">P210/(P223+P245)%</f>
        <v>108.00212599472835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111.07870447094984</v>
      </c>
      <c r="E251" s="6">
        <f t="shared" ref="E251:N251" si="135">E210/E223%</f>
        <v>136.21659624712868</v>
      </c>
      <c r="F251" s="6">
        <f t="shared" si="135"/>
        <v>81.214643516031359</v>
      </c>
      <c r="G251" s="6" t="e">
        <f t="shared" si="135"/>
        <v>#DIV/0!</v>
      </c>
      <c r="H251" s="6" t="e">
        <f t="shared" si="135"/>
        <v>#DIV/0!</v>
      </c>
      <c r="I251" s="6" t="e">
        <f t="shared" si="135"/>
        <v>#DIV/0!</v>
      </c>
      <c r="J251" s="6" t="e">
        <f t="shared" si="135"/>
        <v>#DIV/0!</v>
      </c>
      <c r="K251" s="6" t="e">
        <f t="shared" si="135"/>
        <v>#DIV/0!</v>
      </c>
      <c r="L251" s="6" t="e">
        <f t="shared" si="135"/>
        <v>#DIV/0!</v>
      </c>
      <c r="M251" s="6" t="e">
        <f t="shared" si="135"/>
        <v>#DIV/0!</v>
      </c>
      <c r="N251" s="6" t="e">
        <f t="shared" si="135"/>
        <v>#DIV/0!</v>
      </c>
      <c r="O251" s="6" t="e">
        <f>O210/O223%</f>
        <v>#DIV/0!</v>
      </c>
      <c r="P251" s="319">
        <f t="shared" ref="P251" si="136">P210/P223%</f>
        <v>108.00212599472835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30</v>
      </c>
      <c r="E253" s="3">
        <f>E91</f>
        <v>15</v>
      </c>
      <c r="F253" s="3">
        <f>F91</f>
        <v>25</v>
      </c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70</v>
      </c>
    </row>
    <row r="254" spans="1:17" ht="15.75" x14ac:dyDescent="0.25">
      <c r="A254" s="331" t="s">
        <v>12</v>
      </c>
      <c r="B254" s="332"/>
      <c r="C254" s="4" t="s">
        <v>3</v>
      </c>
      <c r="D254" s="3">
        <v>5</v>
      </c>
      <c r="E254" s="3">
        <v>5</v>
      </c>
      <c r="F254" s="3">
        <v>5</v>
      </c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15</v>
      </c>
    </row>
    <row r="255" spans="1:17" ht="15.75" customHeight="1" x14ac:dyDescent="0.25">
      <c r="A255" s="331" t="s">
        <v>11</v>
      </c>
      <c r="B255" s="332"/>
      <c r="C255" s="4" t="s">
        <v>3</v>
      </c>
      <c r="D255" s="3">
        <v>38</v>
      </c>
      <c r="E255" s="3">
        <f t="shared" ref="E255:N255" si="137">E95</f>
        <v>30</v>
      </c>
      <c r="F255" s="3">
        <f t="shared" si="137"/>
        <v>20</v>
      </c>
      <c r="G255" s="3">
        <f t="shared" si="137"/>
        <v>20</v>
      </c>
      <c r="H255" s="3">
        <f>H95</f>
        <v>20</v>
      </c>
      <c r="I255" s="3">
        <f t="shared" si="137"/>
        <v>20</v>
      </c>
      <c r="J255" s="3">
        <f t="shared" si="137"/>
        <v>20</v>
      </c>
      <c r="K255" s="3">
        <f t="shared" si="137"/>
        <v>20</v>
      </c>
      <c r="L255" s="3">
        <f t="shared" si="137"/>
        <v>20</v>
      </c>
      <c r="M255" s="3">
        <f t="shared" si="137"/>
        <v>20</v>
      </c>
      <c r="N255" s="3">
        <f t="shared" si="137"/>
        <v>20</v>
      </c>
      <c r="O255" s="3"/>
      <c r="P255" s="410">
        <f>SUM(D255:O255)</f>
        <v>248</v>
      </c>
    </row>
    <row r="256" spans="1:17" ht="15.75" x14ac:dyDescent="0.25">
      <c r="A256" s="331" t="s">
        <v>10</v>
      </c>
      <c r="B256" s="332"/>
      <c r="C256" s="4" t="s">
        <v>3</v>
      </c>
      <c r="D256" s="3">
        <v>38</v>
      </c>
      <c r="E256" s="3">
        <f t="shared" ref="E256:N256" si="138">E91</f>
        <v>15</v>
      </c>
      <c r="F256" s="3">
        <f t="shared" si="138"/>
        <v>25</v>
      </c>
      <c r="G256" s="3">
        <f t="shared" si="138"/>
        <v>0</v>
      </c>
      <c r="H256" s="3">
        <f t="shared" si="138"/>
        <v>0</v>
      </c>
      <c r="I256" s="3">
        <f t="shared" si="138"/>
        <v>0</v>
      </c>
      <c r="J256" s="3">
        <f t="shared" si="138"/>
        <v>0</v>
      </c>
      <c r="K256" s="3">
        <f t="shared" si="138"/>
        <v>0</v>
      </c>
      <c r="L256" s="3">
        <f t="shared" si="138"/>
        <v>0</v>
      </c>
      <c r="M256" s="3">
        <f t="shared" si="138"/>
        <v>0</v>
      </c>
      <c r="N256" s="3">
        <f t="shared" si="138"/>
        <v>0</v>
      </c>
      <c r="O256" s="3"/>
      <c r="P256" s="320">
        <f>SUM(D256:O256)</f>
        <v>78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>
        <v>30</v>
      </c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90</v>
      </c>
    </row>
    <row r="258" spans="1:16" ht="15.75" x14ac:dyDescent="0.25">
      <c r="A258" s="333" t="s">
        <v>8</v>
      </c>
      <c r="B258" s="334"/>
      <c r="C258" s="4" t="s">
        <v>3</v>
      </c>
      <c r="D258" s="398">
        <f t="shared" ref="D258:N258" si="139">D257/D256</f>
        <v>0.78947368421052633</v>
      </c>
      <c r="E258" s="398">
        <f t="shared" si="139"/>
        <v>2</v>
      </c>
      <c r="F258" s="398">
        <f t="shared" si="139"/>
        <v>1.2</v>
      </c>
      <c r="G258" s="398" t="e">
        <f t="shared" si="139"/>
        <v>#DIV/0!</v>
      </c>
      <c r="H258" s="398" t="e">
        <f t="shared" si="139"/>
        <v>#DIV/0!</v>
      </c>
      <c r="I258" s="398" t="e">
        <f t="shared" si="139"/>
        <v>#DIV/0!</v>
      </c>
      <c r="J258" s="398" t="e">
        <f t="shared" si="139"/>
        <v>#DIV/0!</v>
      </c>
      <c r="K258" s="398" t="e">
        <f t="shared" si="139"/>
        <v>#DIV/0!</v>
      </c>
      <c r="L258" s="398" t="e">
        <f t="shared" si="139"/>
        <v>#DIV/0!</v>
      </c>
      <c r="M258" s="398" t="e">
        <f t="shared" si="139"/>
        <v>#DIV/0!</v>
      </c>
      <c r="N258" s="398" t="e">
        <f t="shared" si="139"/>
        <v>#DIV/0!</v>
      </c>
      <c r="O258" s="398"/>
      <c r="P258" s="320">
        <f t="shared" ref="P258" si="140">P257/P256</f>
        <v>1.1538461538461537</v>
      </c>
    </row>
    <row r="259" spans="1:16" ht="15.75" x14ac:dyDescent="0.25">
      <c r="A259" s="333" t="s">
        <v>7</v>
      </c>
      <c r="B259" s="334"/>
      <c r="C259" s="4" t="s">
        <v>6</v>
      </c>
      <c r="D259" s="1">
        <v>5.2631578947368398</v>
      </c>
      <c r="E259" s="1">
        <f>E92/E255*100</f>
        <v>0</v>
      </c>
      <c r="F259" s="1">
        <f t="shared" ref="F259:N259" si="141">F92/F255*100</f>
        <v>0</v>
      </c>
      <c r="G259" s="1">
        <f t="shared" si="141"/>
        <v>0</v>
      </c>
      <c r="H259" s="1">
        <f t="shared" si="141"/>
        <v>0</v>
      </c>
      <c r="I259" s="1">
        <f t="shared" si="141"/>
        <v>0</v>
      </c>
      <c r="J259" s="1">
        <f t="shared" si="141"/>
        <v>0</v>
      </c>
      <c r="K259" s="1">
        <f t="shared" si="141"/>
        <v>0</v>
      </c>
      <c r="L259" s="1">
        <f t="shared" si="141"/>
        <v>0</v>
      </c>
      <c r="M259" s="1">
        <f t="shared" si="141"/>
        <v>0</v>
      </c>
      <c r="N259" s="1">
        <f t="shared" si="141"/>
        <v>0</v>
      </c>
      <c r="O259" s="1"/>
      <c r="P259" s="321">
        <f t="shared" ref="P259" si="142">P92/P255*100</f>
        <v>0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12</v>
      </c>
      <c r="E261" s="3">
        <v>15</v>
      </c>
      <c r="F261" s="3">
        <v>20</v>
      </c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47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30</v>
      </c>
      <c r="E262" s="3">
        <v>30</v>
      </c>
      <c r="F262" s="3">
        <v>30</v>
      </c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90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0.4</v>
      </c>
      <c r="E263" s="106">
        <f t="shared" ref="E263:O263" si="143">E261/E262</f>
        <v>0.5</v>
      </c>
      <c r="F263" s="106">
        <f t="shared" si="143"/>
        <v>0.66666666666666663</v>
      </c>
      <c r="G263" s="106" t="e">
        <f t="shared" si="143"/>
        <v>#DIV/0!</v>
      </c>
      <c r="H263" s="106" t="e">
        <f t="shared" si="143"/>
        <v>#DIV/0!</v>
      </c>
      <c r="I263" s="106" t="e">
        <f t="shared" si="143"/>
        <v>#DIV/0!</v>
      </c>
      <c r="J263" s="106" t="e">
        <f t="shared" si="143"/>
        <v>#DIV/0!</v>
      </c>
      <c r="K263" s="106" t="e">
        <f t="shared" si="143"/>
        <v>#DIV/0!</v>
      </c>
      <c r="L263" s="106" t="e">
        <f t="shared" si="143"/>
        <v>#DIV/0!</v>
      </c>
      <c r="M263" s="106" t="e">
        <f t="shared" si="143"/>
        <v>#DIV/0!</v>
      </c>
      <c r="N263" s="106" t="e">
        <f t="shared" si="143"/>
        <v>#DIV/0!</v>
      </c>
      <c r="O263" s="106" t="e">
        <f t="shared" si="143"/>
        <v>#DIV/0!</v>
      </c>
      <c r="P263" s="167">
        <f t="shared" ref="P263" si="144">P261/P262</f>
        <v>0.52222222222222225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263"/>
  <sheetViews>
    <sheetView topLeftCell="A172" zoomScale="80" zoomScaleNormal="80" workbookViewId="0">
      <pane xSplit="3" topLeftCell="D1" activePane="topRight" state="frozen"/>
      <selection pane="topRight" activeCell="G258" sqref="G258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13500</v>
      </c>
      <c r="E9" s="52">
        <v>14160</v>
      </c>
      <c r="F9" s="52">
        <v>16850</v>
      </c>
      <c r="G9" s="52"/>
      <c r="H9" s="400"/>
      <c r="I9" s="52"/>
      <c r="J9" s="52"/>
      <c r="K9" s="52"/>
      <c r="L9" s="52"/>
      <c r="M9" s="52"/>
      <c r="N9" s="52"/>
      <c r="O9" s="255"/>
      <c r="P9" s="256">
        <f>SUM(D9:O9)</f>
        <v>44510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3924</v>
      </c>
      <c r="E11" s="22">
        <v>3444</v>
      </c>
      <c r="F11" s="22">
        <v>4557</v>
      </c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11925</v>
      </c>
    </row>
    <row r="12" spans="1:16" ht="15.75" x14ac:dyDescent="0.25">
      <c r="A12" s="338" t="s">
        <v>158</v>
      </c>
      <c r="B12" s="339"/>
      <c r="C12" s="4" t="s">
        <v>154</v>
      </c>
      <c r="D12" s="22">
        <v>4</v>
      </c>
      <c r="E12" s="22">
        <v>4</v>
      </c>
      <c r="F12" s="22">
        <v>4</v>
      </c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12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>
        <v>29</v>
      </c>
      <c r="E14" s="22">
        <v>38</v>
      </c>
      <c r="F14" s="22">
        <v>26</v>
      </c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93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3957</v>
      </c>
      <c r="E15" s="258">
        <f t="shared" si="0"/>
        <v>3486</v>
      </c>
      <c r="F15" s="258">
        <f t="shared" si="0"/>
        <v>4587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12030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4440</v>
      </c>
      <c r="E17" s="22">
        <v>3436.8</v>
      </c>
      <c r="F17" s="22">
        <v>4922</v>
      </c>
      <c r="G17" s="339"/>
      <c r="H17" s="339"/>
      <c r="I17" s="339"/>
      <c r="J17" s="339"/>
      <c r="K17" s="22"/>
      <c r="L17" s="22"/>
      <c r="M17" s="22"/>
      <c r="N17" s="22"/>
      <c r="O17" s="339"/>
      <c r="P17" s="257">
        <f>SUM(D17:O17)</f>
        <v>12798.8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10</v>
      </c>
      <c r="E18" s="22">
        <v>2</v>
      </c>
      <c r="F18" s="22">
        <v>10</v>
      </c>
      <c r="G18" s="339"/>
      <c r="H18" s="339"/>
      <c r="I18" s="339"/>
      <c r="J18" s="339"/>
      <c r="K18" s="22"/>
      <c r="L18" s="22"/>
      <c r="M18" s="22"/>
      <c r="N18" s="22"/>
      <c r="O18" s="339"/>
      <c r="P18" s="257">
        <f>SUM(D18:O18)</f>
        <v>22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313</v>
      </c>
      <c r="E19" s="22">
        <v>1866</v>
      </c>
      <c r="F19" s="22">
        <v>774</v>
      </c>
      <c r="G19" s="339"/>
      <c r="H19" s="339"/>
      <c r="I19" s="339"/>
      <c r="J19" s="339"/>
      <c r="K19" s="22"/>
      <c r="L19" s="22"/>
      <c r="M19" s="22"/>
      <c r="N19" s="22"/>
      <c r="O19" s="339"/>
      <c r="P19" s="257">
        <f>SUM(D19:O19)</f>
        <v>2953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214</v>
      </c>
      <c r="E20" s="22">
        <v>372</v>
      </c>
      <c r="F20" s="22">
        <v>389</v>
      </c>
      <c r="G20" s="22"/>
      <c r="H20" s="332"/>
      <c r="I20" s="332"/>
      <c r="J20" s="332"/>
      <c r="K20" s="22"/>
      <c r="L20" s="22"/>
      <c r="M20" s="22"/>
      <c r="N20" s="22"/>
      <c r="O20" s="332"/>
      <c r="P20" s="257">
        <f>SUM(D20:O20)</f>
        <v>975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4977</v>
      </c>
      <c r="E21" s="258">
        <f t="shared" ref="E21:P21" si="1">SUM(E17:E20)</f>
        <v>5676.8</v>
      </c>
      <c r="F21" s="258">
        <f t="shared" si="1"/>
        <v>6095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16748.8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8934</v>
      </c>
      <c r="E22" s="258">
        <f t="shared" ref="E22:P22" si="2">E21+E15</f>
        <v>9162.7999999999993</v>
      </c>
      <c r="F22" s="258">
        <f t="shared" si="2"/>
        <v>10682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28778.799999999999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4566</v>
      </c>
      <c r="E24" s="261">
        <f t="shared" ref="E24:P24" si="3">E9-E22</f>
        <v>4997.2000000000007</v>
      </c>
      <c r="F24" s="261">
        <f t="shared" si="3"/>
        <v>6168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15731.2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0.3382222222222222</v>
      </c>
      <c r="E25" s="265">
        <f t="shared" si="4"/>
        <v>0.35290960451977404</v>
      </c>
      <c r="F25" s="265">
        <f t="shared" si="4"/>
        <v>0.36605341246290801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0.35343068973264435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8">
        <v>80</v>
      </c>
      <c r="E29" s="414">
        <v>60</v>
      </c>
      <c r="F29" s="38">
        <v>80</v>
      </c>
      <c r="G29" s="38"/>
      <c r="H29" s="38"/>
      <c r="I29" s="414"/>
      <c r="J29" s="38"/>
      <c r="K29" s="38"/>
      <c r="L29" s="38"/>
      <c r="M29" s="38"/>
      <c r="N29" s="38"/>
      <c r="O29" s="38"/>
      <c r="P29" s="274">
        <f>SUM(D29:O29)</f>
        <v>220</v>
      </c>
    </row>
    <row r="30" spans="1:18" ht="15.75" x14ac:dyDescent="0.25">
      <c r="A30" s="187"/>
      <c r="B30" s="441"/>
      <c r="C30" s="37" t="s">
        <v>141</v>
      </c>
      <c r="D30" s="13">
        <f t="shared" ref="D30:P30" si="5">D29/(D9/1000)</f>
        <v>5.9259259259259256</v>
      </c>
      <c r="E30" s="13">
        <f t="shared" si="5"/>
        <v>4.2372881355932206</v>
      </c>
      <c r="F30" s="13">
        <f t="shared" si="5"/>
        <v>4.7477744807121658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4.942709503482364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>
        <v>84</v>
      </c>
      <c r="E35" s="11">
        <v>54</v>
      </c>
      <c r="F35" s="11">
        <v>81</v>
      </c>
      <c r="G35" s="11"/>
      <c r="H35" s="277"/>
      <c r="I35" s="277"/>
      <c r="J35" s="277"/>
      <c r="K35" s="11"/>
      <c r="L35" s="438"/>
      <c r="M35" s="11"/>
      <c r="N35" s="11"/>
      <c r="O35" s="277"/>
      <c r="P35" s="276"/>
    </row>
    <row r="36" spans="1:16" ht="15.75" x14ac:dyDescent="0.25">
      <c r="A36" s="187"/>
      <c r="B36" s="441"/>
      <c r="C36" s="4" t="s">
        <v>144</v>
      </c>
      <c r="D36" s="13">
        <f>D35/(D15/1000)</f>
        <v>21.228203184230477</v>
      </c>
      <c r="E36" s="13">
        <f t="shared" ref="E36:P36" si="8">E35/(E15/1000)</f>
        <v>15.490533562822719</v>
      </c>
      <c r="F36" s="13">
        <f t="shared" si="8"/>
        <v>17.658600392413344</v>
      </c>
      <c r="G36" s="13" t="e">
        <f t="shared" si="8"/>
        <v>#DIV/0!</v>
      </c>
      <c r="H36" s="13" t="e">
        <f t="shared" si="8"/>
        <v>#DIV/0!</v>
      </c>
      <c r="I36" s="13" t="e">
        <f t="shared" si="8"/>
        <v>#DIV/0!</v>
      </c>
      <c r="J36" s="13" t="e">
        <f t="shared" si="8"/>
        <v>#DIV/0!</v>
      </c>
      <c r="K36" s="13" t="e">
        <f t="shared" si="8"/>
        <v>#DIV/0!</v>
      </c>
      <c r="L36" s="13" t="e">
        <f t="shared" si="8"/>
        <v>#DIV/0!</v>
      </c>
      <c r="M36" s="13" t="e">
        <f t="shared" si="8"/>
        <v>#DIV/0!</v>
      </c>
      <c r="N36" s="13" t="e">
        <f t="shared" si="8"/>
        <v>#DIV/0!</v>
      </c>
      <c r="O36" s="13"/>
      <c r="P36" s="13">
        <f t="shared" si="8"/>
        <v>0</v>
      </c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 t="shared" ref="D38:P38" si="9">D37/(D9/1000)</f>
        <v>0</v>
      </c>
      <c r="E38" s="13">
        <f t="shared" si="9"/>
        <v>0</v>
      </c>
      <c r="F38" s="13">
        <f t="shared" si="9"/>
        <v>0</v>
      </c>
      <c r="G38" s="275" t="e">
        <f t="shared" si="9"/>
        <v>#DIV/0!</v>
      </c>
      <c r="H38" s="275" t="e">
        <f t="shared" si="9"/>
        <v>#DIV/0!</v>
      </c>
      <c r="I38" s="275" t="e">
        <f t="shared" si="9"/>
        <v>#DIV/0!</v>
      </c>
      <c r="J38" s="275" t="e">
        <f t="shared" si="9"/>
        <v>#DIV/0!</v>
      </c>
      <c r="K38" s="275" t="e">
        <f t="shared" si="9"/>
        <v>#DIV/0!</v>
      </c>
      <c r="L38" s="275" t="e">
        <f t="shared" si="9"/>
        <v>#DIV/0!</v>
      </c>
      <c r="M38" s="275" t="e">
        <f t="shared" si="9"/>
        <v>#DIV/0!</v>
      </c>
      <c r="N38" s="275" t="e">
        <f t="shared" si="9"/>
        <v>#DIV/0!</v>
      </c>
      <c r="O38" s="275"/>
      <c r="P38" s="276">
        <f t="shared" si="9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 t="shared" ref="D40:P40" si="10">D39/(D9/1000)</f>
        <v>0</v>
      </c>
      <c r="E40" s="13">
        <f t="shared" si="10"/>
        <v>0</v>
      </c>
      <c r="F40" s="13">
        <f t="shared" si="10"/>
        <v>0</v>
      </c>
      <c r="G40" s="275" t="e">
        <f t="shared" si="10"/>
        <v>#DIV/0!</v>
      </c>
      <c r="H40" s="275" t="e">
        <f t="shared" si="10"/>
        <v>#DIV/0!</v>
      </c>
      <c r="I40" s="275" t="e">
        <f t="shared" si="10"/>
        <v>#DIV/0!</v>
      </c>
      <c r="J40" s="275" t="e">
        <f t="shared" si="10"/>
        <v>#DIV/0!</v>
      </c>
      <c r="K40" s="275" t="e">
        <f t="shared" si="10"/>
        <v>#DIV/0!</v>
      </c>
      <c r="L40" s="275" t="e">
        <f t="shared" si="10"/>
        <v>#DIV/0!</v>
      </c>
      <c r="M40" s="275" t="e">
        <f t="shared" si="10"/>
        <v>#DIV/0!</v>
      </c>
      <c r="N40" s="275" t="e">
        <f t="shared" si="10"/>
        <v>#DIV/0!</v>
      </c>
      <c r="O40" s="275"/>
      <c r="P40" s="276">
        <f t="shared" si="10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911249.39999999991</v>
      </c>
      <c r="E41" s="278">
        <f t="shared" ref="E41:O41" si="11">(E29*$B29)+(E31*$B31)+(E33*$B33)+(E35*$B35)+(E37*$B37)+(E39*$B39)</f>
        <v>629617.5</v>
      </c>
      <c r="F41" s="278">
        <f t="shared" si="11"/>
        <v>893309.55</v>
      </c>
      <c r="G41" s="278">
        <f t="shared" si="11"/>
        <v>0</v>
      </c>
      <c r="H41" s="278">
        <f t="shared" si="11"/>
        <v>0</v>
      </c>
      <c r="I41" s="278">
        <f t="shared" si="11"/>
        <v>0</v>
      </c>
      <c r="J41" s="278">
        <f t="shared" si="11"/>
        <v>0</v>
      </c>
      <c r="K41" s="278">
        <f t="shared" si="11"/>
        <v>0</v>
      </c>
      <c r="L41" s="278">
        <f t="shared" si="11"/>
        <v>0</v>
      </c>
      <c r="M41" s="278">
        <f t="shared" si="11"/>
        <v>0</v>
      </c>
      <c r="N41" s="278">
        <f t="shared" si="11"/>
        <v>0</v>
      </c>
      <c r="O41" s="278">
        <f t="shared" si="11"/>
        <v>0</v>
      </c>
      <c r="P41" s="34">
        <f>SUM(D41:O41)</f>
        <v>2434176.4500000002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2">D41/D9</f>
        <v>67.499955555555545</v>
      </c>
      <c r="E42" s="275">
        <f t="shared" si="12"/>
        <v>44.464512711864408</v>
      </c>
      <c r="F42" s="275">
        <f t="shared" si="12"/>
        <v>53.015403560830862</v>
      </c>
      <c r="G42" s="275" t="e">
        <f t="shared" si="12"/>
        <v>#DIV/0!</v>
      </c>
      <c r="H42" s="275" t="e">
        <f t="shared" si="12"/>
        <v>#DIV/0!</v>
      </c>
      <c r="I42" s="275" t="e">
        <f t="shared" si="12"/>
        <v>#DIV/0!</v>
      </c>
      <c r="J42" s="275" t="e">
        <f t="shared" si="12"/>
        <v>#DIV/0!</v>
      </c>
      <c r="K42" s="275" t="e">
        <f t="shared" si="12"/>
        <v>#DIV/0!</v>
      </c>
      <c r="L42" s="275" t="e">
        <f t="shared" si="12"/>
        <v>#DIV/0!</v>
      </c>
      <c r="M42" s="275" t="e">
        <f t="shared" si="12"/>
        <v>#DIV/0!</v>
      </c>
      <c r="N42" s="275" t="e">
        <f t="shared" si="12"/>
        <v>#DIV/0!</v>
      </c>
      <c r="O42" s="275" t="e">
        <f t="shared" si="12"/>
        <v>#DIV/0!</v>
      </c>
      <c r="P42" s="39">
        <f t="shared" si="12"/>
        <v>54.688304875308923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32000</v>
      </c>
      <c r="E44" s="415">
        <v>32000</v>
      </c>
      <c r="F44" s="3">
        <v>32000</v>
      </c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96000</v>
      </c>
    </row>
    <row r="45" spans="1:16" ht="15.75" x14ac:dyDescent="0.25">
      <c r="A45" s="382" t="s">
        <v>135</v>
      </c>
      <c r="B45" s="383"/>
      <c r="C45" s="37" t="s">
        <v>134</v>
      </c>
      <c r="D45" s="13">
        <f>D44/D9</f>
        <v>2.3703703703703702</v>
      </c>
      <c r="E45" s="13">
        <f t="shared" ref="E45:P45" si="13">E44/E9</f>
        <v>2.2598870056497176</v>
      </c>
      <c r="F45" s="13">
        <f t="shared" si="13"/>
        <v>1.8991097922848665</v>
      </c>
      <c r="G45" s="13" t="e">
        <f t="shared" si="13"/>
        <v>#DIV/0!</v>
      </c>
      <c r="H45" s="275" t="e">
        <f t="shared" si="13"/>
        <v>#DIV/0!</v>
      </c>
      <c r="I45" s="275" t="e">
        <f t="shared" si="13"/>
        <v>#DIV/0!</v>
      </c>
      <c r="J45" s="275" t="e">
        <f t="shared" si="13"/>
        <v>#DIV/0!</v>
      </c>
      <c r="K45" s="275" t="e">
        <f t="shared" si="13"/>
        <v>#DIV/0!</v>
      </c>
      <c r="L45" s="275" t="e">
        <f t="shared" si="13"/>
        <v>#DIV/0!</v>
      </c>
      <c r="M45" s="275" t="e">
        <f t="shared" si="13"/>
        <v>#DIV/0!</v>
      </c>
      <c r="N45" s="275" t="e">
        <f t="shared" si="13"/>
        <v>#DIV/0!</v>
      </c>
      <c r="O45" s="275"/>
      <c r="P45" s="276">
        <f t="shared" si="13"/>
        <v>2.1568186924286676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10683840</v>
      </c>
      <c r="E46" s="403">
        <f>1.165*(14100+(E44*119.1))</f>
        <v>4456474.5</v>
      </c>
      <c r="F46" s="403">
        <f>1.165*(14100+(F44*119.1))</f>
        <v>4456474.5</v>
      </c>
      <c r="G46" s="403">
        <f t="shared" ref="G46:N46" si="14">1.165*(14100+(G44*119.1))</f>
        <v>16426.5</v>
      </c>
      <c r="H46" s="403">
        <f t="shared" si="14"/>
        <v>16426.5</v>
      </c>
      <c r="I46" s="403">
        <f t="shared" si="14"/>
        <v>16426.5</v>
      </c>
      <c r="J46" s="403">
        <f t="shared" si="14"/>
        <v>16426.5</v>
      </c>
      <c r="K46" s="403">
        <f t="shared" si="14"/>
        <v>16426.5</v>
      </c>
      <c r="L46" s="403">
        <f t="shared" si="14"/>
        <v>16426.5</v>
      </c>
      <c r="M46" s="403">
        <f t="shared" si="14"/>
        <v>16426.5</v>
      </c>
      <c r="N46" s="403">
        <f t="shared" si="14"/>
        <v>16426.5</v>
      </c>
      <c r="O46" s="403"/>
      <c r="P46" s="34">
        <f>SUM(D46:O46)</f>
        <v>19728201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5">D46/D9</f>
        <v>791.39555555555557</v>
      </c>
      <c r="E47" s="13">
        <f t="shared" si="15"/>
        <v>314.72277542372882</v>
      </c>
      <c r="F47" s="13">
        <f t="shared" si="15"/>
        <v>264.47919881305637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 t="shared" si="15"/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/>
      <c r="P47" s="276">
        <f t="shared" si="15"/>
        <v>443.23075713322851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415"/>
      <c r="F50" s="3"/>
      <c r="G50" s="3"/>
      <c r="H50" s="3"/>
      <c r="I50" s="3"/>
      <c r="J50" s="3"/>
      <c r="K50" s="415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>
        <f>D50*2734</f>
        <v>0</v>
      </c>
      <c r="E51" s="11">
        <f>E50*2734</f>
        <v>0</v>
      </c>
      <c r="F51" s="11">
        <f>F50*2734</f>
        <v>0</v>
      </c>
      <c r="G51" s="11">
        <f>G50*2734</f>
        <v>0</v>
      </c>
      <c r="H51" s="11"/>
      <c r="I51" s="11"/>
      <c r="J51" s="11">
        <f t="shared" ref="J51" si="16">J50*2734</f>
        <v>0</v>
      </c>
      <c r="K51" s="11"/>
      <c r="L51" s="11">
        <f t="shared" ref="L51" si="17">L50*2734</f>
        <v>0</v>
      </c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3">
        <v>12607527.760000002</v>
      </c>
      <c r="E54" s="3">
        <v>12936771.619999999</v>
      </c>
      <c r="F54" s="3">
        <v>12936771.619999999</v>
      </c>
      <c r="G54" s="3"/>
      <c r="H54" s="3"/>
      <c r="I54" s="3"/>
      <c r="J54" s="3"/>
      <c r="K54" s="11"/>
      <c r="L54" s="11"/>
      <c r="M54" s="396"/>
      <c r="N54" s="396"/>
      <c r="O54" s="3"/>
      <c r="P54" s="34">
        <f>SUM(D54:O54)</f>
        <v>38481071</v>
      </c>
    </row>
    <row r="55" spans="1:16" ht="15.75" x14ac:dyDescent="0.25">
      <c r="A55" s="281" t="s">
        <v>123</v>
      </c>
      <c r="B55" s="260"/>
      <c r="C55" s="4" t="s">
        <v>18</v>
      </c>
      <c r="D55" s="3">
        <v>2714570.986</v>
      </c>
      <c r="E55" s="415">
        <v>2585701.2850000001</v>
      </c>
      <c r="F55" s="3">
        <v>3664734.63</v>
      </c>
      <c r="G55" s="3"/>
      <c r="H55" s="3"/>
      <c r="I55" s="3"/>
      <c r="J55" s="3"/>
      <c r="K55" s="415"/>
      <c r="L55" s="11"/>
      <c r="M55" s="3"/>
      <c r="N55" s="3"/>
      <c r="O55" s="3"/>
      <c r="P55" s="34">
        <f>SUM(D55:O55)</f>
        <v>8965006.9010000005</v>
      </c>
    </row>
    <row r="56" spans="1:16" ht="15.75" x14ac:dyDescent="0.25">
      <c r="A56" s="331" t="s">
        <v>122</v>
      </c>
      <c r="B56" s="332"/>
      <c r="C56" s="4" t="s">
        <v>18</v>
      </c>
      <c r="D56" s="11">
        <v>4923595</v>
      </c>
      <c r="E56" s="11">
        <v>3137787</v>
      </c>
      <c r="F56" s="11">
        <v>1559000</v>
      </c>
      <c r="G56" s="11"/>
      <c r="H56" s="11"/>
      <c r="I56" s="11"/>
      <c r="J56" s="11"/>
      <c r="K56" s="11"/>
      <c r="L56" s="11"/>
      <c r="M56" s="396"/>
      <c r="N56" s="11"/>
      <c r="O56" s="11"/>
      <c r="P56" s="34">
        <f>SUM(D56:O56)</f>
        <v>9620382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31840783.146000005</v>
      </c>
      <c r="E58" s="11">
        <f t="shared" ref="E58:N58" si="18">E41+E46+E51+E52+E54+E55+E56</f>
        <v>23746351.904999997</v>
      </c>
      <c r="F58" s="11">
        <f t="shared" si="18"/>
        <v>23510290.299999997</v>
      </c>
      <c r="G58" s="277">
        <f t="shared" si="18"/>
        <v>16426.5</v>
      </c>
      <c r="H58" s="277">
        <f t="shared" si="18"/>
        <v>16426.5</v>
      </c>
      <c r="I58" s="277">
        <f t="shared" si="18"/>
        <v>16426.5</v>
      </c>
      <c r="J58" s="404">
        <f t="shared" si="18"/>
        <v>16426.5</v>
      </c>
      <c r="K58" s="404">
        <f t="shared" si="18"/>
        <v>16426.5</v>
      </c>
      <c r="L58" s="404">
        <f t="shared" si="18"/>
        <v>16426.5</v>
      </c>
      <c r="M58" s="404">
        <f t="shared" si="18"/>
        <v>16426.5</v>
      </c>
      <c r="N58" s="404">
        <f t="shared" si="18"/>
        <v>16426.5</v>
      </c>
      <c r="O58" s="404"/>
      <c r="P58" s="59">
        <f>SUM(D58:O58)</f>
        <v>79228837.350999996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9">D58/D9</f>
        <v>2358.5765293333338</v>
      </c>
      <c r="E59" s="13">
        <f t="shared" si="19"/>
        <v>1677.0022531779659</v>
      </c>
      <c r="F59" s="13">
        <f t="shared" si="19"/>
        <v>1395.2694540059344</v>
      </c>
      <c r="G59" s="275" t="e">
        <f t="shared" si="19"/>
        <v>#DIV/0!</v>
      </c>
      <c r="H59" s="275" t="e">
        <f t="shared" si="19"/>
        <v>#DIV/0!</v>
      </c>
      <c r="I59" s="275" t="e">
        <f t="shared" si="19"/>
        <v>#DIV/0!</v>
      </c>
      <c r="J59" s="275" t="e">
        <f t="shared" si="19"/>
        <v>#DIV/0!</v>
      </c>
      <c r="K59" s="275" t="e">
        <f t="shared" si="19"/>
        <v>#DIV/0!</v>
      </c>
      <c r="L59" s="275" t="e">
        <f t="shared" si="19"/>
        <v>#DIV/0!</v>
      </c>
      <c r="M59" s="275" t="e">
        <f t="shared" si="19"/>
        <v>#DIV/0!</v>
      </c>
      <c r="N59" s="275" t="e">
        <f t="shared" si="19"/>
        <v>#DIV/0!</v>
      </c>
      <c r="O59" s="275"/>
      <c r="P59" s="276">
        <f t="shared" si="19"/>
        <v>1780.0233060211187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3564.0007998656824</v>
      </c>
      <c r="E60" s="13">
        <f t="shared" ref="E60:N60" si="20">E58/E22</f>
        <v>2591.604302724058</v>
      </c>
      <c r="F60" s="13">
        <f t="shared" si="20"/>
        <v>2200.9258846657926</v>
      </c>
      <c r="G60" s="275" t="e">
        <f t="shared" si="20"/>
        <v>#DIV/0!</v>
      </c>
      <c r="H60" s="275" t="e">
        <f t="shared" si="20"/>
        <v>#DIV/0!</v>
      </c>
      <c r="I60" s="275" t="e">
        <f t="shared" si="20"/>
        <v>#DIV/0!</v>
      </c>
      <c r="J60" s="275" t="e">
        <f t="shared" si="20"/>
        <v>#DIV/0!</v>
      </c>
      <c r="K60" s="275" t="e">
        <f t="shared" si="20"/>
        <v>#DIV/0!</v>
      </c>
      <c r="L60" s="275" t="e">
        <f t="shared" si="20"/>
        <v>#DIV/0!</v>
      </c>
      <c r="M60" s="275" t="e">
        <f t="shared" si="20"/>
        <v>#DIV/0!</v>
      </c>
      <c r="N60" s="275" t="e">
        <f t="shared" si="20"/>
        <v>#DIV/0!</v>
      </c>
      <c r="O60" s="275"/>
      <c r="P60" s="282">
        <f>P58/P22</f>
        <v>2753.0278312855294</v>
      </c>
    </row>
    <row r="61" spans="1:16" ht="15.75" x14ac:dyDescent="0.25">
      <c r="A61" s="331" t="s">
        <v>116</v>
      </c>
      <c r="B61" s="332"/>
      <c r="C61" s="4" t="s">
        <v>3</v>
      </c>
      <c r="D61" s="3">
        <v>9</v>
      </c>
      <c r="E61" s="3">
        <v>9</v>
      </c>
      <c r="F61" s="3">
        <v>9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21">(D61*1000*31)/D9</f>
        <v>20.666666666666668</v>
      </c>
      <c r="E62" s="13">
        <f t="shared" si="21"/>
        <v>19.703389830508474</v>
      </c>
      <c r="F62" s="13">
        <f t="shared" si="21"/>
        <v>16.557863501483681</v>
      </c>
      <c r="G62" s="275" t="e">
        <f t="shared" si="21"/>
        <v>#DIV/0!</v>
      </c>
      <c r="H62" s="275" t="e">
        <f t="shared" si="21"/>
        <v>#DIV/0!</v>
      </c>
      <c r="I62" s="13" t="e">
        <f t="shared" si="21"/>
        <v>#DIV/0!</v>
      </c>
      <c r="J62" s="275" t="e">
        <f t="shared" si="21"/>
        <v>#DIV/0!</v>
      </c>
      <c r="K62" s="275" t="e">
        <f t="shared" si="21"/>
        <v>#DIV/0!</v>
      </c>
      <c r="L62" s="275" t="e">
        <f t="shared" si="21"/>
        <v>#DIV/0!</v>
      </c>
      <c r="M62" s="275" t="e">
        <f>(M61*1000*31)/M9</f>
        <v>#DIV/0!</v>
      </c>
      <c r="N62" s="275" t="e">
        <f t="shared" si="21"/>
        <v>#DIV/0!</v>
      </c>
      <c r="O62" s="275"/>
      <c r="P62" s="276">
        <f t="shared" si="21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19</v>
      </c>
      <c r="E63" s="3">
        <v>19</v>
      </c>
      <c r="F63" s="3">
        <v>19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57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8</v>
      </c>
      <c r="E66" s="3">
        <f>D71</f>
        <v>10</v>
      </c>
      <c r="F66" s="3">
        <f>E71</f>
        <v>10</v>
      </c>
      <c r="G66" s="3">
        <f t="shared" ref="G66:N66" si="22">F71</f>
        <v>16</v>
      </c>
      <c r="H66" s="3">
        <f t="shared" si="22"/>
        <v>16</v>
      </c>
      <c r="I66" s="3">
        <f t="shared" si="22"/>
        <v>16</v>
      </c>
      <c r="J66" s="3">
        <f t="shared" si="22"/>
        <v>16</v>
      </c>
      <c r="K66" s="3">
        <f t="shared" si="22"/>
        <v>16</v>
      </c>
      <c r="L66" s="3">
        <f t="shared" si="22"/>
        <v>16</v>
      </c>
      <c r="M66" s="3">
        <f t="shared" si="22"/>
        <v>16</v>
      </c>
      <c r="N66" s="3">
        <f t="shared" si="22"/>
        <v>16</v>
      </c>
      <c r="O66" s="3"/>
      <c r="P66" s="31">
        <f>D66</f>
        <v>8</v>
      </c>
    </row>
    <row r="67" spans="1:16" ht="15.75" x14ac:dyDescent="0.25">
      <c r="A67" s="325"/>
      <c r="B67" s="4" t="s">
        <v>106</v>
      </c>
      <c r="C67" s="4" t="s">
        <v>3</v>
      </c>
      <c r="D67" s="3">
        <v>12</v>
      </c>
      <c r="E67" s="3">
        <v>12</v>
      </c>
      <c r="F67" s="3">
        <v>20</v>
      </c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44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>
        <v>1</v>
      </c>
      <c r="F68" s="3">
        <v>1</v>
      </c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3">SUM(D68:O68)</f>
        <v>2</v>
      </c>
    </row>
    <row r="69" spans="1:16" ht="15.75" x14ac:dyDescent="0.25">
      <c r="A69" s="325"/>
      <c r="B69" s="4" t="s">
        <v>104</v>
      </c>
      <c r="C69" s="4" t="s">
        <v>3</v>
      </c>
      <c r="D69" s="3">
        <v>10</v>
      </c>
      <c r="E69" s="3">
        <v>11</v>
      </c>
      <c r="F69" s="3">
        <v>13</v>
      </c>
      <c r="G69" s="3"/>
      <c r="H69" s="3"/>
      <c r="I69" s="3"/>
      <c r="J69" s="3"/>
      <c r="K69" s="3"/>
      <c r="L69" s="120"/>
      <c r="M69" s="3"/>
      <c r="N69" s="3"/>
      <c r="O69" s="3"/>
      <c r="P69" s="31">
        <f t="shared" si="23"/>
        <v>34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10</v>
      </c>
      <c r="E70" s="3">
        <f t="shared" ref="E70:N70" si="24">E68+E69</f>
        <v>12</v>
      </c>
      <c r="F70" s="3">
        <f t="shared" si="24"/>
        <v>14</v>
      </c>
      <c r="G70" s="3">
        <f t="shared" si="24"/>
        <v>0</v>
      </c>
      <c r="H70" s="3"/>
      <c r="I70" s="3">
        <f t="shared" si="24"/>
        <v>0</v>
      </c>
      <c r="J70" s="3">
        <f t="shared" si="24"/>
        <v>0</v>
      </c>
      <c r="K70" s="3">
        <f t="shared" si="24"/>
        <v>0</v>
      </c>
      <c r="L70" s="3">
        <f t="shared" si="24"/>
        <v>0</v>
      </c>
      <c r="M70" s="3">
        <f t="shared" si="24"/>
        <v>0</v>
      </c>
      <c r="N70" s="3">
        <f t="shared" si="24"/>
        <v>0</v>
      </c>
      <c r="O70" s="3"/>
      <c r="P70" s="285">
        <f t="shared" ref="P70" si="25">P68+P69</f>
        <v>36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10</v>
      </c>
      <c r="E71" s="22">
        <f>E66+E67-E70</f>
        <v>10</v>
      </c>
      <c r="F71" s="22">
        <f t="shared" ref="F71:N71" si="26">F66+F67-F70</f>
        <v>16</v>
      </c>
      <c r="G71" s="22">
        <f t="shared" si="26"/>
        <v>16</v>
      </c>
      <c r="H71" s="22">
        <f t="shared" si="26"/>
        <v>16</v>
      </c>
      <c r="I71" s="22">
        <f t="shared" si="26"/>
        <v>16</v>
      </c>
      <c r="J71" s="402">
        <f t="shared" si="26"/>
        <v>16</v>
      </c>
      <c r="K71" s="22">
        <f t="shared" si="26"/>
        <v>16</v>
      </c>
      <c r="L71" s="22">
        <f t="shared" si="26"/>
        <v>16</v>
      </c>
      <c r="M71" s="22">
        <f t="shared" si="26"/>
        <v>16</v>
      </c>
      <c r="N71" s="22">
        <f t="shared" si="26"/>
        <v>16</v>
      </c>
      <c r="O71" s="22"/>
      <c r="P71" s="287">
        <f>P66+P67-P70</f>
        <v>16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8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8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>
        <f t="shared" si="29"/>
        <v>0</v>
      </c>
      <c r="J76" s="284">
        <f t="shared" si="29"/>
        <v>0</v>
      </c>
      <c r="K76" s="284">
        <f t="shared" si="29"/>
        <v>0</v>
      </c>
      <c r="L76" s="284"/>
      <c r="M76" s="284">
        <f t="shared" si="29"/>
        <v>0</v>
      </c>
      <c r="N76" s="284">
        <f t="shared" si="29"/>
        <v>0</v>
      </c>
      <c r="O76" s="284"/>
      <c r="P76" s="285">
        <f t="shared" ref="P76" si="30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>
        <f t="shared" si="31"/>
        <v>0</v>
      </c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2">E83</f>
        <v>0</v>
      </c>
      <c r="G78" s="3">
        <f t="shared" si="32"/>
        <v>0</v>
      </c>
      <c r="H78" s="3">
        <f t="shared" si="32"/>
        <v>0</v>
      </c>
      <c r="I78" s="3">
        <f t="shared" si="32"/>
        <v>0</v>
      </c>
      <c r="J78" s="3">
        <f t="shared" si="32"/>
        <v>0</v>
      </c>
      <c r="K78" s="3">
        <f t="shared" si="32"/>
        <v>0</v>
      </c>
      <c r="L78" s="3">
        <f t="shared" si="32"/>
        <v>0</v>
      </c>
      <c r="M78" s="3">
        <f t="shared" si="32"/>
        <v>0</v>
      </c>
      <c r="N78" s="3">
        <f t="shared" si="32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3">E81+E80</f>
        <v>0</v>
      </c>
      <c r="F82" s="3">
        <f t="shared" si="33"/>
        <v>0</v>
      </c>
      <c r="G82" s="3">
        <f t="shared" si="33"/>
        <v>0</v>
      </c>
      <c r="H82" s="3">
        <f t="shared" si="33"/>
        <v>0</v>
      </c>
      <c r="I82" s="284">
        <f t="shared" ref="I82:K82" si="34">I80+I81</f>
        <v>0</v>
      </c>
      <c r="J82" s="284">
        <f t="shared" si="34"/>
        <v>0</v>
      </c>
      <c r="K82" s="284">
        <f t="shared" si="34"/>
        <v>0</v>
      </c>
      <c r="L82" s="284"/>
      <c r="M82" s="284">
        <f t="shared" ref="M82:P82" si="35">M81+M80</f>
        <v>0</v>
      </c>
      <c r="N82" s="284">
        <f t="shared" si="35"/>
        <v>0</v>
      </c>
      <c r="O82" s="284"/>
      <c r="P82" s="288">
        <f t="shared" si="35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6">E78+E79-E82</f>
        <v>0</v>
      </c>
      <c r="F83" s="22">
        <f t="shared" si="36"/>
        <v>0</v>
      </c>
      <c r="G83" s="22">
        <f t="shared" si="36"/>
        <v>0</v>
      </c>
      <c r="H83" s="22">
        <f t="shared" si="36"/>
        <v>0</v>
      </c>
      <c r="I83" s="286">
        <f t="shared" si="36"/>
        <v>0</v>
      </c>
      <c r="J83" s="286">
        <f t="shared" si="36"/>
        <v>0</v>
      </c>
      <c r="K83" s="286">
        <f t="shared" si="36"/>
        <v>0</v>
      </c>
      <c r="L83" s="286">
        <f t="shared" si="36"/>
        <v>0</v>
      </c>
      <c r="M83" s="286">
        <f t="shared" si="36"/>
        <v>0</v>
      </c>
      <c r="N83" s="286">
        <f t="shared" si="36"/>
        <v>0</v>
      </c>
      <c r="O83" s="286"/>
      <c r="P83" s="289">
        <f t="shared" si="36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8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8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9">E86+E87</f>
        <v>0</v>
      </c>
      <c r="F88" s="3">
        <f t="shared" si="39"/>
        <v>0</v>
      </c>
      <c r="G88" s="3">
        <f t="shared" si="39"/>
        <v>0</v>
      </c>
      <c r="H88" s="3">
        <f t="shared" si="39"/>
        <v>0</v>
      </c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/>
      <c r="P88" s="31">
        <f t="shared" si="38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0">E84+E85-E88</f>
        <v>0</v>
      </c>
      <c r="F89" s="22">
        <f t="shared" si="40"/>
        <v>0</v>
      </c>
      <c r="G89" s="22">
        <f t="shared" si="40"/>
        <v>0</v>
      </c>
      <c r="H89" s="22">
        <f t="shared" si="40"/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/>
      <c r="P89" s="289">
        <f t="shared" ref="P89" si="41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2">D66+D72+D78+D84</f>
        <v>8</v>
      </c>
      <c r="E90" s="122">
        <f t="shared" si="42"/>
        <v>10</v>
      </c>
      <c r="F90" s="122">
        <f t="shared" si="42"/>
        <v>10</v>
      </c>
      <c r="G90" s="122">
        <f t="shared" si="42"/>
        <v>16</v>
      </c>
      <c r="H90" s="122">
        <f t="shared" si="42"/>
        <v>16</v>
      </c>
      <c r="I90" s="122">
        <f t="shared" si="42"/>
        <v>16</v>
      </c>
      <c r="J90" s="122">
        <f t="shared" si="42"/>
        <v>16</v>
      </c>
      <c r="K90" s="122">
        <f t="shared" si="42"/>
        <v>16</v>
      </c>
      <c r="L90" s="122">
        <f t="shared" si="42"/>
        <v>16</v>
      </c>
      <c r="M90" s="122">
        <f t="shared" si="42"/>
        <v>16</v>
      </c>
      <c r="N90" s="122">
        <f t="shared" si="42"/>
        <v>16</v>
      </c>
      <c r="O90" s="122"/>
      <c r="P90" s="31">
        <f>D90</f>
        <v>8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2"/>
        <v>12</v>
      </c>
      <c r="E91" s="122">
        <f t="shared" si="42"/>
        <v>12</v>
      </c>
      <c r="F91" s="122">
        <f t="shared" si="42"/>
        <v>20</v>
      </c>
      <c r="G91" s="122">
        <f t="shared" si="42"/>
        <v>0</v>
      </c>
      <c r="H91" s="122">
        <f t="shared" si="42"/>
        <v>0</v>
      </c>
      <c r="I91" s="122">
        <f t="shared" si="42"/>
        <v>0</v>
      </c>
      <c r="J91" s="122">
        <f t="shared" si="42"/>
        <v>0</v>
      </c>
      <c r="K91" s="122">
        <f t="shared" si="42"/>
        <v>0</v>
      </c>
      <c r="L91" s="122">
        <f t="shared" si="42"/>
        <v>0</v>
      </c>
      <c r="M91" s="122">
        <f t="shared" si="42"/>
        <v>0</v>
      </c>
      <c r="N91" s="122">
        <f t="shared" si="42"/>
        <v>0</v>
      </c>
      <c r="O91" s="122"/>
      <c r="P91" s="31">
        <f>SUM(D91:O91)</f>
        <v>44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2"/>
        <v>0</v>
      </c>
      <c r="E92" s="122">
        <f t="shared" si="42"/>
        <v>1</v>
      </c>
      <c r="F92" s="122">
        <f t="shared" si="42"/>
        <v>1</v>
      </c>
      <c r="G92" s="122">
        <f t="shared" si="42"/>
        <v>0</v>
      </c>
      <c r="H92" s="122">
        <f t="shared" si="42"/>
        <v>0</v>
      </c>
      <c r="I92" s="122">
        <f t="shared" si="42"/>
        <v>0</v>
      </c>
      <c r="J92" s="122">
        <f t="shared" si="42"/>
        <v>0</v>
      </c>
      <c r="K92" s="122">
        <f t="shared" si="42"/>
        <v>0</v>
      </c>
      <c r="L92" s="122">
        <f t="shared" si="42"/>
        <v>0</v>
      </c>
      <c r="M92" s="122">
        <f t="shared" si="42"/>
        <v>0</v>
      </c>
      <c r="N92" s="122">
        <f t="shared" si="42"/>
        <v>0</v>
      </c>
      <c r="O92" s="122"/>
      <c r="P92" s="31">
        <f>SUM(D92:O92)</f>
        <v>2</v>
      </c>
    </row>
    <row r="93" spans="1:16" ht="15.75" x14ac:dyDescent="0.25">
      <c r="A93" s="378"/>
      <c r="B93" s="4" t="s">
        <v>104</v>
      </c>
      <c r="C93" s="4"/>
      <c r="D93" s="122">
        <f t="shared" si="42"/>
        <v>10</v>
      </c>
      <c r="E93" s="122">
        <f t="shared" si="42"/>
        <v>11</v>
      </c>
      <c r="F93" s="122">
        <f t="shared" si="42"/>
        <v>13</v>
      </c>
      <c r="G93" s="122">
        <f t="shared" si="42"/>
        <v>0</v>
      </c>
      <c r="H93" s="122">
        <f t="shared" si="42"/>
        <v>0</v>
      </c>
      <c r="I93" s="122">
        <f t="shared" si="42"/>
        <v>0</v>
      </c>
      <c r="J93" s="122">
        <f t="shared" si="42"/>
        <v>0</v>
      </c>
      <c r="K93" s="122">
        <f t="shared" si="42"/>
        <v>0</v>
      </c>
      <c r="L93" s="122">
        <f t="shared" si="42"/>
        <v>0</v>
      </c>
      <c r="M93" s="122">
        <f t="shared" si="42"/>
        <v>0</v>
      </c>
      <c r="N93" s="122">
        <f t="shared" si="42"/>
        <v>0</v>
      </c>
      <c r="O93" s="122"/>
      <c r="P93" s="31">
        <f>SUM(D93:O93)</f>
        <v>34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10</v>
      </c>
      <c r="E94" s="123">
        <f t="shared" ref="E94:P94" si="43">E93+E92</f>
        <v>12</v>
      </c>
      <c r="F94" s="123">
        <f t="shared" si="43"/>
        <v>14</v>
      </c>
      <c r="G94" s="123">
        <f t="shared" si="43"/>
        <v>0</v>
      </c>
      <c r="H94" s="123">
        <f t="shared" si="43"/>
        <v>0</v>
      </c>
      <c r="I94" s="123">
        <f t="shared" si="43"/>
        <v>0</v>
      </c>
      <c r="J94" s="123">
        <f t="shared" si="43"/>
        <v>0</v>
      </c>
      <c r="K94" s="123">
        <f t="shared" si="43"/>
        <v>0</v>
      </c>
      <c r="L94" s="123">
        <f t="shared" si="43"/>
        <v>0</v>
      </c>
      <c r="M94" s="123">
        <f t="shared" si="43"/>
        <v>0</v>
      </c>
      <c r="N94" s="123">
        <f t="shared" si="43"/>
        <v>0</v>
      </c>
      <c r="O94" s="123"/>
      <c r="P94" s="130">
        <f t="shared" si="43"/>
        <v>36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10</v>
      </c>
      <c r="E95" s="124">
        <f t="shared" ref="E95:P95" si="44">E90+E91-E94</f>
        <v>10</v>
      </c>
      <c r="F95" s="124">
        <f t="shared" si="44"/>
        <v>16</v>
      </c>
      <c r="G95" s="124">
        <f t="shared" si="44"/>
        <v>16</v>
      </c>
      <c r="H95" s="124">
        <f t="shared" si="44"/>
        <v>16</v>
      </c>
      <c r="I95" s="124">
        <f t="shared" si="44"/>
        <v>16</v>
      </c>
      <c r="J95" s="124">
        <f t="shared" si="44"/>
        <v>16</v>
      </c>
      <c r="K95" s="124">
        <f t="shared" si="44"/>
        <v>16</v>
      </c>
      <c r="L95" s="124">
        <f t="shared" si="44"/>
        <v>16</v>
      </c>
      <c r="M95" s="124">
        <f t="shared" si="44"/>
        <v>16</v>
      </c>
      <c r="N95" s="124">
        <f t="shared" si="44"/>
        <v>16</v>
      </c>
      <c r="O95" s="124">
        <f t="shared" si="44"/>
        <v>0</v>
      </c>
      <c r="P95" s="131">
        <f t="shared" si="44"/>
        <v>16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10</v>
      </c>
      <c r="E98" s="395">
        <v>16</v>
      </c>
      <c r="F98" s="395">
        <v>19</v>
      </c>
      <c r="G98" s="395"/>
      <c r="H98" s="395"/>
      <c r="I98" s="395"/>
      <c r="J98" s="395"/>
      <c r="K98" s="395"/>
      <c r="L98" s="395"/>
      <c r="M98" s="395"/>
      <c r="N98" s="395"/>
      <c r="O98" s="395"/>
      <c r="P98" s="97">
        <f>SUM(D98:O98)</f>
        <v>45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556</v>
      </c>
      <c r="E101" s="3">
        <v>553</v>
      </c>
      <c r="F101" s="3">
        <v>553</v>
      </c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5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13</v>
      </c>
      <c r="E102" s="3">
        <v>13</v>
      </c>
      <c r="F102" s="3">
        <v>13</v>
      </c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5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13</v>
      </c>
      <c r="E103" s="3">
        <v>13</v>
      </c>
      <c r="F103" s="3">
        <v>13</v>
      </c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5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>
        <v>16</v>
      </c>
      <c r="E104" s="3">
        <v>16</v>
      </c>
      <c r="F104" s="3">
        <v>16</v>
      </c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5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598</v>
      </c>
      <c r="E105" s="296">
        <f t="shared" ref="E105:O105" si="46">SUM(E101:E104)</f>
        <v>595</v>
      </c>
      <c r="F105" s="296">
        <f t="shared" si="46"/>
        <v>595</v>
      </c>
      <c r="G105" s="296">
        <f t="shared" si="46"/>
        <v>0</v>
      </c>
      <c r="H105" s="296">
        <f t="shared" si="46"/>
        <v>0</v>
      </c>
      <c r="I105" s="296">
        <f t="shared" si="46"/>
        <v>0</v>
      </c>
      <c r="J105" s="296">
        <f t="shared" si="46"/>
        <v>0</v>
      </c>
      <c r="K105" s="296">
        <f t="shared" si="46"/>
        <v>0</v>
      </c>
      <c r="L105" s="296">
        <f t="shared" si="46"/>
        <v>0</v>
      </c>
      <c r="M105" s="296">
        <f t="shared" si="46"/>
        <v>0</v>
      </c>
      <c r="N105" s="296">
        <f t="shared" si="46"/>
        <v>0</v>
      </c>
      <c r="O105" s="296">
        <f t="shared" si="46"/>
        <v>0</v>
      </c>
      <c r="P105" s="295">
        <f t="shared" si="45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761</v>
      </c>
      <c r="E107" s="3">
        <v>764</v>
      </c>
      <c r="F107" s="3">
        <v>738</v>
      </c>
      <c r="G107" s="3"/>
      <c r="H107" s="3"/>
      <c r="I107" s="3"/>
      <c r="J107" s="3"/>
      <c r="K107" s="3"/>
      <c r="L107" s="3"/>
      <c r="M107" s="3"/>
      <c r="N107" s="3"/>
      <c r="O107" s="412"/>
      <c r="P107" s="295">
        <f t="shared" si="45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12"/>
      <c r="P108" s="295">
        <f t="shared" si="45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2</v>
      </c>
      <c r="E109" s="3">
        <v>2</v>
      </c>
      <c r="F109" s="3">
        <v>2</v>
      </c>
      <c r="G109" s="3"/>
      <c r="H109" s="3"/>
      <c r="I109" s="3"/>
      <c r="J109" s="3"/>
      <c r="K109" s="3"/>
      <c r="L109" s="3"/>
      <c r="M109" s="3"/>
      <c r="N109" s="3"/>
      <c r="O109" s="412"/>
      <c r="P109" s="295">
        <f t="shared" si="45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>
        <v>1</v>
      </c>
      <c r="E110" s="3">
        <v>1</v>
      </c>
      <c r="F110" s="3">
        <v>1</v>
      </c>
      <c r="G110" s="3"/>
      <c r="H110" s="3"/>
      <c r="I110" s="3"/>
      <c r="J110" s="3"/>
      <c r="K110" s="3"/>
      <c r="L110" s="3"/>
      <c r="M110" s="3"/>
      <c r="N110" s="3"/>
      <c r="O110" s="412"/>
      <c r="P110" s="295">
        <f t="shared" si="45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764</v>
      </c>
      <c r="E111" s="296">
        <f t="shared" ref="E111:O111" si="47">SUM(E107:E110)</f>
        <v>767</v>
      </c>
      <c r="F111" s="296">
        <f t="shared" si="47"/>
        <v>741</v>
      </c>
      <c r="G111" s="296">
        <f t="shared" si="47"/>
        <v>0</v>
      </c>
      <c r="H111" s="296">
        <f t="shared" si="47"/>
        <v>0</v>
      </c>
      <c r="I111" s="296">
        <f t="shared" si="47"/>
        <v>0</v>
      </c>
      <c r="J111" s="296">
        <f t="shared" si="47"/>
        <v>0</v>
      </c>
      <c r="K111" s="296">
        <f t="shared" si="47"/>
        <v>0</v>
      </c>
      <c r="L111" s="296">
        <f t="shared" si="47"/>
        <v>0</v>
      </c>
      <c r="M111" s="296">
        <f t="shared" si="47"/>
        <v>0</v>
      </c>
      <c r="N111" s="296">
        <f t="shared" si="47"/>
        <v>0</v>
      </c>
      <c r="O111" s="296">
        <f t="shared" si="47"/>
        <v>0</v>
      </c>
      <c r="P111" s="295">
        <f t="shared" si="45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412">
        <v>879</v>
      </c>
      <c r="E113" s="412">
        <v>895</v>
      </c>
      <c r="F113" s="412">
        <v>931</v>
      </c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5"/>
        <v>0</v>
      </c>
    </row>
    <row r="114" spans="1:18" ht="15.75" x14ac:dyDescent="0.25">
      <c r="A114" s="331" t="s">
        <v>200</v>
      </c>
      <c r="B114" s="332"/>
      <c r="C114" s="4" t="s">
        <v>3</v>
      </c>
      <c r="D114" s="412">
        <v>55</v>
      </c>
      <c r="E114" s="412">
        <v>55</v>
      </c>
      <c r="F114" s="412">
        <v>55</v>
      </c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5"/>
        <v>0</v>
      </c>
    </row>
    <row r="115" spans="1:18" ht="15.75" x14ac:dyDescent="0.25">
      <c r="A115" s="331" t="s">
        <v>201</v>
      </c>
      <c r="B115" s="332"/>
      <c r="C115" s="4" t="s">
        <v>3</v>
      </c>
      <c r="D115" s="412">
        <v>56</v>
      </c>
      <c r="E115" s="412">
        <v>56</v>
      </c>
      <c r="F115" s="412">
        <v>56</v>
      </c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5"/>
        <v>0</v>
      </c>
    </row>
    <row r="116" spans="1:18" ht="15.75" x14ac:dyDescent="0.25">
      <c r="A116" s="331" t="s">
        <v>202</v>
      </c>
      <c r="B116" s="332"/>
      <c r="C116" s="4" t="s">
        <v>3</v>
      </c>
      <c r="D116" s="412">
        <v>2</v>
      </c>
      <c r="E116" s="412">
        <v>2</v>
      </c>
      <c r="F116" s="412">
        <v>2</v>
      </c>
      <c r="G116" s="412"/>
      <c r="H116" s="412"/>
      <c r="I116" s="412"/>
      <c r="J116" s="412"/>
      <c r="K116" s="412"/>
      <c r="L116" s="412"/>
      <c r="M116" s="412"/>
      <c r="N116" s="412"/>
      <c r="O116" s="412"/>
      <c r="P116" s="295">
        <f t="shared" si="45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992</v>
      </c>
      <c r="E117" s="296">
        <f t="shared" ref="E117:P117" si="48">SUM(E113:E116)</f>
        <v>1008</v>
      </c>
      <c r="F117" s="296">
        <f t="shared" si="48"/>
        <v>1044</v>
      </c>
      <c r="G117" s="296">
        <f t="shared" si="48"/>
        <v>0</v>
      </c>
      <c r="H117" s="296">
        <f t="shared" si="48"/>
        <v>0</v>
      </c>
      <c r="I117" s="296">
        <f t="shared" si="48"/>
        <v>0</v>
      </c>
      <c r="J117" s="296">
        <f t="shared" si="48"/>
        <v>0</v>
      </c>
      <c r="K117" s="296">
        <f t="shared" si="48"/>
        <v>0</v>
      </c>
      <c r="L117" s="296">
        <f t="shared" si="48"/>
        <v>0</v>
      </c>
      <c r="M117" s="296">
        <f t="shared" si="48"/>
        <v>0</v>
      </c>
      <c r="N117" s="296">
        <f t="shared" si="48"/>
        <v>0</v>
      </c>
      <c r="O117" s="296">
        <f t="shared" si="48"/>
        <v>0</v>
      </c>
      <c r="P117" s="257">
        <f t="shared" si="48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9">D111+D117</f>
        <v>1756</v>
      </c>
      <c r="E118" s="296">
        <f t="shared" si="49"/>
        <v>1775</v>
      </c>
      <c r="F118" s="296">
        <f t="shared" si="49"/>
        <v>1785</v>
      </c>
      <c r="G118" s="296">
        <f t="shared" si="49"/>
        <v>0</v>
      </c>
      <c r="H118" s="296">
        <f t="shared" si="49"/>
        <v>0</v>
      </c>
      <c r="I118" s="296">
        <f t="shared" si="49"/>
        <v>0</v>
      </c>
      <c r="J118" s="296">
        <f t="shared" si="49"/>
        <v>0</v>
      </c>
      <c r="K118" s="296">
        <f t="shared" si="49"/>
        <v>0</v>
      </c>
      <c r="L118" s="296">
        <f t="shared" si="49"/>
        <v>0</v>
      </c>
      <c r="M118" s="296">
        <f t="shared" si="49"/>
        <v>0</v>
      </c>
      <c r="N118" s="296">
        <f t="shared" si="49"/>
        <v>0</v>
      </c>
      <c r="O118" s="296">
        <f t="shared" si="49"/>
        <v>0</v>
      </c>
      <c r="P118" s="296">
        <f t="shared" si="49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50">D105+D118</f>
        <v>2354</v>
      </c>
      <c r="E119" s="296">
        <f t="shared" si="50"/>
        <v>2370</v>
      </c>
      <c r="F119" s="296">
        <f t="shared" si="50"/>
        <v>2380</v>
      </c>
      <c r="G119" s="296">
        <f t="shared" si="50"/>
        <v>0</v>
      </c>
      <c r="H119" s="296">
        <f t="shared" si="50"/>
        <v>0</v>
      </c>
      <c r="I119" s="296">
        <f t="shared" si="50"/>
        <v>0</v>
      </c>
      <c r="J119" s="296">
        <f t="shared" si="50"/>
        <v>0</v>
      </c>
      <c r="K119" s="296">
        <f t="shared" si="50"/>
        <v>0</v>
      </c>
      <c r="L119" s="296">
        <f t="shared" si="50"/>
        <v>0</v>
      </c>
      <c r="M119" s="296">
        <f t="shared" si="50"/>
        <v>0</v>
      </c>
      <c r="N119" s="296">
        <f t="shared" si="50"/>
        <v>0</v>
      </c>
      <c r="O119" s="296">
        <f t="shared" si="50"/>
        <v>0</v>
      </c>
      <c r="P119" s="296">
        <f t="shared" si="50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75" x14ac:dyDescent="0.25">
      <c r="A121" s="331" t="s">
        <v>95</v>
      </c>
      <c r="B121" s="332"/>
      <c r="C121" s="4" t="s">
        <v>3</v>
      </c>
      <c r="D121" s="117">
        <v>12005</v>
      </c>
      <c r="E121" s="117">
        <v>12005</v>
      </c>
      <c r="F121" s="117">
        <v>12005</v>
      </c>
      <c r="G121" s="117"/>
      <c r="H121" s="117"/>
      <c r="I121" s="117"/>
      <c r="J121" s="117"/>
      <c r="K121" s="3"/>
      <c r="L121" s="3"/>
      <c r="M121" s="3"/>
      <c r="N121" s="3"/>
      <c r="O121" s="117"/>
      <c r="P121" s="27">
        <f>O121</f>
        <v>0</v>
      </c>
    </row>
    <row r="122" spans="1:18" ht="15.75" x14ac:dyDescent="0.25">
      <c r="A122" s="331" t="s">
        <v>94</v>
      </c>
      <c r="B122" s="332"/>
      <c r="C122" s="4" t="s">
        <v>3</v>
      </c>
      <c r="D122" s="117">
        <v>11055</v>
      </c>
      <c r="E122" s="117">
        <v>11070</v>
      </c>
      <c r="F122" s="117">
        <v>11090</v>
      </c>
      <c r="G122" s="117"/>
      <c r="H122" s="117"/>
      <c r="I122" s="117"/>
      <c r="J122" s="117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51">D122/D121</f>
        <v>0.92086630570595585</v>
      </c>
      <c r="E123" s="25">
        <f t="shared" si="51"/>
        <v>0.92211578508954606</v>
      </c>
      <c r="F123" s="25">
        <f t="shared" si="51"/>
        <v>0.92378175760099956</v>
      </c>
      <c r="G123" s="300" t="e">
        <f t="shared" si="51"/>
        <v>#DIV/0!</v>
      </c>
      <c r="H123" s="300" t="e">
        <f t="shared" si="51"/>
        <v>#DIV/0!</v>
      </c>
      <c r="I123" s="300" t="e">
        <f t="shared" si="51"/>
        <v>#DIV/0!</v>
      </c>
      <c r="J123" s="300" t="e">
        <f t="shared" si="51"/>
        <v>#DIV/0!</v>
      </c>
      <c r="K123" s="300" t="e">
        <f t="shared" si="51"/>
        <v>#DIV/0!</v>
      </c>
      <c r="L123" s="300" t="e">
        <f t="shared" si="51"/>
        <v>#DIV/0!</v>
      </c>
      <c r="M123" s="300" t="e">
        <f t="shared" si="51"/>
        <v>#DIV/0!</v>
      </c>
      <c r="N123" s="300" t="e">
        <f t="shared" si="51"/>
        <v>#DIV/0!</v>
      </c>
      <c r="O123" s="300" t="e">
        <f t="shared" si="51"/>
        <v>#DIV/0!</v>
      </c>
      <c r="P123" s="301" t="e">
        <f t="shared" si="51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" si="52">F130</f>
        <v>0</v>
      </c>
      <c r="H125" s="399"/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53">D125+D126-D127-D128</f>
        <v>0</v>
      </c>
      <c r="E129" s="140">
        <f t="shared" si="53"/>
        <v>0</v>
      </c>
      <c r="F129" s="140">
        <f t="shared" si="53"/>
        <v>0</v>
      </c>
      <c r="G129" s="140">
        <f t="shared" si="53"/>
        <v>0</v>
      </c>
      <c r="H129" s="140">
        <f t="shared" si="53"/>
        <v>0</v>
      </c>
      <c r="I129" s="140">
        <f t="shared" si="53"/>
        <v>0</v>
      </c>
      <c r="J129" s="140">
        <f t="shared" si="53"/>
        <v>0</v>
      </c>
      <c r="K129" s="140">
        <f t="shared" si="53"/>
        <v>0</v>
      </c>
      <c r="L129" s="140">
        <f t="shared" si="53"/>
        <v>0</v>
      </c>
      <c r="M129" s="140">
        <f t="shared" si="53"/>
        <v>0</v>
      </c>
      <c r="N129" s="140">
        <f t="shared" si="53"/>
        <v>0</v>
      </c>
      <c r="O129" s="140"/>
      <c r="P129" s="16">
        <f>P125+P126-P127-P128</f>
        <v>0</v>
      </c>
    </row>
    <row r="130" spans="1:18" ht="15.6" customHeight="1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4">E134</f>
        <v>0</v>
      </c>
      <c r="G130" s="399"/>
      <c r="H130" s="399">
        <f t="shared" si="54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55">D130+D131-D132-D133</f>
        <v>0</v>
      </c>
      <c r="E134" s="140">
        <f t="shared" si="55"/>
        <v>0</v>
      </c>
      <c r="F134" s="140">
        <f t="shared" si="55"/>
        <v>0</v>
      </c>
      <c r="G134" s="140">
        <f t="shared" si="55"/>
        <v>0</v>
      </c>
      <c r="H134" s="140">
        <f t="shared" si="55"/>
        <v>0</v>
      </c>
      <c r="I134" s="140">
        <f t="shared" si="55"/>
        <v>0</v>
      </c>
      <c r="J134" s="140">
        <f t="shared" si="55"/>
        <v>0</v>
      </c>
      <c r="K134" s="140">
        <f t="shared" si="55"/>
        <v>0</v>
      </c>
      <c r="L134" s="140">
        <f t="shared" si="55"/>
        <v>0</v>
      </c>
      <c r="M134" s="140">
        <f t="shared" si="55"/>
        <v>0</v>
      </c>
      <c r="N134" s="140">
        <f t="shared" si="55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6">F139</f>
        <v>0</v>
      </c>
      <c r="H135" s="399">
        <f t="shared" si="56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N139" si="57">D135+D136-D137-D138</f>
        <v>0</v>
      </c>
      <c r="E139" s="140">
        <f t="shared" si="57"/>
        <v>0</v>
      </c>
      <c r="F139" s="140">
        <f t="shared" si="57"/>
        <v>0</v>
      </c>
      <c r="G139" s="140">
        <f t="shared" si="57"/>
        <v>0</v>
      </c>
      <c r="H139" s="140">
        <f t="shared" si="57"/>
        <v>0</v>
      </c>
      <c r="I139" s="140">
        <f t="shared" si="57"/>
        <v>0</v>
      </c>
      <c r="J139" s="140">
        <f t="shared" si="57"/>
        <v>0</v>
      </c>
      <c r="K139" s="140">
        <f t="shared" si="57"/>
        <v>0</v>
      </c>
      <c r="L139" s="140">
        <f t="shared" si="57"/>
        <v>0</v>
      </c>
      <c r="M139" s="140">
        <f t="shared" si="57"/>
        <v>0</v>
      </c>
      <c r="N139" s="140">
        <f t="shared" si="57"/>
        <v>0</v>
      </c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>
        <v>14</v>
      </c>
      <c r="E140" s="411">
        <f>D144</f>
        <v>18</v>
      </c>
      <c r="F140" s="411">
        <f>E149</f>
        <v>38</v>
      </c>
      <c r="G140" s="120"/>
      <c r="H140" s="120"/>
      <c r="I140" s="120"/>
      <c r="J140" s="399"/>
      <c r="K140" s="120">
        <f t="shared" ref="K140:N140" si="58">J144</f>
        <v>0</v>
      </c>
      <c r="L140" s="120">
        <f t="shared" si="58"/>
        <v>0</v>
      </c>
      <c r="M140" s="120">
        <f t="shared" si="58"/>
        <v>0</v>
      </c>
      <c r="N140" s="120">
        <f t="shared" si="58"/>
        <v>0</v>
      </c>
      <c r="O140" s="407"/>
      <c r="P140" s="406">
        <f>D140</f>
        <v>14</v>
      </c>
    </row>
    <row r="141" spans="1:18" ht="15.75" x14ac:dyDescent="0.25">
      <c r="A141" s="325"/>
      <c r="B141" s="4" t="s">
        <v>84</v>
      </c>
      <c r="C141" s="4" t="s">
        <v>3</v>
      </c>
      <c r="D141" s="120">
        <v>11</v>
      </c>
      <c r="E141" s="120">
        <v>20</v>
      </c>
      <c r="F141" s="120">
        <v>5</v>
      </c>
      <c r="G141" s="120"/>
      <c r="H141" s="120"/>
      <c r="I141" s="120"/>
      <c r="J141" s="120"/>
      <c r="K141" s="120"/>
      <c r="L141" s="3"/>
      <c r="M141" s="3"/>
      <c r="N141" s="3"/>
      <c r="O141" s="120"/>
      <c r="P141" s="16">
        <f>SUM(D141:O141)</f>
        <v>36</v>
      </c>
    </row>
    <row r="142" spans="1:18" ht="15.75" x14ac:dyDescent="0.25">
      <c r="A142" s="325"/>
      <c r="B142" s="4" t="s">
        <v>83</v>
      </c>
      <c r="C142" s="4" t="s">
        <v>3</v>
      </c>
      <c r="D142" s="120">
        <v>7</v>
      </c>
      <c r="E142" s="120"/>
      <c r="F142" s="120">
        <v>30</v>
      </c>
      <c r="G142" s="120"/>
      <c r="H142" s="120"/>
      <c r="I142" s="120"/>
      <c r="J142" s="120"/>
      <c r="K142" s="120"/>
      <c r="L142" s="3"/>
      <c r="M142" s="3"/>
      <c r="N142" s="3"/>
      <c r="O142" s="284"/>
      <c r="P142" s="16">
        <f>SUM(D142:O142)</f>
        <v>37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N144" si="59">D140+D141-D142-D143</f>
        <v>18</v>
      </c>
      <c r="E144" s="140">
        <f t="shared" si="59"/>
        <v>38</v>
      </c>
      <c r="F144" s="140">
        <f t="shared" si="59"/>
        <v>13</v>
      </c>
      <c r="G144" s="140">
        <f t="shared" si="59"/>
        <v>0</v>
      </c>
      <c r="H144" s="140"/>
      <c r="I144" s="140">
        <f t="shared" si="59"/>
        <v>0</v>
      </c>
      <c r="J144" s="140">
        <f t="shared" si="59"/>
        <v>0</v>
      </c>
      <c r="K144" s="120">
        <f t="shared" si="59"/>
        <v>0</v>
      </c>
      <c r="L144" s="140">
        <f t="shared" si="59"/>
        <v>0</v>
      </c>
      <c r="M144" s="140">
        <f t="shared" si="59"/>
        <v>0</v>
      </c>
      <c r="N144" s="120">
        <f t="shared" si="59"/>
        <v>0</v>
      </c>
      <c r="O144" s="140"/>
      <c r="P144" s="16">
        <f>P140+P141-P142-P143</f>
        <v>13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60">D125+D130+D135+D140</f>
        <v>14</v>
      </c>
      <c r="E145" s="141">
        <f t="shared" si="60"/>
        <v>18</v>
      </c>
      <c r="F145" s="141">
        <f t="shared" si="60"/>
        <v>38</v>
      </c>
      <c r="G145" s="141">
        <f t="shared" si="60"/>
        <v>0</v>
      </c>
      <c r="H145" s="141">
        <f t="shared" si="60"/>
        <v>0</v>
      </c>
      <c r="I145" s="141">
        <f t="shared" si="60"/>
        <v>0</v>
      </c>
      <c r="J145" s="141">
        <f t="shared" si="60"/>
        <v>0</v>
      </c>
      <c r="K145" s="141">
        <f t="shared" si="60"/>
        <v>0</v>
      </c>
      <c r="L145" s="141">
        <f t="shared" si="60"/>
        <v>0</v>
      </c>
      <c r="M145" s="141">
        <f t="shared" si="60"/>
        <v>0</v>
      </c>
      <c r="N145" s="141">
        <f t="shared" si="60"/>
        <v>0</v>
      </c>
      <c r="O145" s="141"/>
      <c r="P145" s="99">
        <f t="shared" si="60"/>
        <v>14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60"/>
        <v>11</v>
      </c>
      <c r="E146" s="141">
        <f t="shared" si="60"/>
        <v>20</v>
      </c>
      <c r="F146" s="141">
        <f t="shared" si="60"/>
        <v>5</v>
      </c>
      <c r="G146" s="141">
        <f t="shared" si="60"/>
        <v>0</v>
      </c>
      <c r="H146" s="141">
        <f t="shared" si="60"/>
        <v>0</v>
      </c>
      <c r="I146" s="141">
        <f t="shared" si="60"/>
        <v>0</v>
      </c>
      <c r="J146" s="141">
        <f t="shared" si="60"/>
        <v>0</v>
      </c>
      <c r="K146" s="141">
        <f t="shared" si="60"/>
        <v>0</v>
      </c>
      <c r="L146" s="141">
        <f t="shared" si="60"/>
        <v>0</v>
      </c>
      <c r="M146" s="141">
        <f t="shared" si="60"/>
        <v>0</v>
      </c>
      <c r="N146" s="141">
        <f t="shared" si="60"/>
        <v>0</v>
      </c>
      <c r="O146" s="141"/>
      <c r="P146" s="99">
        <f t="shared" si="60"/>
        <v>36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60"/>
        <v>7</v>
      </c>
      <c r="E147" s="141">
        <f t="shared" si="60"/>
        <v>0</v>
      </c>
      <c r="F147" s="141">
        <f t="shared" si="60"/>
        <v>30</v>
      </c>
      <c r="G147" s="141">
        <f t="shared" si="60"/>
        <v>0</v>
      </c>
      <c r="H147" s="141">
        <f t="shared" si="60"/>
        <v>0</v>
      </c>
      <c r="I147" s="141">
        <f t="shared" si="60"/>
        <v>0</v>
      </c>
      <c r="J147" s="141">
        <f t="shared" si="60"/>
        <v>0</v>
      </c>
      <c r="K147" s="141">
        <f t="shared" si="60"/>
        <v>0</v>
      </c>
      <c r="L147" s="141">
        <f t="shared" si="60"/>
        <v>0</v>
      </c>
      <c r="M147" s="141">
        <f t="shared" si="60"/>
        <v>0</v>
      </c>
      <c r="N147" s="141">
        <f t="shared" si="60"/>
        <v>0</v>
      </c>
      <c r="O147" s="141"/>
      <c r="P147" s="99">
        <f t="shared" si="60"/>
        <v>37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60"/>
        <v>0</v>
      </c>
      <c r="E148" s="141">
        <f t="shared" si="60"/>
        <v>0</v>
      </c>
      <c r="F148" s="141">
        <f t="shared" si="60"/>
        <v>0</v>
      </c>
      <c r="G148" s="141">
        <f t="shared" si="60"/>
        <v>0</v>
      </c>
      <c r="H148" s="141">
        <f t="shared" si="60"/>
        <v>0</v>
      </c>
      <c r="I148" s="141">
        <f t="shared" si="60"/>
        <v>0</v>
      </c>
      <c r="J148" s="141">
        <f t="shared" si="60"/>
        <v>0</v>
      </c>
      <c r="K148" s="141">
        <f t="shared" si="60"/>
        <v>0</v>
      </c>
      <c r="L148" s="141">
        <f t="shared" si="60"/>
        <v>0</v>
      </c>
      <c r="M148" s="141">
        <f t="shared" si="60"/>
        <v>0</v>
      </c>
      <c r="N148" s="141">
        <f t="shared" si="60"/>
        <v>0</v>
      </c>
      <c r="O148" s="141"/>
      <c r="P148" s="99">
        <f t="shared" si="60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61">D145+D146-D147-D148</f>
        <v>18</v>
      </c>
      <c r="E149" s="140">
        <f t="shared" si="61"/>
        <v>38</v>
      </c>
      <c r="F149" s="140">
        <f t="shared" si="61"/>
        <v>13</v>
      </c>
      <c r="G149" s="140">
        <f t="shared" si="61"/>
        <v>0</v>
      </c>
      <c r="H149" s="140">
        <f t="shared" si="61"/>
        <v>0</v>
      </c>
      <c r="I149" s="140">
        <f t="shared" si="61"/>
        <v>0</v>
      </c>
      <c r="J149" s="140">
        <f t="shared" si="61"/>
        <v>0</v>
      </c>
      <c r="K149" s="140">
        <f t="shared" si="61"/>
        <v>0</v>
      </c>
      <c r="L149" s="140">
        <f t="shared" si="61"/>
        <v>0</v>
      </c>
      <c r="M149" s="140">
        <f t="shared" si="61"/>
        <v>0</v>
      </c>
      <c r="N149" s="140">
        <f t="shared" si="61"/>
        <v>0</v>
      </c>
      <c r="O149" s="140">
        <f t="shared" si="61"/>
        <v>0</v>
      </c>
      <c r="P149" s="99">
        <f t="shared" si="60"/>
        <v>13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3">
        <v>42</v>
      </c>
      <c r="E153" s="3">
        <v>34</v>
      </c>
      <c r="F153" s="3">
        <v>30</v>
      </c>
      <c r="G153" s="3"/>
      <c r="H153" s="3"/>
      <c r="I153" s="3"/>
      <c r="J153" s="3"/>
      <c r="K153" s="3"/>
      <c r="L153" s="3"/>
      <c r="M153" s="3"/>
      <c r="N153" s="3"/>
      <c r="O153" s="3"/>
      <c r="P153" s="16">
        <f t="shared" ref="P153:P165" si="62">SUM(D153:O153)</f>
        <v>106</v>
      </c>
    </row>
    <row r="154" spans="1:16" ht="15.75" x14ac:dyDescent="0.25">
      <c r="A154" s="357"/>
      <c r="B154" s="18" t="s">
        <v>72</v>
      </c>
      <c r="C154" s="4" t="s">
        <v>57</v>
      </c>
      <c r="D154" s="3">
        <v>30</v>
      </c>
      <c r="E154" s="3">
        <v>22</v>
      </c>
      <c r="F154" s="3">
        <v>24</v>
      </c>
      <c r="G154" s="3"/>
      <c r="H154" s="3"/>
      <c r="I154" s="3"/>
      <c r="J154" s="3"/>
      <c r="K154" s="3"/>
      <c r="L154" s="3"/>
      <c r="M154" s="3"/>
      <c r="N154" s="3"/>
      <c r="O154" s="3"/>
      <c r="P154" s="16">
        <f t="shared" si="62"/>
        <v>76</v>
      </c>
    </row>
    <row r="155" spans="1:16" ht="15.75" x14ac:dyDescent="0.25">
      <c r="A155" s="357"/>
      <c r="B155" s="18" t="s">
        <v>53</v>
      </c>
      <c r="C155" s="4" t="s">
        <v>57</v>
      </c>
      <c r="D155" s="3">
        <v>23</v>
      </c>
      <c r="E155" s="3">
        <v>15</v>
      </c>
      <c r="F155" s="3">
        <v>15</v>
      </c>
      <c r="G155" s="3"/>
      <c r="H155" s="3"/>
      <c r="I155" s="3"/>
      <c r="J155" s="3"/>
      <c r="K155" s="3"/>
      <c r="L155" s="3"/>
      <c r="M155" s="3"/>
      <c r="N155" s="3"/>
      <c r="O155" s="3"/>
      <c r="P155" s="16">
        <f t="shared" si="62"/>
        <v>53</v>
      </c>
    </row>
    <row r="156" spans="1:16" ht="15.75" x14ac:dyDescent="0.25">
      <c r="A156" s="357"/>
      <c r="B156" s="18" t="s">
        <v>71</v>
      </c>
      <c r="C156" s="4" t="s">
        <v>57</v>
      </c>
      <c r="D156" s="3">
        <v>3</v>
      </c>
      <c r="E156" s="3">
        <v>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6">
        <f t="shared" si="62"/>
        <v>5</v>
      </c>
    </row>
    <row r="157" spans="1:16" ht="15.75" x14ac:dyDescent="0.25">
      <c r="A157" s="357"/>
      <c r="B157" s="18" t="s">
        <v>52</v>
      </c>
      <c r="C157" s="4" t="s">
        <v>57</v>
      </c>
      <c r="D157" s="3">
        <v>7</v>
      </c>
      <c r="E157" s="3">
        <v>6</v>
      </c>
      <c r="F157" s="3">
        <v>7</v>
      </c>
      <c r="G157" s="3"/>
      <c r="H157" s="3"/>
      <c r="I157" s="3"/>
      <c r="J157" s="3"/>
      <c r="K157" s="3"/>
      <c r="L157" s="3"/>
      <c r="M157" s="3"/>
      <c r="N157" s="3"/>
      <c r="O157" s="3"/>
      <c r="P157" s="16">
        <f t="shared" si="62"/>
        <v>20</v>
      </c>
    </row>
    <row r="158" spans="1:16" ht="15.75" x14ac:dyDescent="0.25">
      <c r="A158" s="357"/>
      <c r="B158" s="18" t="s">
        <v>51</v>
      </c>
      <c r="C158" s="4" t="s">
        <v>57</v>
      </c>
      <c r="D158" s="3">
        <v>2</v>
      </c>
      <c r="E158" s="3">
        <v>0</v>
      </c>
      <c r="F158" s="3">
        <v>2</v>
      </c>
      <c r="G158" s="3"/>
      <c r="H158" s="3"/>
      <c r="I158" s="3"/>
      <c r="J158" s="3"/>
      <c r="K158" s="3"/>
      <c r="L158" s="3"/>
      <c r="M158" s="3"/>
      <c r="N158" s="3"/>
      <c r="O158" s="3"/>
      <c r="P158" s="16">
        <f t="shared" si="62"/>
        <v>4</v>
      </c>
    </row>
    <row r="159" spans="1:16" ht="15.75" x14ac:dyDescent="0.25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16">
        <f t="shared" si="62"/>
        <v>0</v>
      </c>
    </row>
    <row r="160" spans="1:16" ht="15.75" x14ac:dyDescent="0.25">
      <c r="A160" s="357"/>
      <c r="B160" s="18" t="s">
        <v>50</v>
      </c>
      <c r="C160" s="4" t="s">
        <v>57</v>
      </c>
      <c r="D160" s="3">
        <v>3</v>
      </c>
      <c r="E160" s="3">
        <v>1</v>
      </c>
      <c r="F160" s="3">
        <v>1</v>
      </c>
      <c r="G160" s="3"/>
      <c r="H160" s="3"/>
      <c r="I160" s="3"/>
      <c r="J160" s="3"/>
      <c r="K160" s="3"/>
      <c r="L160" s="3"/>
      <c r="M160" s="3"/>
      <c r="N160" s="3"/>
      <c r="O160" s="3"/>
      <c r="P160" s="16">
        <f t="shared" si="62"/>
        <v>5</v>
      </c>
    </row>
    <row r="161" spans="1:16" ht="15.75" x14ac:dyDescent="0.25">
      <c r="A161" s="357"/>
      <c r="B161" s="18" t="s">
        <v>49</v>
      </c>
      <c r="C161" s="4" t="s">
        <v>57</v>
      </c>
      <c r="D161" s="3">
        <v>4</v>
      </c>
      <c r="E161" s="3">
        <v>1</v>
      </c>
      <c r="F161" s="3">
        <v>2</v>
      </c>
      <c r="G161" s="3"/>
      <c r="H161" s="3"/>
      <c r="I161" s="3"/>
      <c r="J161" s="3"/>
      <c r="K161" s="3"/>
      <c r="L161" s="3"/>
      <c r="M161" s="3"/>
      <c r="N161" s="3"/>
      <c r="O161" s="3"/>
      <c r="P161" s="16">
        <f t="shared" si="62"/>
        <v>7</v>
      </c>
    </row>
    <row r="162" spans="1:16" ht="15.75" x14ac:dyDescent="0.25">
      <c r="A162" s="357"/>
      <c r="B162" s="18" t="s">
        <v>77</v>
      </c>
      <c r="C162" s="4" t="s">
        <v>57</v>
      </c>
      <c r="D162" s="3">
        <v>3</v>
      </c>
      <c r="E162" s="3">
        <v>1</v>
      </c>
      <c r="F162" s="3">
        <v>2</v>
      </c>
      <c r="G162" s="3"/>
      <c r="H162" s="3"/>
      <c r="I162" s="3"/>
      <c r="J162" s="3"/>
      <c r="K162" s="3"/>
      <c r="L162" s="3"/>
      <c r="M162" s="3"/>
      <c r="N162" s="3"/>
      <c r="O162" s="3"/>
      <c r="P162" s="16">
        <f t="shared" si="62"/>
        <v>6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2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2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2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3">
        <v>7</v>
      </c>
      <c r="E167" s="3">
        <v>10</v>
      </c>
      <c r="F167" s="3">
        <v>10</v>
      </c>
      <c r="G167" s="3"/>
      <c r="H167" s="120"/>
      <c r="I167" s="284"/>
      <c r="J167" s="120"/>
      <c r="K167" s="3"/>
      <c r="L167" s="3"/>
      <c r="M167" s="3"/>
      <c r="N167" s="279"/>
      <c r="O167" s="279"/>
      <c r="P167" s="16">
        <f t="shared" ref="P167:P175" si="63">SUM(D167:O167)</f>
        <v>27</v>
      </c>
    </row>
    <row r="168" spans="1:16" ht="15.75" x14ac:dyDescent="0.25">
      <c r="A168" s="357"/>
      <c r="B168" s="18" t="s">
        <v>73</v>
      </c>
      <c r="C168" s="4" t="s">
        <v>57</v>
      </c>
      <c r="D168" s="3"/>
      <c r="E168" s="3">
        <v>0</v>
      </c>
      <c r="F168" s="3"/>
      <c r="G168" s="120"/>
      <c r="H168" s="120"/>
      <c r="I168" s="284"/>
      <c r="J168" s="120"/>
      <c r="K168" s="120"/>
      <c r="L168" s="279"/>
      <c r="M168" s="120"/>
      <c r="N168" s="279"/>
      <c r="O168" s="279"/>
      <c r="P168" s="16">
        <f t="shared" si="63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>
        <v>0</v>
      </c>
      <c r="F169" s="120"/>
      <c r="G169" s="120"/>
      <c r="H169" s="120"/>
      <c r="I169" s="284"/>
      <c r="J169" s="120"/>
      <c r="K169" s="120"/>
      <c r="L169" s="279"/>
      <c r="M169" s="120"/>
      <c r="N169" s="279"/>
      <c r="O169" s="279"/>
      <c r="P169" s="16">
        <f t="shared" si="63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>
        <v>1</v>
      </c>
      <c r="F170" s="120"/>
      <c r="G170" s="120"/>
      <c r="H170" s="120"/>
      <c r="I170" s="284"/>
      <c r="J170" s="120"/>
      <c r="K170" s="120"/>
      <c r="L170" s="279"/>
      <c r="M170" s="120"/>
      <c r="N170" s="279"/>
      <c r="O170" s="279"/>
      <c r="P170" s="16">
        <f t="shared" si="63"/>
        <v>1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3"/>
      <c r="H171" s="120"/>
      <c r="I171" s="284"/>
      <c r="J171" s="120"/>
      <c r="K171" s="120"/>
      <c r="L171" s="279"/>
      <c r="M171" s="120"/>
      <c r="N171" s="279"/>
      <c r="O171" s="279"/>
      <c r="P171" s="16">
        <f t="shared" si="63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120"/>
      <c r="N172" s="279"/>
      <c r="O172" s="279"/>
      <c r="P172" s="16">
        <f t="shared" si="63"/>
        <v>0</v>
      </c>
    </row>
    <row r="173" spans="1:16" ht="15.75" x14ac:dyDescent="0.25">
      <c r="A173" s="357"/>
      <c r="B173" s="18" t="s">
        <v>61</v>
      </c>
      <c r="C173" s="4" t="s">
        <v>57</v>
      </c>
      <c r="D173" s="3"/>
      <c r="E173" s="3"/>
      <c r="F173" s="3"/>
      <c r="G173" s="120"/>
      <c r="H173" s="120"/>
      <c r="I173" s="284"/>
      <c r="J173" s="120"/>
      <c r="K173" s="120"/>
      <c r="L173" s="279"/>
      <c r="M173" s="120"/>
      <c r="N173" s="279"/>
      <c r="O173" s="279"/>
      <c r="P173" s="16">
        <f t="shared" si="63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120"/>
      <c r="N174" s="279"/>
      <c r="O174" s="279"/>
      <c r="P174" s="16">
        <f t="shared" si="63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120"/>
      <c r="N175" s="279"/>
      <c r="O175" s="279"/>
      <c r="P175" s="16">
        <f t="shared" si="63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4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4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4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4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4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4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3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124</v>
      </c>
      <c r="E193" s="141">
        <f t="shared" ref="E193:P193" si="65">SUM(E153:E192)</f>
        <v>93</v>
      </c>
      <c r="F193" s="141">
        <f t="shared" si="65"/>
        <v>93</v>
      </c>
      <c r="G193" s="141">
        <f t="shared" si="65"/>
        <v>0</v>
      </c>
      <c r="H193" s="141">
        <f t="shared" si="65"/>
        <v>0</v>
      </c>
      <c r="I193" s="141">
        <f t="shared" si="65"/>
        <v>0</v>
      </c>
      <c r="J193" s="141">
        <f>SUM(J153:J192)</f>
        <v>0</v>
      </c>
      <c r="K193" s="141">
        <f t="shared" si="65"/>
        <v>0</v>
      </c>
      <c r="L193" s="141">
        <f t="shared" si="65"/>
        <v>0</v>
      </c>
      <c r="M193" s="141">
        <f t="shared" si="65"/>
        <v>0</v>
      </c>
      <c r="N193" s="141">
        <f t="shared" si="65"/>
        <v>0</v>
      </c>
      <c r="O193" s="141">
        <f t="shared" si="65"/>
        <v>0</v>
      </c>
      <c r="P193" s="92">
        <f t="shared" si="65"/>
        <v>310</v>
      </c>
    </row>
    <row r="194" spans="1:16" ht="15.75" x14ac:dyDescent="0.25">
      <c r="A194" s="335" t="s">
        <v>58</v>
      </c>
      <c r="B194" s="359"/>
      <c r="C194" s="4" t="s">
        <v>57</v>
      </c>
      <c r="D194" s="3">
        <v>9</v>
      </c>
      <c r="E194" s="3">
        <v>1</v>
      </c>
      <c r="F194" s="3">
        <v>3</v>
      </c>
      <c r="G194" s="3"/>
      <c r="H194" s="3"/>
      <c r="I194" s="3"/>
      <c r="J194" s="3"/>
      <c r="K194" s="3"/>
      <c r="L194" s="3"/>
      <c r="M194" s="3"/>
      <c r="N194" s="3"/>
      <c r="O194" s="279"/>
      <c r="P194" s="8">
        <f>SUM(D194:O194)</f>
        <v>13</v>
      </c>
    </row>
    <row r="195" spans="1:16" ht="15.75" x14ac:dyDescent="0.25">
      <c r="A195" s="337"/>
      <c r="B195" s="360"/>
      <c r="C195" s="14" t="s">
        <v>55</v>
      </c>
      <c r="D195" s="3">
        <v>32</v>
      </c>
      <c r="E195" s="3">
        <v>3</v>
      </c>
      <c r="F195" s="3">
        <v>7</v>
      </c>
      <c r="G195" s="3"/>
      <c r="H195" s="3"/>
      <c r="I195" s="3"/>
      <c r="J195" s="3"/>
      <c r="K195" s="3"/>
      <c r="L195" s="3"/>
      <c r="M195" s="3"/>
      <c r="N195" s="3"/>
      <c r="O195" s="279"/>
      <c r="P195" s="8">
        <f>SUM(D195:O195)</f>
        <v>42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8</v>
      </c>
      <c r="E196" s="3">
        <v>8</v>
      </c>
      <c r="F196" s="3">
        <v>8</v>
      </c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2</v>
      </c>
    </row>
    <row r="197" spans="1:16" ht="15.75" x14ac:dyDescent="0.25">
      <c r="A197" s="331" t="s">
        <v>56</v>
      </c>
      <c r="B197" s="332"/>
      <c r="C197" s="14" t="s">
        <v>55</v>
      </c>
      <c r="D197" s="3">
        <v>81</v>
      </c>
      <c r="E197" s="3">
        <v>64</v>
      </c>
      <c r="F197" s="3">
        <v>80</v>
      </c>
      <c r="G197" s="3"/>
      <c r="H197" s="3"/>
      <c r="I197" s="3"/>
      <c r="J197" s="3"/>
      <c r="K197" s="3"/>
      <c r="L197" s="3"/>
      <c r="M197" s="3"/>
      <c r="N197" s="3"/>
      <c r="O197" s="279"/>
      <c r="P197" s="8">
        <f>SUM(D197:O197)</f>
        <v>225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6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>
        <v>1200</v>
      </c>
      <c r="E200" s="3">
        <v>2832</v>
      </c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6"/>
        <v>4032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6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6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6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7">SUM(D199:D203)</f>
        <v>1200</v>
      </c>
      <c r="E204" s="13">
        <f t="shared" si="67"/>
        <v>2832</v>
      </c>
      <c r="F204" s="13">
        <f t="shared" si="67"/>
        <v>0</v>
      </c>
      <c r="G204" s="13">
        <f t="shared" ref="G204:O204" si="68">SUM(G199:G203)</f>
        <v>0</v>
      </c>
      <c r="H204" s="13">
        <f t="shared" si="68"/>
        <v>0</v>
      </c>
      <c r="I204" s="275">
        <f t="shared" si="68"/>
        <v>0</v>
      </c>
      <c r="J204" s="275">
        <f t="shared" si="68"/>
        <v>0</v>
      </c>
      <c r="K204" s="275">
        <f t="shared" si="68"/>
        <v>0</v>
      </c>
      <c r="L204" s="275">
        <f t="shared" si="68"/>
        <v>0</v>
      </c>
      <c r="M204" s="275">
        <f t="shared" si="68"/>
        <v>0</v>
      </c>
      <c r="N204" s="275">
        <f t="shared" si="68"/>
        <v>0</v>
      </c>
      <c r="O204" s="275">
        <f t="shared" si="68"/>
        <v>0</v>
      </c>
      <c r="P204" s="100">
        <f t="shared" si="66"/>
        <v>4032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3936308</v>
      </c>
      <c r="E206" s="11">
        <v>4337413.22</v>
      </c>
      <c r="F206" s="11">
        <v>3378067.22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11651788.439999999</v>
      </c>
    </row>
    <row r="207" spans="1:16" ht="15.75" x14ac:dyDescent="0.25">
      <c r="A207" s="331" t="s">
        <v>42</v>
      </c>
      <c r="B207" s="332"/>
      <c r="C207" s="4" t="s">
        <v>31</v>
      </c>
      <c r="D207" s="11">
        <v>15000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15000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>
        <v>98000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98000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9">SUM(D206:D209)</f>
        <v>3951308</v>
      </c>
      <c r="E210" s="309">
        <f t="shared" si="69"/>
        <v>4435413.22</v>
      </c>
      <c r="F210" s="309">
        <f t="shared" si="69"/>
        <v>3378067.22</v>
      </c>
      <c r="G210" s="309">
        <f t="shared" si="69"/>
        <v>0</v>
      </c>
      <c r="H210" s="309">
        <f t="shared" si="69"/>
        <v>0</v>
      </c>
      <c r="I210" s="309">
        <f t="shared" si="69"/>
        <v>0</v>
      </c>
      <c r="J210" s="309">
        <f t="shared" si="69"/>
        <v>0</v>
      </c>
      <c r="K210" s="309">
        <f t="shared" si="69"/>
        <v>0</v>
      </c>
      <c r="L210" s="309">
        <f t="shared" si="69"/>
        <v>0</v>
      </c>
      <c r="M210" s="309">
        <f t="shared" si="69"/>
        <v>0</v>
      </c>
      <c r="N210" s="309">
        <f t="shared" si="69"/>
        <v>0</v>
      </c>
      <c r="O210" s="309">
        <f t="shared" si="69"/>
        <v>0</v>
      </c>
      <c r="P210" s="8">
        <f>SUM(D210:O210)</f>
        <v>11764788.439999999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5689578</v>
      </c>
      <c r="E212" s="11">
        <v>4375686</v>
      </c>
      <c r="F212" s="11">
        <v>6389411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16454675</v>
      </c>
    </row>
    <row r="213" spans="1:16" ht="15.75" x14ac:dyDescent="0.25">
      <c r="A213" s="331" t="s">
        <v>42</v>
      </c>
      <c r="B213" s="332"/>
      <c r="C213" s="4" t="s">
        <v>31</v>
      </c>
      <c r="D213" s="11">
        <v>2000</v>
      </c>
      <c r="E213" s="11">
        <v>500</v>
      </c>
      <c r="F213" s="11">
        <v>3400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5900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1476000</v>
      </c>
      <c r="E214" s="11">
        <v>1761119</v>
      </c>
      <c r="F214" s="11">
        <v>1841608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5078727</v>
      </c>
    </row>
    <row r="215" spans="1:16" ht="15.75" x14ac:dyDescent="0.25">
      <c r="A215" s="331" t="s">
        <v>40</v>
      </c>
      <c r="B215" s="332"/>
      <c r="C215" s="4" t="s">
        <v>31</v>
      </c>
      <c r="D215" s="11">
        <v>12632200</v>
      </c>
      <c r="E215" s="11">
        <v>5669930.4000000004</v>
      </c>
      <c r="F215" s="11">
        <v>2351663.4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20653793.799999997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70">SUM(D212:D215)</f>
        <v>19799778</v>
      </c>
      <c r="E216" s="309">
        <f t="shared" si="70"/>
        <v>11807235.4</v>
      </c>
      <c r="F216" s="309">
        <f t="shared" si="70"/>
        <v>10586082.4</v>
      </c>
      <c r="G216" s="309">
        <f t="shared" si="70"/>
        <v>0</v>
      </c>
      <c r="H216" s="309">
        <f t="shared" si="70"/>
        <v>0</v>
      </c>
      <c r="I216" s="309">
        <f t="shared" si="70"/>
        <v>0</v>
      </c>
      <c r="J216" s="309">
        <f t="shared" si="70"/>
        <v>0</v>
      </c>
      <c r="K216" s="309">
        <f t="shared" si="70"/>
        <v>0</v>
      </c>
      <c r="L216" s="309">
        <f t="shared" si="70"/>
        <v>0</v>
      </c>
      <c r="M216" s="309">
        <f t="shared" si="70"/>
        <v>0</v>
      </c>
      <c r="N216" s="309">
        <f t="shared" si="70"/>
        <v>0</v>
      </c>
      <c r="O216" s="309">
        <f t="shared" si="70"/>
        <v>0</v>
      </c>
      <c r="P216" s="8">
        <f>SUM(D216:O216)</f>
        <v>42193095.799999997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23751086</v>
      </c>
      <c r="E217" s="309">
        <f t="shared" ref="E217:P217" si="71">E210+E216</f>
        <v>16242648.620000001</v>
      </c>
      <c r="F217" s="309">
        <f t="shared" si="71"/>
        <v>13964149.620000001</v>
      </c>
      <c r="G217" s="309">
        <f t="shared" si="71"/>
        <v>0</v>
      </c>
      <c r="H217" s="309">
        <f t="shared" si="71"/>
        <v>0</v>
      </c>
      <c r="I217" s="309">
        <f t="shared" si="71"/>
        <v>0</v>
      </c>
      <c r="J217" s="309">
        <f t="shared" si="71"/>
        <v>0</v>
      </c>
      <c r="K217" s="309">
        <f t="shared" si="71"/>
        <v>0</v>
      </c>
      <c r="L217" s="309">
        <f t="shared" si="71"/>
        <v>0</v>
      </c>
      <c r="M217" s="309">
        <f t="shared" si="71"/>
        <v>0</v>
      </c>
      <c r="N217" s="309">
        <f t="shared" si="71"/>
        <v>0</v>
      </c>
      <c r="O217" s="309">
        <f t="shared" si="71"/>
        <v>0</v>
      </c>
      <c r="P217" s="280">
        <f t="shared" si="71"/>
        <v>53957884.239999995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3601095.15</v>
      </c>
      <c r="E219" s="11">
        <v>3247123.42</v>
      </c>
      <c r="F219" s="11">
        <v>4203109.4800000004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11051328.050000001</v>
      </c>
    </row>
    <row r="220" spans="1:16" ht="15.75" x14ac:dyDescent="0.25">
      <c r="A220" s="331" t="s">
        <v>34</v>
      </c>
      <c r="B220" s="332"/>
      <c r="C220" s="4" t="s">
        <v>31</v>
      </c>
      <c r="D220" s="11">
        <v>765.12</v>
      </c>
      <c r="E220" s="11">
        <v>765.12</v>
      </c>
      <c r="F220" s="11">
        <v>765.12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2295.36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>
        <v>101148.76</v>
      </c>
      <c r="E222" s="11">
        <v>138398.9</v>
      </c>
      <c r="F222" s="11">
        <v>82029.38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321577.03999999998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3703009.03</v>
      </c>
      <c r="E223" s="396">
        <f t="shared" ref="E223" si="72">SUM(E219:E222)</f>
        <v>3386287.44</v>
      </c>
      <c r="F223" s="396">
        <f>SUM(F219:F222)</f>
        <v>4285903.9800000004</v>
      </c>
      <c r="G223" s="309">
        <f>SUM(G219:G222)</f>
        <v>0</v>
      </c>
      <c r="H223" s="309">
        <f t="shared" ref="H223:O223" si="73">SUM(H219:H222)</f>
        <v>0</v>
      </c>
      <c r="I223" s="309">
        <f t="shared" si="73"/>
        <v>0</v>
      </c>
      <c r="J223" s="315">
        <f t="shared" si="73"/>
        <v>0</v>
      </c>
      <c r="K223" s="315">
        <f t="shared" si="73"/>
        <v>0</v>
      </c>
      <c r="L223" s="315">
        <f t="shared" si="73"/>
        <v>0</v>
      </c>
      <c r="M223" s="315">
        <f t="shared" si="73"/>
        <v>0</v>
      </c>
      <c r="N223" s="315">
        <f t="shared" si="73"/>
        <v>0</v>
      </c>
      <c r="O223" s="315">
        <f t="shared" si="73"/>
        <v>0</v>
      </c>
      <c r="P223" s="8">
        <f>SUM(D223:O223)</f>
        <v>11375200.449999999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4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4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4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4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19715048.850000001</v>
      </c>
      <c r="E229" s="11">
        <v>11703861.5</v>
      </c>
      <c r="F229" s="11">
        <v>10325262.42</v>
      </c>
      <c r="G229" s="11"/>
      <c r="H229" s="10"/>
      <c r="I229" s="10"/>
      <c r="J229" s="10"/>
      <c r="K229" s="427"/>
      <c r="L229" s="427"/>
      <c r="M229" s="10"/>
      <c r="N229" s="427"/>
      <c r="O229" s="10"/>
      <c r="P229" s="8">
        <f t="shared" si="74"/>
        <v>41744172.770000003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23418057.880000003</v>
      </c>
      <c r="E230" s="314">
        <f t="shared" ref="E230:O230" si="75">E223+E229</f>
        <v>15090148.939999999</v>
      </c>
      <c r="F230" s="314">
        <f t="shared" si="75"/>
        <v>14611166.4</v>
      </c>
      <c r="G230" s="314">
        <f t="shared" si="75"/>
        <v>0</v>
      </c>
      <c r="H230" s="314">
        <f t="shared" si="75"/>
        <v>0</v>
      </c>
      <c r="I230" s="314">
        <f t="shared" si="75"/>
        <v>0</v>
      </c>
      <c r="J230" s="314">
        <f t="shared" si="75"/>
        <v>0</v>
      </c>
      <c r="K230" s="314">
        <f t="shared" si="75"/>
        <v>0</v>
      </c>
      <c r="L230" s="314">
        <f t="shared" si="75"/>
        <v>0</v>
      </c>
      <c r="M230" s="314">
        <f t="shared" si="75"/>
        <v>0</v>
      </c>
      <c r="N230" s="314">
        <f t="shared" si="75"/>
        <v>0</v>
      </c>
      <c r="O230" s="314">
        <f t="shared" si="75"/>
        <v>0</v>
      </c>
      <c r="P230" s="8">
        <f t="shared" si="74"/>
        <v>53119373.219999999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409602.16</v>
      </c>
      <c r="E232" s="11">
        <v>411522.82</v>
      </c>
      <c r="F232" s="11">
        <v>398318.56</v>
      </c>
      <c r="G232" s="11"/>
      <c r="H232" s="11"/>
      <c r="I232" s="11"/>
      <c r="J232" s="277"/>
      <c r="K232" s="11"/>
      <c r="L232" s="11"/>
      <c r="M232" s="11"/>
      <c r="N232" s="277"/>
      <c r="O232" s="277"/>
      <c r="P232" s="8">
        <f>SUM(D232:O232)</f>
        <v>1219443.54</v>
      </c>
    </row>
    <row r="233" spans="1:16" ht="15.75" x14ac:dyDescent="0.25">
      <c r="A233" s="331" t="s">
        <v>28</v>
      </c>
      <c r="B233" s="332"/>
      <c r="C233" s="4" t="s">
        <v>18</v>
      </c>
      <c r="D233" s="11">
        <v>191.28</v>
      </c>
      <c r="E233" s="11">
        <v>191.28</v>
      </c>
      <c r="F233" s="11">
        <v>191.28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573.84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>
        <v>9274.68</v>
      </c>
      <c r="E235" s="11">
        <v>9274.68</v>
      </c>
      <c r="F235" s="11">
        <v>9274.68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27824.04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6">SUM(D232:D235)</f>
        <v>419068.12</v>
      </c>
      <c r="E236" s="314">
        <f t="shared" si="76"/>
        <v>420988.78</v>
      </c>
      <c r="F236" s="314">
        <f t="shared" si="76"/>
        <v>407784.52</v>
      </c>
      <c r="G236" s="314">
        <f t="shared" si="76"/>
        <v>0</v>
      </c>
      <c r="H236" s="314">
        <f t="shared" si="76"/>
        <v>0</v>
      </c>
      <c r="I236" s="314">
        <f t="shared" si="76"/>
        <v>0</v>
      </c>
      <c r="J236" s="314">
        <f t="shared" si="76"/>
        <v>0</v>
      </c>
      <c r="K236" s="314">
        <f t="shared" si="76"/>
        <v>0</v>
      </c>
      <c r="L236" s="314">
        <f t="shared" si="76"/>
        <v>0</v>
      </c>
      <c r="M236" s="314">
        <f t="shared" si="76"/>
        <v>0</v>
      </c>
      <c r="N236" s="314">
        <f t="shared" si="76"/>
        <v>0</v>
      </c>
      <c r="O236" s="314">
        <f t="shared" si="76"/>
        <v>0</v>
      </c>
      <c r="P236" s="280">
        <f t="shared" si="76"/>
        <v>1247841.4200000002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679573</v>
      </c>
      <c r="E238" s="11">
        <v>682252</v>
      </c>
      <c r="F238" s="11">
        <v>659034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2020859</v>
      </c>
    </row>
    <row r="239" spans="1:16" ht="15.75" x14ac:dyDescent="0.25">
      <c r="A239" s="331" t="s">
        <v>22</v>
      </c>
      <c r="B239" s="332"/>
      <c r="C239" s="4" t="s">
        <v>18</v>
      </c>
      <c r="D239" s="11">
        <v>893</v>
      </c>
      <c r="E239" s="11">
        <v>893</v>
      </c>
      <c r="F239" s="11">
        <v>893</v>
      </c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2679</v>
      </c>
    </row>
    <row r="240" spans="1:16" ht="15.75" x14ac:dyDescent="0.25">
      <c r="A240" s="331" t="s">
        <v>21</v>
      </c>
      <c r="B240" s="332"/>
      <c r="C240" s="4" t="s">
        <v>18</v>
      </c>
      <c r="D240" s="11"/>
      <c r="E240" s="11"/>
      <c r="F240" s="11"/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1">
        <v>1786</v>
      </c>
      <c r="E241" s="11">
        <v>1786</v>
      </c>
      <c r="F241" s="11">
        <v>1786</v>
      </c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5358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7">SUM(D238:D241)</f>
        <v>682252</v>
      </c>
      <c r="E242" s="314">
        <f t="shared" ref="E242:P242" si="78">SUM(E238:E241)</f>
        <v>684931</v>
      </c>
      <c r="F242" s="314">
        <f t="shared" si="78"/>
        <v>661713</v>
      </c>
      <c r="G242" s="314">
        <f t="shared" si="78"/>
        <v>0</v>
      </c>
      <c r="H242" s="314">
        <f t="shared" si="78"/>
        <v>0</v>
      </c>
      <c r="I242" s="309">
        <f t="shared" si="78"/>
        <v>0</v>
      </c>
      <c r="J242" s="314">
        <f t="shared" si="78"/>
        <v>0</v>
      </c>
      <c r="K242" s="314">
        <f t="shared" si="78"/>
        <v>0</v>
      </c>
      <c r="L242" s="314">
        <f t="shared" si="78"/>
        <v>0</v>
      </c>
      <c r="M242" s="314">
        <f t="shared" si="78"/>
        <v>0</v>
      </c>
      <c r="N242" s="314">
        <f t="shared" si="78"/>
        <v>0</v>
      </c>
      <c r="O242" s="314">
        <f t="shared" si="78"/>
        <v>0</v>
      </c>
      <c r="P242" s="280">
        <f t="shared" si="78"/>
        <v>2028896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24519378.000000004</v>
      </c>
      <c r="E243" s="309">
        <f t="shared" ref="E243:O243" si="79">E230+E236+E242</f>
        <v>16196068.719999999</v>
      </c>
      <c r="F243" s="309">
        <f t="shared" si="79"/>
        <v>15680663.92</v>
      </c>
      <c r="G243" s="309">
        <f t="shared" si="79"/>
        <v>0</v>
      </c>
      <c r="H243" s="309">
        <f t="shared" si="79"/>
        <v>0</v>
      </c>
      <c r="I243" s="309">
        <f t="shared" si="79"/>
        <v>0</v>
      </c>
      <c r="J243" s="309">
        <f t="shared" si="79"/>
        <v>0</v>
      </c>
      <c r="K243" s="309">
        <f t="shared" si="79"/>
        <v>0</v>
      </c>
      <c r="L243" s="309">
        <f t="shared" si="79"/>
        <v>0</v>
      </c>
      <c r="M243" s="309">
        <f t="shared" si="79"/>
        <v>0</v>
      </c>
      <c r="N243" s="309">
        <f t="shared" si="79"/>
        <v>0</v>
      </c>
      <c r="O243" s="309">
        <f t="shared" si="79"/>
        <v>0</v>
      </c>
      <c r="P243" s="280">
        <f>P216+P223+P236+P242</f>
        <v>56845033.670000002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19831213.559999999</v>
      </c>
      <c r="E245" s="397">
        <v>21072738.670000002</v>
      </c>
      <c r="F245" s="397">
        <v>44989405.200000003</v>
      </c>
      <c r="G245" s="397"/>
      <c r="H245" s="397"/>
      <c r="I245" s="397"/>
      <c r="J245" s="397"/>
      <c r="K245" s="139"/>
      <c r="L245" s="139"/>
      <c r="M245" s="139"/>
      <c r="N245" s="139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>
        <v>499854.76</v>
      </c>
      <c r="E246" s="397">
        <v>332144.8</v>
      </c>
      <c r="F246" s="397">
        <v>499854.76</v>
      </c>
      <c r="G246" s="397"/>
      <c r="H246" s="397"/>
      <c r="I246" s="397"/>
      <c r="J246" s="397"/>
      <c r="K246" s="139"/>
      <c r="L246" s="139"/>
      <c r="M246" s="139"/>
      <c r="N246" s="139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20331068.32</v>
      </c>
      <c r="E247" s="129">
        <f t="shared" ref="E247:P247" si="80">E245+E246</f>
        <v>21404883.470000003</v>
      </c>
      <c r="F247" s="129">
        <f t="shared" si="80"/>
        <v>45489259.960000001</v>
      </c>
      <c r="G247" s="129">
        <f t="shared" si="80"/>
        <v>0</v>
      </c>
      <c r="H247" s="129">
        <f t="shared" si="80"/>
        <v>0</v>
      </c>
      <c r="I247" s="129">
        <f t="shared" si="80"/>
        <v>0</v>
      </c>
      <c r="J247" s="129">
        <f t="shared" si="80"/>
        <v>0</v>
      </c>
      <c r="K247" s="129">
        <f t="shared" si="80"/>
        <v>0</v>
      </c>
      <c r="L247" s="129">
        <f t="shared" si="80"/>
        <v>0</v>
      </c>
      <c r="M247" s="129">
        <f t="shared" si="80"/>
        <v>0</v>
      </c>
      <c r="N247" s="129">
        <f t="shared" si="80"/>
        <v>0</v>
      </c>
      <c r="O247" s="129">
        <f t="shared" si="80"/>
        <v>0</v>
      </c>
      <c r="P247" s="317">
        <f t="shared" si="80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129.85966914005732</v>
      </c>
      <c r="E249" s="7">
        <f t="shared" ref="E249:P249" si="81">E58/E243%</f>
        <v>146.61799919184338</v>
      </c>
      <c r="F249" s="7">
        <f t="shared" si="81"/>
        <v>149.93172750812963</v>
      </c>
      <c r="G249" s="7" t="e">
        <f t="shared" si="81"/>
        <v>#DIV/0!</v>
      </c>
      <c r="H249" s="7" t="e">
        <f t="shared" si="81"/>
        <v>#DIV/0!</v>
      </c>
      <c r="I249" s="7" t="e">
        <f t="shared" si="81"/>
        <v>#DIV/0!</v>
      </c>
      <c r="J249" s="7" t="e">
        <f t="shared" si="81"/>
        <v>#DIV/0!</v>
      </c>
      <c r="K249" s="7" t="e">
        <f t="shared" si="81"/>
        <v>#DIV/0!</v>
      </c>
      <c r="L249" s="7" t="e">
        <f t="shared" si="81"/>
        <v>#DIV/0!</v>
      </c>
      <c r="M249" s="7" t="e">
        <f t="shared" si="81"/>
        <v>#DIV/0!</v>
      </c>
      <c r="N249" s="7" t="e">
        <f t="shared" si="81"/>
        <v>#DIV/0!</v>
      </c>
      <c r="O249" s="7" t="e">
        <f t="shared" si="81"/>
        <v>#DIV/0!</v>
      </c>
      <c r="P249" s="318">
        <f t="shared" si="81"/>
        <v>139.37688525429277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16.78962619176961</v>
      </c>
      <c r="E250" s="25">
        <f t="shared" ref="E250:P250" si="82">E210/(E223+E245)%</f>
        <v>18.134054888581986</v>
      </c>
      <c r="F250" s="25">
        <f t="shared" si="82"/>
        <v>6.8554967512433169</v>
      </c>
      <c r="G250" s="25" t="e">
        <f t="shared" si="82"/>
        <v>#DIV/0!</v>
      </c>
      <c r="H250" s="25" t="e">
        <f t="shared" si="82"/>
        <v>#DIV/0!</v>
      </c>
      <c r="I250" s="25" t="e">
        <f t="shared" si="82"/>
        <v>#DIV/0!</v>
      </c>
      <c r="J250" s="25" t="e">
        <f t="shared" si="82"/>
        <v>#DIV/0!</v>
      </c>
      <c r="K250" s="25" t="e">
        <f t="shared" si="82"/>
        <v>#DIV/0!</v>
      </c>
      <c r="L250" s="25" t="e">
        <f t="shared" si="82"/>
        <v>#DIV/0!</v>
      </c>
      <c r="M250" s="25" t="e">
        <f t="shared" si="82"/>
        <v>#DIV/0!</v>
      </c>
      <c r="N250" s="25" t="e">
        <f t="shared" si="82"/>
        <v>#DIV/0!</v>
      </c>
      <c r="O250" s="25" t="e">
        <f t="shared" si="82"/>
        <v>#DIV/0!</v>
      </c>
      <c r="P250" s="301">
        <f t="shared" si="82"/>
        <v>103.42488900931851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106.70532985440764</v>
      </c>
      <c r="E251" s="6">
        <f t="shared" ref="E251:P251" si="83">E210/E223%</f>
        <v>130.98159263172295</v>
      </c>
      <c r="F251" s="6">
        <f t="shared" si="83"/>
        <v>78.81807982081763</v>
      </c>
      <c r="G251" s="6" t="e">
        <f t="shared" si="83"/>
        <v>#DIV/0!</v>
      </c>
      <c r="H251" s="6" t="e">
        <f t="shared" si="83"/>
        <v>#DIV/0!</v>
      </c>
      <c r="I251" s="6" t="e">
        <f t="shared" si="83"/>
        <v>#DIV/0!</v>
      </c>
      <c r="J251" s="6" t="e">
        <f t="shared" si="83"/>
        <v>#DIV/0!</v>
      </c>
      <c r="K251" s="6" t="e">
        <f t="shared" si="83"/>
        <v>#DIV/0!</v>
      </c>
      <c r="L251" s="6" t="e">
        <f t="shared" si="83"/>
        <v>#DIV/0!</v>
      </c>
      <c r="M251" s="6" t="e">
        <f t="shared" si="83"/>
        <v>#DIV/0!</v>
      </c>
      <c r="N251" s="6" t="e">
        <f t="shared" si="83"/>
        <v>#DIV/0!</v>
      </c>
      <c r="O251" s="6" t="e">
        <f t="shared" si="83"/>
        <v>#DIV/0!</v>
      </c>
      <c r="P251" s="319">
        <f t="shared" si="83"/>
        <v>103.42488900931851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12</v>
      </c>
      <c r="E253" s="3">
        <v>12</v>
      </c>
      <c r="F253" s="3">
        <f>F91</f>
        <v>20</v>
      </c>
      <c r="G253" s="3"/>
      <c r="H253" s="3"/>
      <c r="I253" s="3"/>
      <c r="J253" s="3"/>
      <c r="K253" s="3">
        <f t="shared" ref="K253" si="84">K103</f>
        <v>0</v>
      </c>
      <c r="L253" s="3"/>
      <c r="M253" s="3"/>
      <c r="N253" s="3"/>
      <c r="O253" s="3"/>
      <c r="P253" s="320">
        <f>SUM(D253:O253)</f>
        <v>44</v>
      </c>
    </row>
    <row r="254" spans="1:17" ht="15.6" customHeight="1" x14ac:dyDescent="0.25">
      <c r="A254" s="331" t="s">
        <v>12</v>
      </c>
      <c r="B254" s="332"/>
      <c r="C254" s="4" t="s">
        <v>3</v>
      </c>
      <c r="D254" s="3">
        <v>5</v>
      </c>
      <c r="E254" s="3">
        <v>5</v>
      </c>
      <c r="F254" s="3">
        <v>5</v>
      </c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15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v>10</v>
      </c>
      <c r="E255" s="409">
        <f t="shared" ref="E255:N255" si="85">E95</f>
        <v>10</v>
      </c>
      <c r="F255" s="409">
        <f>F95</f>
        <v>16</v>
      </c>
      <c r="G255" s="409">
        <f t="shared" si="85"/>
        <v>16</v>
      </c>
      <c r="H255" s="409">
        <f t="shared" si="85"/>
        <v>16</v>
      </c>
      <c r="I255" s="409">
        <f t="shared" si="85"/>
        <v>16</v>
      </c>
      <c r="J255" s="409">
        <f t="shared" si="85"/>
        <v>16</v>
      </c>
      <c r="K255" s="409">
        <f t="shared" si="85"/>
        <v>16</v>
      </c>
      <c r="L255" s="409">
        <f t="shared" si="85"/>
        <v>16</v>
      </c>
      <c r="M255" s="409">
        <f t="shared" si="85"/>
        <v>16</v>
      </c>
      <c r="N255" s="409">
        <f t="shared" si="85"/>
        <v>16</v>
      </c>
      <c r="O255" s="409"/>
      <c r="P255" s="410">
        <f>SUM(D255:O255)</f>
        <v>164</v>
      </c>
    </row>
    <row r="256" spans="1:17" ht="15.75" x14ac:dyDescent="0.25">
      <c r="A256" s="331" t="s">
        <v>10</v>
      </c>
      <c r="B256" s="332"/>
      <c r="C256" s="4" t="s">
        <v>3</v>
      </c>
      <c r="D256" s="3">
        <v>10</v>
      </c>
      <c r="E256" s="3">
        <v>10</v>
      </c>
      <c r="F256" s="3">
        <f t="shared" ref="F256:N256" si="86">F91</f>
        <v>20</v>
      </c>
      <c r="G256" s="3">
        <f t="shared" si="86"/>
        <v>0</v>
      </c>
      <c r="H256" s="3">
        <f t="shared" si="86"/>
        <v>0</v>
      </c>
      <c r="I256" s="3">
        <f t="shared" si="86"/>
        <v>0</v>
      </c>
      <c r="J256" s="3">
        <f t="shared" si="86"/>
        <v>0</v>
      </c>
      <c r="K256" s="3">
        <f t="shared" si="86"/>
        <v>0</v>
      </c>
      <c r="L256" s="3">
        <f t="shared" si="86"/>
        <v>0</v>
      </c>
      <c r="M256" s="3">
        <f>M91</f>
        <v>0</v>
      </c>
      <c r="N256" s="3">
        <f t="shared" si="86"/>
        <v>0</v>
      </c>
      <c r="O256" s="3"/>
      <c r="P256" s="320">
        <f>SUM(D256:O256)</f>
        <v>40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>
        <v>30</v>
      </c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90</v>
      </c>
    </row>
    <row r="258" spans="1:16" ht="15.75" x14ac:dyDescent="0.25">
      <c r="A258" s="333" t="s">
        <v>8</v>
      </c>
      <c r="B258" s="334"/>
      <c r="C258" s="4" t="s">
        <v>3</v>
      </c>
      <c r="D258" s="398">
        <f t="shared" ref="D258:P258" si="87">D257/D256</f>
        <v>3</v>
      </c>
      <c r="E258" s="398">
        <f t="shared" si="87"/>
        <v>3</v>
      </c>
      <c r="F258" s="398">
        <f t="shared" si="87"/>
        <v>1.5</v>
      </c>
      <c r="G258" s="398" t="e">
        <f t="shared" si="87"/>
        <v>#DIV/0!</v>
      </c>
      <c r="H258" s="398" t="e">
        <f t="shared" si="87"/>
        <v>#DIV/0!</v>
      </c>
      <c r="I258" s="398" t="e">
        <f t="shared" si="87"/>
        <v>#DIV/0!</v>
      </c>
      <c r="J258" s="398" t="e">
        <f t="shared" si="87"/>
        <v>#DIV/0!</v>
      </c>
      <c r="K258" s="398" t="e">
        <f t="shared" si="87"/>
        <v>#DIV/0!</v>
      </c>
      <c r="L258" s="398" t="e">
        <f t="shared" si="87"/>
        <v>#DIV/0!</v>
      </c>
      <c r="M258" s="398" t="e">
        <f t="shared" si="87"/>
        <v>#DIV/0!</v>
      </c>
      <c r="N258" s="398" t="e">
        <f t="shared" si="87"/>
        <v>#DIV/0!</v>
      </c>
      <c r="O258" s="398"/>
      <c r="P258" s="320">
        <f t="shared" si="87"/>
        <v>2.25</v>
      </c>
    </row>
    <row r="259" spans="1:16" ht="15.75" x14ac:dyDescent="0.25">
      <c r="A259" s="333" t="s">
        <v>7</v>
      </c>
      <c r="B259" s="334"/>
      <c r="C259" s="4" t="s">
        <v>6</v>
      </c>
      <c r="D259" s="1">
        <f>D92/D255*100</f>
        <v>0</v>
      </c>
      <c r="E259" s="1">
        <f t="shared" ref="E259:P259" si="88">E92/E255*100</f>
        <v>10</v>
      </c>
      <c r="F259" s="1">
        <f t="shared" si="88"/>
        <v>6.25</v>
      </c>
      <c r="G259" s="1">
        <f t="shared" si="88"/>
        <v>0</v>
      </c>
      <c r="H259" s="1">
        <f t="shared" si="88"/>
        <v>0</v>
      </c>
      <c r="I259" s="1">
        <f t="shared" si="88"/>
        <v>0</v>
      </c>
      <c r="J259" s="1">
        <f t="shared" si="88"/>
        <v>0</v>
      </c>
      <c r="K259" s="1">
        <f t="shared" si="88"/>
        <v>0</v>
      </c>
      <c r="L259" s="1">
        <f t="shared" si="88"/>
        <v>0</v>
      </c>
      <c r="M259" s="1">
        <f t="shared" si="88"/>
        <v>0</v>
      </c>
      <c r="N259" s="1">
        <f t="shared" si="88"/>
        <v>0</v>
      </c>
      <c r="O259" s="1"/>
      <c r="P259" s="321">
        <f t="shared" si="88"/>
        <v>1.2195121951219512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20</v>
      </c>
      <c r="E261" s="3">
        <v>15</v>
      </c>
      <c r="F261" s="3">
        <v>30</v>
      </c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65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7</v>
      </c>
      <c r="E262" s="3">
        <v>5</v>
      </c>
      <c r="F262" s="3">
        <v>5</v>
      </c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17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2.8571428571428572</v>
      </c>
      <c r="E263" s="106">
        <f t="shared" ref="E263:P263" si="89">E261/E262</f>
        <v>3</v>
      </c>
      <c r="F263" s="106">
        <f t="shared" si="89"/>
        <v>6</v>
      </c>
      <c r="G263" s="106" t="e">
        <f t="shared" si="89"/>
        <v>#DIV/0!</v>
      </c>
      <c r="H263" s="106" t="e">
        <f t="shared" si="89"/>
        <v>#DIV/0!</v>
      </c>
      <c r="I263" s="106" t="e">
        <f t="shared" si="89"/>
        <v>#DIV/0!</v>
      </c>
      <c r="J263" s="106" t="e">
        <f t="shared" si="89"/>
        <v>#DIV/0!</v>
      </c>
      <c r="K263" s="106" t="e">
        <f t="shared" si="89"/>
        <v>#DIV/0!</v>
      </c>
      <c r="L263" s="106" t="e">
        <f t="shared" si="89"/>
        <v>#DIV/0!</v>
      </c>
      <c r="M263" s="106" t="e">
        <f t="shared" si="89"/>
        <v>#DIV/0!</v>
      </c>
      <c r="N263" s="106" t="e">
        <f t="shared" si="89"/>
        <v>#DIV/0!</v>
      </c>
      <c r="O263" s="106" t="e">
        <f t="shared" si="89"/>
        <v>#DIV/0!</v>
      </c>
      <c r="P263" s="167">
        <f t="shared" si="89"/>
        <v>3.8235294117647061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263"/>
  <sheetViews>
    <sheetView topLeftCell="A13" zoomScale="82" zoomScaleNormal="82" workbookViewId="0">
      <pane xSplit="3" topLeftCell="D1" activePane="topRight" state="frozen"/>
      <selection pane="topRight" activeCell="F259" sqref="F259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11073</v>
      </c>
      <c r="E9" s="52">
        <v>9222</v>
      </c>
      <c r="F9" s="52">
        <v>8783</v>
      </c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29078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2780</v>
      </c>
      <c r="E11" s="22">
        <v>2655</v>
      </c>
      <c r="F11" s="22">
        <v>3160</v>
      </c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8595</v>
      </c>
    </row>
    <row r="12" spans="1:16" ht="15.75" x14ac:dyDescent="0.25">
      <c r="A12" s="338" t="s">
        <v>158</v>
      </c>
      <c r="B12" s="339"/>
      <c r="C12" s="4" t="s">
        <v>154</v>
      </c>
      <c r="D12" s="22">
        <v>17</v>
      </c>
      <c r="E12" s="22">
        <v>14</v>
      </c>
      <c r="F12" s="22">
        <v>6</v>
      </c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37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>
        <v>18</v>
      </c>
      <c r="E14" s="22">
        <v>8</v>
      </c>
      <c r="F14" s="22">
        <v>8</v>
      </c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34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2815</v>
      </c>
      <c r="E15" s="258">
        <f t="shared" si="0"/>
        <v>2677</v>
      </c>
      <c r="F15" s="258">
        <f t="shared" si="0"/>
        <v>3174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8666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3079</v>
      </c>
      <c r="E17" s="22">
        <v>3325</v>
      </c>
      <c r="F17" s="22">
        <v>3028</v>
      </c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9432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26</v>
      </c>
      <c r="E18" s="22">
        <v>25</v>
      </c>
      <c r="F18" s="22">
        <v>9</v>
      </c>
      <c r="G18" s="339"/>
      <c r="H18" s="339"/>
      <c r="I18" s="339"/>
      <c r="J18" s="339"/>
      <c r="K18" s="22"/>
      <c r="L18" s="22"/>
      <c r="M18" s="22"/>
      <c r="N18" s="339"/>
      <c r="O18" s="339"/>
      <c r="P18" s="257">
        <f>SUM(D18:O18)</f>
        <v>60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91</v>
      </c>
      <c r="E19" s="22">
        <v>116</v>
      </c>
      <c r="F19" s="22">
        <v>78</v>
      </c>
      <c r="G19" s="339"/>
      <c r="H19" s="339"/>
      <c r="I19" s="339"/>
      <c r="J19" s="339"/>
      <c r="K19" s="22"/>
      <c r="L19" s="22"/>
      <c r="M19" s="22"/>
      <c r="N19" s="339"/>
      <c r="O19" s="339"/>
      <c r="P19" s="257">
        <f>SUM(D19:O19)</f>
        <v>285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177</v>
      </c>
      <c r="E20" s="22">
        <v>283</v>
      </c>
      <c r="F20" s="22">
        <v>63</v>
      </c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523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3373</v>
      </c>
      <c r="E21" s="258">
        <f t="shared" ref="E21:P21" si="1">SUM(E17:E20)</f>
        <v>3749</v>
      </c>
      <c r="F21" s="258">
        <f t="shared" si="1"/>
        <v>3178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10300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6188</v>
      </c>
      <c r="E22" s="258">
        <f t="shared" ref="E22:P22" si="2">E21+E15</f>
        <v>6426</v>
      </c>
      <c r="F22" s="258">
        <f t="shared" si="2"/>
        <v>6352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18966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4885</v>
      </c>
      <c r="E24" s="261">
        <f t="shared" ref="E24:P24" si="3">E9-E22</f>
        <v>2796</v>
      </c>
      <c r="F24" s="261">
        <f t="shared" si="3"/>
        <v>2431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10112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>D24/D9</f>
        <v>0.44116318974081098</v>
      </c>
      <c r="E25" s="265">
        <f t="shared" ref="E25:P25" si="4">E24/E9</f>
        <v>0.30318802862719585</v>
      </c>
      <c r="F25" s="265">
        <f t="shared" si="4"/>
        <v>0.27678469771148811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0.34775431597771511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8">
        <v>15</v>
      </c>
      <c r="E29" s="38">
        <v>15</v>
      </c>
      <c r="F29" s="38">
        <v>15</v>
      </c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45</v>
      </c>
    </row>
    <row r="30" spans="1:18" ht="15.75" x14ac:dyDescent="0.25">
      <c r="A30" s="187"/>
      <c r="B30" s="441"/>
      <c r="C30" s="37" t="s">
        <v>141</v>
      </c>
      <c r="D30" s="13">
        <f>D29/(D9/1000)</f>
        <v>1.3546464372798699</v>
      </c>
      <c r="E30" s="13">
        <f t="shared" ref="E30:P30" si="5">E29/(E9/1000)</f>
        <v>1.6265452179570592</v>
      </c>
      <c r="F30" s="13">
        <f t="shared" si="5"/>
        <v>1.7078446999886145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275" t="e">
        <f t="shared" si="5"/>
        <v>#DIV/0!</v>
      </c>
      <c r="K30" s="275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1.5475617305179175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>D31/(D9/1000)</f>
        <v>0</v>
      </c>
      <c r="E32" s="13">
        <f t="shared" ref="E32:P32" si="6">E31/(E9/1000)</f>
        <v>0</v>
      </c>
      <c r="F32" s="13">
        <f t="shared" si="6"/>
        <v>0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>D33/(D9/1000)</f>
        <v>0</v>
      </c>
      <c r="E34" s="13">
        <f t="shared" ref="E34:P34" si="7">E33/(E9/1000)</f>
        <v>0</v>
      </c>
      <c r="F34" s="13">
        <f t="shared" si="7"/>
        <v>0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1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>D37/(D9/1000)</f>
        <v>0</v>
      </c>
      <c r="E38" s="13">
        <f t="shared" ref="E38:P38" si="8">E37/(E9/1000)</f>
        <v>0</v>
      </c>
      <c r="F38" s="13">
        <f t="shared" si="8"/>
        <v>0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>D39/(D9/1000)</f>
        <v>0</v>
      </c>
      <c r="E40" s="13">
        <f t="shared" ref="E40:P40" si="9">E39/(E9/1000)</f>
        <v>0</v>
      </c>
      <c r="F40" s="13">
        <f t="shared" si="9"/>
        <v>0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76675.05</v>
      </c>
      <c r="E41" s="278">
        <f t="shared" ref="E41:N41" si="10">(E29*$B29)+(E31*$B31)+(E33*$B33)+(E35*$B35)+(E37*$B37)+(E39*$B39)</f>
        <v>76675.05</v>
      </c>
      <c r="F41" s="278">
        <f t="shared" si="10"/>
        <v>76675.05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/>
      <c r="P41" s="34">
        <f>SUM(D41:O41)</f>
        <v>230025.15000000002</v>
      </c>
    </row>
    <row r="42" spans="1:16" ht="15.75" x14ac:dyDescent="0.25">
      <c r="A42" s="382" t="s">
        <v>139</v>
      </c>
      <c r="B42" s="383"/>
      <c r="C42" s="37" t="s">
        <v>117</v>
      </c>
      <c r="D42" s="275">
        <f>D41/D9</f>
        <v>6.924505554050393</v>
      </c>
      <c r="E42" s="275">
        <f t="shared" ref="E42:P42" si="11">E41/E9</f>
        <v>8.3143623942745606</v>
      </c>
      <c r="F42" s="275">
        <f t="shared" si="11"/>
        <v>8.7299385175908011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7.9106248710365232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11957</v>
      </c>
      <c r="E44" s="3">
        <v>12037</v>
      </c>
      <c r="F44" s="3">
        <v>11285</v>
      </c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35279</v>
      </c>
    </row>
    <row r="45" spans="1:16" ht="15.75" x14ac:dyDescent="0.25">
      <c r="A45" s="382" t="s">
        <v>135</v>
      </c>
      <c r="B45" s="383"/>
      <c r="C45" s="37" t="s">
        <v>134</v>
      </c>
      <c r="D45" s="13">
        <f>D44/D9</f>
        <v>1.0798338300370269</v>
      </c>
      <c r="E45" s="13">
        <f t="shared" ref="E45:P45" si="12">E44/E9</f>
        <v>1.305248319236608</v>
      </c>
      <c r="F45" s="13">
        <f t="shared" si="12"/>
        <v>1.2848684959581009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>J44/J9</f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1.213254006465369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3992083.59</v>
      </c>
      <c r="E46" s="403">
        <f>333.87*E44</f>
        <v>4018793.19</v>
      </c>
      <c r="F46" s="403">
        <f t="shared" ref="F46:O46" si="13">333.87*F44</f>
        <v>3767722.95</v>
      </c>
      <c r="G46" s="403">
        <f t="shared" si="13"/>
        <v>0</v>
      </c>
      <c r="H46" s="403">
        <f t="shared" si="13"/>
        <v>0</v>
      </c>
      <c r="I46" s="403">
        <f t="shared" si="13"/>
        <v>0</v>
      </c>
      <c r="J46" s="403">
        <f t="shared" si="13"/>
        <v>0</v>
      </c>
      <c r="K46" s="403">
        <f t="shared" si="13"/>
        <v>0</v>
      </c>
      <c r="L46" s="403">
        <f t="shared" si="13"/>
        <v>0</v>
      </c>
      <c r="M46" s="403">
        <f t="shared" si="13"/>
        <v>0</v>
      </c>
      <c r="N46" s="403">
        <f t="shared" si="13"/>
        <v>0</v>
      </c>
      <c r="O46" s="403">
        <f t="shared" si="13"/>
        <v>0</v>
      </c>
      <c r="P46" s="34">
        <f>SUM(D46:O46)</f>
        <v>11778599.73</v>
      </c>
    </row>
    <row r="47" spans="1:16" ht="15.75" x14ac:dyDescent="0.25">
      <c r="A47" s="331" t="s">
        <v>132</v>
      </c>
      <c r="B47" s="332"/>
      <c r="C47" s="4" t="s">
        <v>117</v>
      </c>
      <c r="D47" s="13">
        <f>D46/D9</f>
        <v>360.52412083446217</v>
      </c>
      <c r="E47" s="13">
        <f t="shared" ref="E47:P47" si="14">E46/E9</f>
        <v>435.78325634352632</v>
      </c>
      <c r="F47" s="13">
        <f t="shared" si="14"/>
        <v>428.97904474553116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405.06911513859279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>
        <f t="shared" ref="D51:I51" si="15">D50*2734</f>
        <v>0</v>
      </c>
      <c r="E51" s="11"/>
      <c r="F51" s="11">
        <f t="shared" si="15"/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ref="J51:K51" si="16">J50*2734</f>
        <v>0</v>
      </c>
      <c r="K51" s="11">
        <f t="shared" si="16"/>
        <v>0</v>
      </c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5462710.0899999999</v>
      </c>
      <c r="E54" s="11">
        <v>5681145.0999999996</v>
      </c>
      <c r="F54" s="11">
        <v>5681145.0999999996</v>
      </c>
      <c r="G54" s="11"/>
      <c r="H54" s="11"/>
      <c r="I54" s="11"/>
      <c r="J54" s="11"/>
      <c r="K54" s="11"/>
      <c r="L54" s="11"/>
      <c r="M54" s="396"/>
      <c r="N54" s="11"/>
      <c r="O54" s="11"/>
      <c r="P54" s="34">
        <f>SUM(D54:O54)</f>
        <v>16825000.289999999</v>
      </c>
    </row>
    <row r="55" spans="1:16" ht="15.75" x14ac:dyDescent="0.25">
      <c r="A55" s="281" t="s">
        <v>123</v>
      </c>
      <c r="B55" s="260"/>
      <c r="C55" s="4" t="s">
        <v>18</v>
      </c>
      <c r="D55" s="11">
        <v>1357285.49</v>
      </c>
      <c r="E55" s="11">
        <v>1292850.6425000001</v>
      </c>
      <c r="F55" s="11">
        <v>1194309.1200000001</v>
      </c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3844445.2525000004</v>
      </c>
    </row>
    <row r="56" spans="1:16" ht="15.75" x14ac:dyDescent="0.25">
      <c r="A56" s="331" t="s">
        <v>122</v>
      </c>
      <c r="B56" s="332"/>
      <c r="C56" s="4" t="s">
        <v>18</v>
      </c>
      <c r="D56" s="11">
        <v>2355175.84</v>
      </c>
      <c r="E56" s="11">
        <v>3533909</v>
      </c>
      <c r="F56" s="11">
        <v>869260</v>
      </c>
      <c r="G56" s="11"/>
      <c r="H56" s="11"/>
      <c r="I56" s="11"/>
      <c r="J56" s="11"/>
      <c r="K56" s="11"/>
      <c r="L56" s="11"/>
      <c r="M56" s="396"/>
      <c r="N56" s="11"/>
      <c r="O56" s="11"/>
      <c r="P56" s="34">
        <f>SUM(D56:O56)</f>
        <v>6758344.8399999999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13243930.060000001</v>
      </c>
      <c r="E58" s="11">
        <f t="shared" ref="E58:N58" si="17">E41+E46+E51+E52+E54+E55+E56</f>
        <v>14603372.9825</v>
      </c>
      <c r="F58" s="11">
        <f t="shared" si="17"/>
        <v>11589112.219999999</v>
      </c>
      <c r="G58" s="277">
        <f t="shared" si="17"/>
        <v>0</v>
      </c>
      <c r="H58" s="277">
        <f t="shared" si="17"/>
        <v>0</v>
      </c>
      <c r="I58" s="277">
        <f t="shared" si="17"/>
        <v>0</v>
      </c>
      <c r="J58" s="404">
        <f t="shared" si="17"/>
        <v>0</v>
      </c>
      <c r="K58" s="404">
        <f t="shared" si="17"/>
        <v>0</v>
      </c>
      <c r="L58" s="404">
        <f t="shared" si="17"/>
        <v>0</v>
      </c>
      <c r="M58" s="404">
        <f t="shared" si="17"/>
        <v>0</v>
      </c>
      <c r="N58" s="404">
        <f t="shared" si="17"/>
        <v>0</v>
      </c>
      <c r="O58" s="404"/>
      <c r="P58" s="59">
        <f>SUM(D58:O58)</f>
        <v>39436415.262500003</v>
      </c>
    </row>
    <row r="59" spans="1:16" ht="15.75" x14ac:dyDescent="0.25">
      <c r="A59" s="331" t="s">
        <v>119</v>
      </c>
      <c r="B59" s="332"/>
      <c r="C59" s="4" t="s">
        <v>117</v>
      </c>
      <c r="D59" s="13">
        <f>D58/D9</f>
        <v>1196.0561780908517</v>
      </c>
      <c r="E59" s="13">
        <f t="shared" ref="E59:P59" si="18">E58/E9</f>
        <v>1583.5364327152461</v>
      </c>
      <c r="F59" s="13">
        <f t="shared" si="18"/>
        <v>1319.4935921666854</v>
      </c>
      <c r="G59" s="275" t="e">
        <f t="shared" si="18"/>
        <v>#DIV/0!</v>
      </c>
      <c r="H59" s="275" t="e">
        <f t="shared" si="18"/>
        <v>#DIV/0!</v>
      </c>
      <c r="I59" s="275" t="e">
        <f t="shared" si="18"/>
        <v>#DIV/0!</v>
      </c>
      <c r="J59" s="275" t="e">
        <f t="shared" si="18"/>
        <v>#DIV/0!</v>
      </c>
      <c r="K59" s="275" t="e">
        <f t="shared" si="18"/>
        <v>#DIV/0!</v>
      </c>
      <c r="L59" s="275" t="e">
        <f t="shared" si="18"/>
        <v>#DIV/0!</v>
      </c>
      <c r="M59" s="275" t="e">
        <f t="shared" si="18"/>
        <v>#DIV/0!</v>
      </c>
      <c r="N59" s="275" t="e">
        <f t="shared" si="18"/>
        <v>#DIV/0!</v>
      </c>
      <c r="O59" s="275"/>
      <c r="P59" s="276">
        <f t="shared" si="18"/>
        <v>1356.2286010901714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2140.2601906916611</v>
      </c>
      <c r="E60" s="13">
        <f t="shared" ref="E60:N60" si="19">E58/E22</f>
        <v>2272.5448152038593</v>
      </c>
      <c r="F60" s="13">
        <f t="shared" si="19"/>
        <v>1824.4824023929468</v>
      </c>
      <c r="G60" s="275" t="e">
        <f t="shared" si="19"/>
        <v>#DIV/0!</v>
      </c>
      <c r="H60" s="275" t="e">
        <f t="shared" si="19"/>
        <v>#DIV/0!</v>
      </c>
      <c r="I60" s="275" t="e">
        <f t="shared" si="19"/>
        <v>#DIV/0!</v>
      </c>
      <c r="J60" s="275" t="e">
        <f t="shared" si="19"/>
        <v>#DIV/0!</v>
      </c>
      <c r="K60" s="275" t="e">
        <f t="shared" si="19"/>
        <v>#DIV/0!</v>
      </c>
      <c r="L60" s="275" t="e">
        <f t="shared" si="19"/>
        <v>#DIV/0!</v>
      </c>
      <c r="M60" s="275" t="e">
        <f t="shared" si="19"/>
        <v>#DIV/0!</v>
      </c>
      <c r="N60" s="275" t="e">
        <f t="shared" si="19"/>
        <v>#DIV/0!</v>
      </c>
      <c r="O60" s="275"/>
      <c r="P60" s="282">
        <f>P58/P22</f>
        <v>2079.3216947432247</v>
      </c>
    </row>
    <row r="61" spans="1:16" ht="15.75" x14ac:dyDescent="0.25">
      <c r="A61" s="331" t="s">
        <v>116</v>
      </c>
      <c r="B61" s="332"/>
      <c r="C61" s="4" t="s">
        <v>3</v>
      </c>
      <c r="D61" s="3">
        <v>6</v>
      </c>
      <c r="E61" s="3">
        <v>6</v>
      </c>
      <c r="F61" s="3">
        <v>6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>(D61*1000*31)/D9</f>
        <v>16.797615822270387</v>
      </c>
      <c r="E62" s="13">
        <f t="shared" ref="E62:P62" si="20">(E61*1000*31)/E9</f>
        <v>20.169160702667533</v>
      </c>
      <c r="F62" s="13">
        <f t="shared" si="20"/>
        <v>21.177274279858818</v>
      </c>
      <c r="G62" s="275" t="e">
        <f t="shared" si="20"/>
        <v>#DIV/0!</v>
      </c>
      <c r="H62" s="275" t="e">
        <f t="shared" si="20"/>
        <v>#DIV/0!</v>
      </c>
      <c r="I62" s="13" t="e">
        <f t="shared" si="20"/>
        <v>#DIV/0!</v>
      </c>
      <c r="J62" s="275" t="e">
        <f t="shared" si="20"/>
        <v>#DIV/0!</v>
      </c>
      <c r="K62" s="275" t="e">
        <f t="shared" si="20"/>
        <v>#DIV/0!</v>
      </c>
      <c r="L62" s="275" t="e">
        <f t="shared" si="20"/>
        <v>#DIV/0!</v>
      </c>
      <c r="M62" s="275" t="e">
        <f t="shared" si="20"/>
        <v>#DIV/0!</v>
      </c>
      <c r="N62" s="275" t="e">
        <f t="shared" si="20"/>
        <v>#DIV/0!</v>
      </c>
      <c r="O62" s="275"/>
      <c r="P62" s="276">
        <f t="shared" si="20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10</v>
      </c>
      <c r="E63" s="3">
        <v>13</v>
      </c>
      <c r="F63" s="3">
        <v>15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38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52</v>
      </c>
      <c r="E66" s="3">
        <f>D71</f>
        <v>49</v>
      </c>
      <c r="F66" s="3">
        <f>E71</f>
        <v>58</v>
      </c>
      <c r="G66" s="3">
        <f t="shared" ref="G66:O66" si="21">F71</f>
        <v>65</v>
      </c>
      <c r="H66" s="3">
        <f t="shared" si="21"/>
        <v>65</v>
      </c>
      <c r="I66" s="3">
        <f t="shared" si="21"/>
        <v>65</v>
      </c>
      <c r="J66" s="3">
        <f t="shared" si="21"/>
        <v>65</v>
      </c>
      <c r="K66" s="3">
        <f t="shared" si="21"/>
        <v>65</v>
      </c>
      <c r="L66" s="3">
        <f t="shared" si="21"/>
        <v>65</v>
      </c>
      <c r="M66" s="3">
        <f t="shared" si="21"/>
        <v>65</v>
      </c>
      <c r="N66" s="3">
        <f t="shared" si="21"/>
        <v>65</v>
      </c>
      <c r="O66" s="3">
        <f t="shared" si="21"/>
        <v>65</v>
      </c>
      <c r="P66" s="31">
        <f>D66</f>
        <v>52</v>
      </c>
    </row>
    <row r="67" spans="1:16" ht="15.6" customHeight="1" x14ac:dyDescent="0.25">
      <c r="A67" s="325"/>
      <c r="B67" s="4" t="s">
        <v>106</v>
      </c>
      <c r="C67" s="4" t="s">
        <v>3</v>
      </c>
      <c r="D67" s="3">
        <v>1</v>
      </c>
      <c r="E67" s="3">
        <v>12</v>
      </c>
      <c r="F67" s="3">
        <v>16</v>
      </c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29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>
        <v>1</v>
      </c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2">SUM(D68:O68)</f>
        <v>1</v>
      </c>
    </row>
    <row r="69" spans="1:16" ht="15.75" x14ac:dyDescent="0.25">
      <c r="A69" s="325"/>
      <c r="B69" s="4" t="s">
        <v>104</v>
      </c>
      <c r="C69" s="4" t="s">
        <v>3</v>
      </c>
      <c r="D69" s="3">
        <v>4</v>
      </c>
      <c r="E69" s="3">
        <v>3</v>
      </c>
      <c r="F69" s="3">
        <v>8</v>
      </c>
      <c r="G69" s="3"/>
      <c r="H69" s="3"/>
      <c r="I69" s="3"/>
      <c r="J69" s="3"/>
      <c r="K69" s="3"/>
      <c r="L69" s="3"/>
      <c r="M69" s="3"/>
      <c r="N69" s="3"/>
      <c r="O69" s="3"/>
      <c r="P69" s="31">
        <f t="shared" si="22"/>
        <v>15</v>
      </c>
    </row>
    <row r="70" spans="1:16" ht="15.75" x14ac:dyDescent="0.25">
      <c r="A70" s="325"/>
      <c r="B70" s="4" t="s">
        <v>190</v>
      </c>
      <c r="C70" s="4" t="s">
        <v>3</v>
      </c>
      <c r="D70" s="3">
        <f t="shared" ref="D70:N70" si="23">D68+D69</f>
        <v>4</v>
      </c>
      <c r="E70" s="3">
        <f>E68+E69</f>
        <v>3</v>
      </c>
      <c r="F70" s="3">
        <f t="shared" si="23"/>
        <v>9</v>
      </c>
      <c r="G70" s="3">
        <f t="shared" si="23"/>
        <v>0</v>
      </c>
      <c r="H70" s="3"/>
      <c r="I70" s="3">
        <f t="shared" si="23"/>
        <v>0</v>
      </c>
      <c r="J70" s="3">
        <f t="shared" si="23"/>
        <v>0</v>
      </c>
      <c r="K70" s="3">
        <f t="shared" si="23"/>
        <v>0</v>
      </c>
      <c r="L70" s="3">
        <f t="shared" si="23"/>
        <v>0</v>
      </c>
      <c r="M70" s="3">
        <f t="shared" si="23"/>
        <v>0</v>
      </c>
      <c r="N70" s="3">
        <f t="shared" si="23"/>
        <v>0</v>
      </c>
      <c r="O70" s="3"/>
      <c r="P70" s="285">
        <f t="shared" ref="P70" si="24">P68+P69</f>
        <v>16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49</v>
      </c>
      <c r="E71" s="22">
        <f>E66+E67-E70</f>
        <v>58</v>
      </c>
      <c r="F71" s="22">
        <f>F66+F67-F70</f>
        <v>65</v>
      </c>
      <c r="G71" s="22">
        <f t="shared" ref="G71:N71" si="25">G66+G67-G70</f>
        <v>65</v>
      </c>
      <c r="H71" s="22">
        <f t="shared" si="25"/>
        <v>65</v>
      </c>
      <c r="I71" s="22">
        <f t="shared" si="25"/>
        <v>65</v>
      </c>
      <c r="J71" s="402">
        <f t="shared" si="25"/>
        <v>65</v>
      </c>
      <c r="K71" s="22">
        <f t="shared" si="25"/>
        <v>65</v>
      </c>
      <c r="L71" s="22">
        <f t="shared" si="25"/>
        <v>65</v>
      </c>
      <c r="M71" s="22">
        <f t="shared" si="25"/>
        <v>65</v>
      </c>
      <c r="N71" s="22">
        <f t="shared" si="25"/>
        <v>65</v>
      </c>
      <c r="O71" s="22"/>
      <c r="P71" s="287">
        <f>P66+P67-P70</f>
        <v>65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1</v>
      </c>
      <c r="F72" s="3">
        <f t="shared" ref="F72:I72" si="26">E77</f>
        <v>0</v>
      </c>
      <c r="G72" s="3">
        <f t="shared" si="26"/>
        <v>0</v>
      </c>
      <c r="H72" s="3">
        <f t="shared" si="26"/>
        <v>0</v>
      </c>
      <c r="I72" s="3">
        <f t="shared" si="26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customHeight="1" x14ac:dyDescent="0.25">
      <c r="A73" s="325"/>
      <c r="B73" s="4" t="s">
        <v>106</v>
      </c>
      <c r="C73" s="4" t="s">
        <v>3</v>
      </c>
      <c r="D73" s="3">
        <v>1</v>
      </c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1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7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>
        <v>1</v>
      </c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7"/>
        <v>1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8">E74+E75</f>
        <v>1</v>
      </c>
      <c r="F76" s="3">
        <f t="shared" si="28"/>
        <v>0</v>
      </c>
      <c r="G76" s="3">
        <f t="shared" si="28"/>
        <v>0</v>
      </c>
      <c r="H76" s="3">
        <f t="shared" si="28"/>
        <v>0</v>
      </c>
      <c r="I76" s="284"/>
      <c r="J76" s="284"/>
      <c r="K76" s="284">
        <f t="shared" si="28"/>
        <v>0</v>
      </c>
      <c r="L76" s="284"/>
      <c r="M76" s="284">
        <f t="shared" si="28"/>
        <v>0</v>
      </c>
      <c r="N76" s="284">
        <f t="shared" si="28"/>
        <v>0</v>
      </c>
      <c r="O76" s="284"/>
      <c r="P76" s="285">
        <f t="shared" ref="P76" si="29">P74+P75</f>
        <v>1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1</v>
      </c>
      <c r="E77" s="141">
        <f t="shared" ref="E77:N77" si="30">E72+E73-E76</f>
        <v>0</v>
      </c>
      <c r="F77" s="141">
        <f t="shared" si="30"/>
        <v>0</v>
      </c>
      <c r="G77" s="141">
        <f t="shared" si="30"/>
        <v>0</v>
      </c>
      <c r="H77" s="141">
        <f t="shared" si="30"/>
        <v>0</v>
      </c>
      <c r="I77" s="141"/>
      <c r="J77" s="141">
        <f t="shared" si="30"/>
        <v>0</v>
      </c>
      <c r="K77" s="141">
        <f t="shared" si="30"/>
        <v>0</v>
      </c>
      <c r="L77" s="141">
        <f t="shared" si="30"/>
        <v>0</v>
      </c>
      <c r="M77" s="141">
        <f t="shared" si="30"/>
        <v>0</v>
      </c>
      <c r="N77" s="141">
        <f t="shared" si="30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>
        <v>6</v>
      </c>
      <c r="E78" s="3">
        <f>D83</f>
        <v>6</v>
      </c>
      <c r="F78" s="3">
        <f t="shared" ref="F78:N78" si="31">E83</f>
        <v>7</v>
      </c>
      <c r="G78" s="3"/>
      <c r="H78" s="3">
        <f t="shared" si="31"/>
        <v>0</v>
      </c>
      <c r="I78" s="3">
        <f t="shared" si="31"/>
        <v>0</v>
      </c>
      <c r="J78" s="3">
        <f t="shared" si="31"/>
        <v>0</v>
      </c>
      <c r="K78" s="3">
        <f t="shared" si="31"/>
        <v>0</v>
      </c>
      <c r="L78" s="3">
        <f t="shared" si="31"/>
        <v>0</v>
      </c>
      <c r="M78" s="3">
        <f t="shared" si="31"/>
        <v>0</v>
      </c>
      <c r="N78" s="3">
        <f t="shared" si="31"/>
        <v>0</v>
      </c>
      <c r="O78" s="3"/>
      <c r="P78" s="31">
        <f>D78</f>
        <v>6</v>
      </c>
    </row>
    <row r="79" spans="1:16" ht="15.6" customHeight="1" x14ac:dyDescent="0.25">
      <c r="A79" s="325"/>
      <c r="B79" s="4" t="s">
        <v>106</v>
      </c>
      <c r="C79" s="4" t="s">
        <v>3</v>
      </c>
      <c r="D79" s="3"/>
      <c r="E79" s="3">
        <v>1</v>
      </c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1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3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F82" si="32">E81+E80</f>
        <v>0</v>
      </c>
      <c r="F82" s="3">
        <f t="shared" si="32"/>
        <v>0</v>
      </c>
      <c r="G82" s="3"/>
      <c r="H82" s="3"/>
      <c r="I82" s="284">
        <f t="shared" ref="I82:K82" si="33">I80+I81</f>
        <v>0</v>
      </c>
      <c r="J82" s="284">
        <f t="shared" si="33"/>
        <v>0</v>
      </c>
      <c r="K82" s="284">
        <f t="shared" si="33"/>
        <v>0</v>
      </c>
      <c r="L82" s="284"/>
      <c r="M82" s="284">
        <f t="shared" ref="M82:P82" si="34">M81+M80</f>
        <v>0</v>
      </c>
      <c r="N82" s="284">
        <f t="shared" si="34"/>
        <v>0</v>
      </c>
      <c r="O82" s="284"/>
      <c r="P82" s="288">
        <f t="shared" si="34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6</v>
      </c>
      <c r="E83" s="22">
        <f t="shared" ref="E83:P83" si="35">E78+E79-E82</f>
        <v>7</v>
      </c>
      <c r="F83" s="22">
        <f t="shared" si="35"/>
        <v>7</v>
      </c>
      <c r="G83" s="22">
        <f t="shared" si="35"/>
        <v>0</v>
      </c>
      <c r="H83" s="22">
        <f t="shared" si="35"/>
        <v>0</v>
      </c>
      <c r="I83" s="286">
        <f t="shared" si="35"/>
        <v>0</v>
      </c>
      <c r="J83" s="286">
        <f t="shared" si="35"/>
        <v>0</v>
      </c>
      <c r="K83" s="286">
        <f t="shared" si="35"/>
        <v>0</v>
      </c>
      <c r="L83" s="286">
        <f t="shared" si="35"/>
        <v>0</v>
      </c>
      <c r="M83" s="286">
        <f t="shared" si="35"/>
        <v>0</v>
      </c>
      <c r="N83" s="286">
        <f t="shared" si="35"/>
        <v>0</v>
      </c>
      <c r="O83" s="286"/>
      <c r="P83" s="289">
        <f t="shared" si="35"/>
        <v>7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6">E89</f>
        <v>0</v>
      </c>
      <c r="G84" s="3">
        <f t="shared" si="36"/>
        <v>0</v>
      </c>
      <c r="H84" s="3">
        <f t="shared" si="36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customHeight="1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7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7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8">E86+E87</f>
        <v>0</v>
      </c>
      <c r="F88" s="3">
        <f t="shared" si="38"/>
        <v>0</v>
      </c>
      <c r="G88" s="3">
        <f t="shared" si="38"/>
        <v>0</v>
      </c>
      <c r="H88" s="3"/>
      <c r="I88" s="284">
        <f t="shared" si="38"/>
        <v>0</v>
      </c>
      <c r="J88" s="284">
        <f t="shared" si="38"/>
        <v>0</v>
      </c>
      <c r="K88" s="284">
        <f t="shared" si="38"/>
        <v>0</v>
      </c>
      <c r="L88" s="284">
        <f t="shared" si="38"/>
        <v>0</v>
      </c>
      <c r="M88" s="284">
        <f t="shared" si="38"/>
        <v>0</v>
      </c>
      <c r="N88" s="284">
        <f t="shared" si="38"/>
        <v>0</v>
      </c>
      <c r="O88" s="284"/>
      <c r="P88" s="31">
        <f t="shared" si="37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39">E84+E85-E88</f>
        <v>0</v>
      </c>
      <c r="F89" s="22">
        <f t="shared" si="39"/>
        <v>0</v>
      </c>
      <c r="G89" s="22">
        <f t="shared" si="39"/>
        <v>0</v>
      </c>
      <c r="H89" s="3">
        <f>H87+H88</f>
        <v>0</v>
      </c>
      <c r="I89" s="22">
        <f t="shared" si="39"/>
        <v>0</v>
      </c>
      <c r="J89" s="22">
        <f t="shared" si="39"/>
        <v>0</v>
      </c>
      <c r="K89" s="22">
        <f t="shared" si="39"/>
        <v>0</v>
      </c>
      <c r="L89" s="22">
        <f t="shared" si="39"/>
        <v>0</v>
      </c>
      <c r="M89" s="22">
        <f t="shared" si="39"/>
        <v>0</v>
      </c>
      <c r="N89" s="22">
        <f t="shared" si="39"/>
        <v>0</v>
      </c>
      <c r="O89" s="22"/>
      <c r="P89" s="289">
        <f t="shared" ref="P89" si="40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1">D66+D72+D78+D84</f>
        <v>58</v>
      </c>
      <c r="E90" s="122">
        <f t="shared" si="41"/>
        <v>56</v>
      </c>
      <c r="F90" s="122">
        <f t="shared" si="41"/>
        <v>65</v>
      </c>
      <c r="G90" s="122">
        <f t="shared" si="41"/>
        <v>65</v>
      </c>
      <c r="H90" s="122">
        <f t="shared" si="41"/>
        <v>65</v>
      </c>
      <c r="I90" s="122">
        <f t="shared" si="41"/>
        <v>65</v>
      </c>
      <c r="J90" s="122">
        <f t="shared" si="41"/>
        <v>65</v>
      </c>
      <c r="K90" s="122">
        <f t="shared" si="41"/>
        <v>65</v>
      </c>
      <c r="L90" s="122">
        <f t="shared" si="41"/>
        <v>65</v>
      </c>
      <c r="M90" s="122">
        <f t="shared" si="41"/>
        <v>65</v>
      </c>
      <c r="N90" s="122">
        <f t="shared" si="41"/>
        <v>65</v>
      </c>
      <c r="O90" s="122"/>
      <c r="P90" s="31">
        <f>D90</f>
        <v>58</v>
      </c>
    </row>
    <row r="91" spans="1:16" ht="15.6" customHeight="1" x14ac:dyDescent="0.25">
      <c r="A91" s="378"/>
      <c r="B91" s="4" t="s">
        <v>106</v>
      </c>
      <c r="C91" s="4" t="s">
        <v>3</v>
      </c>
      <c r="D91" s="122">
        <f t="shared" si="41"/>
        <v>2</v>
      </c>
      <c r="E91" s="122">
        <f t="shared" si="41"/>
        <v>13</v>
      </c>
      <c r="F91" s="122">
        <f t="shared" si="41"/>
        <v>16</v>
      </c>
      <c r="G91" s="122">
        <f t="shared" si="41"/>
        <v>0</v>
      </c>
      <c r="H91" s="122">
        <f t="shared" si="41"/>
        <v>0</v>
      </c>
      <c r="I91" s="122">
        <f t="shared" si="41"/>
        <v>0</v>
      </c>
      <c r="J91" s="122">
        <f t="shared" si="41"/>
        <v>0</v>
      </c>
      <c r="K91" s="122">
        <f t="shared" si="41"/>
        <v>0</v>
      </c>
      <c r="L91" s="122">
        <f t="shared" si="41"/>
        <v>0</v>
      </c>
      <c r="M91" s="122">
        <f t="shared" si="41"/>
        <v>0</v>
      </c>
      <c r="N91" s="122">
        <f t="shared" si="41"/>
        <v>0</v>
      </c>
      <c r="O91" s="122"/>
      <c r="P91" s="31">
        <f>SUM(D91:O91)</f>
        <v>31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1"/>
        <v>0</v>
      </c>
      <c r="E92" s="122">
        <f t="shared" si="41"/>
        <v>0</v>
      </c>
      <c r="F92" s="122">
        <f t="shared" si="41"/>
        <v>1</v>
      </c>
      <c r="G92" s="122">
        <f t="shared" si="41"/>
        <v>0</v>
      </c>
      <c r="H92" s="122">
        <f t="shared" si="41"/>
        <v>0</v>
      </c>
      <c r="I92" s="122">
        <f t="shared" si="41"/>
        <v>0</v>
      </c>
      <c r="J92" s="122">
        <f t="shared" si="41"/>
        <v>0</v>
      </c>
      <c r="K92" s="122">
        <f t="shared" si="41"/>
        <v>0</v>
      </c>
      <c r="L92" s="122">
        <f t="shared" si="41"/>
        <v>0</v>
      </c>
      <c r="M92" s="122">
        <f t="shared" si="41"/>
        <v>0</v>
      </c>
      <c r="N92" s="122">
        <f t="shared" si="41"/>
        <v>0</v>
      </c>
      <c r="O92" s="122"/>
      <c r="P92" s="31">
        <f>SUM(D92:O92)</f>
        <v>1</v>
      </c>
    </row>
    <row r="93" spans="1:16" ht="15.75" x14ac:dyDescent="0.25">
      <c r="A93" s="378"/>
      <c r="B93" s="4" t="s">
        <v>104</v>
      </c>
      <c r="C93" s="4"/>
      <c r="D93" s="122">
        <f t="shared" si="41"/>
        <v>4</v>
      </c>
      <c r="E93" s="122">
        <f t="shared" si="41"/>
        <v>4</v>
      </c>
      <c r="F93" s="122">
        <f t="shared" si="41"/>
        <v>8</v>
      </c>
      <c r="G93" s="122">
        <f t="shared" si="41"/>
        <v>0</v>
      </c>
      <c r="H93" s="122">
        <f t="shared" si="41"/>
        <v>0</v>
      </c>
      <c r="I93" s="122">
        <f t="shared" si="41"/>
        <v>0</v>
      </c>
      <c r="J93" s="122">
        <f t="shared" si="41"/>
        <v>0</v>
      </c>
      <c r="K93" s="122">
        <f t="shared" si="41"/>
        <v>0</v>
      </c>
      <c r="L93" s="122">
        <f t="shared" si="41"/>
        <v>0</v>
      </c>
      <c r="M93" s="122">
        <f t="shared" si="41"/>
        <v>0</v>
      </c>
      <c r="N93" s="122">
        <f t="shared" si="41"/>
        <v>0</v>
      </c>
      <c r="O93" s="122"/>
      <c r="P93" s="31">
        <f>SUM(D93:O93)</f>
        <v>16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4</v>
      </c>
      <c r="E94" s="123">
        <f t="shared" ref="E94:P94" si="42">E93+E92</f>
        <v>4</v>
      </c>
      <c r="F94" s="123">
        <f t="shared" si="42"/>
        <v>9</v>
      </c>
      <c r="G94" s="123">
        <f t="shared" si="42"/>
        <v>0</v>
      </c>
      <c r="H94" s="123">
        <f t="shared" si="42"/>
        <v>0</v>
      </c>
      <c r="I94" s="123">
        <f t="shared" si="42"/>
        <v>0</v>
      </c>
      <c r="J94" s="123">
        <f t="shared" si="42"/>
        <v>0</v>
      </c>
      <c r="K94" s="123">
        <f t="shared" si="42"/>
        <v>0</v>
      </c>
      <c r="L94" s="123">
        <f t="shared" si="42"/>
        <v>0</v>
      </c>
      <c r="M94" s="123">
        <f t="shared" si="42"/>
        <v>0</v>
      </c>
      <c r="N94" s="123">
        <f t="shared" si="42"/>
        <v>0</v>
      </c>
      <c r="O94" s="123"/>
      <c r="P94" s="130">
        <f t="shared" si="42"/>
        <v>17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56</v>
      </c>
      <c r="E95" s="124">
        <f t="shared" ref="E95:P95" si="43">E90+E91-E94</f>
        <v>65</v>
      </c>
      <c r="F95" s="124">
        <f t="shared" si="43"/>
        <v>72</v>
      </c>
      <c r="G95" s="124">
        <f t="shared" si="43"/>
        <v>65</v>
      </c>
      <c r="H95" s="124">
        <f t="shared" si="43"/>
        <v>65</v>
      </c>
      <c r="I95" s="124">
        <f t="shared" si="43"/>
        <v>65</v>
      </c>
      <c r="J95" s="124">
        <f t="shared" si="43"/>
        <v>65</v>
      </c>
      <c r="K95" s="124">
        <f t="shared" si="43"/>
        <v>65</v>
      </c>
      <c r="L95" s="124">
        <f t="shared" si="43"/>
        <v>65</v>
      </c>
      <c r="M95" s="124">
        <f t="shared" si="43"/>
        <v>65</v>
      </c>
      <c r="N95" s="124">
        <f t="shared" si="43"/>
        <v>65</v>
      </c>
      <c r="O95" s="124">
        <f t="shared" si="43"/>
        <v>0</v>
      </c>
      <c r="P95" s="131">
        <f t="shared" si="43"/>
        <v>72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4</v>
      </c>
      <c r="E98" s="395">
        <v>13</v>
      </c>
      <c r="F98" s="395">
        <v>19</v>
      </c>
      <c r="G98" s="395"/>
      <c r="H98" s="395"/>
      <c r="I98" s="395">
        <f t="shared" ref="I98" si="44">I93</f>
        <v>0</v>
      </c>
      <c r="J98" s="395"/>
      <c r="K98" s="395">
        <f t="shared" ref="K98" si="45">K93</f>
        <v>0</v>
      </c>
      <c r="L98" s="294"/>
      <c r="M98" s="294"/>
      <c r="N98" s="294"/>
      <c r="O98" s="294"/>
      <c r="P98" s="97"/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420</v>
      </c>
      <c r="E101" s="3">
        <v>420</v>
      </c>
      <c r="F101" s="3">
        <v>398</v>
      </c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6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18</v>
      </c>
      <c r="E102" s="3">
        <v>18</v>
      </c>
      <c r="F102" s="3">
        <v>6</v>
      </c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6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70</v>
      </c>
      <c r="E103" s="3">
        <v>70</v>
      </c>
      <c r="F103" s="3">
        <v>70</v>
      </c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6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>
        <v>0</v>
      </c>
      <c r="F104" s="3"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6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508</v>
      </c>
      <c r="E105" s="296">
        <f t="shared" ref="E105:O105" si="47">SUM(E101:E104)</f>
        <v>508</v>
      </c>
      <c r="F105" s="296">
        <f t="shared" si="47"/>
        <v>474</v>
      </c>
      <c r="G105" s="296">
        <f t="shared" si="47"/>
        <v>0</v>
      </c>
      <c r="H105" s="296">
        <f t="shared" si="47"/>
        <v>0</v>
      </c>
      <c r="I105" s="296">
        <f t="shared" si="47"/>
        <v>0</v>
      </c>
      <c r="J105" s="296">
        <f t="shared" si="47"/>
        <v>0</v>
      </c>
      <c r="K105" s="296">
        <f t="shared" si="47"/>
        <v>0</v>
      </c>
      <c r="L105" s="296">
        <f t="shared" si="47"/>
        <v>0</v>
      </c>
      <c r="M105" s="296">
        <f t="shared" si="47"/>
        <v>0</v>
      </c>
      <c r="N105" s="296">
        <f t="shared" si="47"/>
        <v>0</v>
      </c>
      <c r="O105" s="296">
        <f t="shared" si="47"/>
        <v>0</v>
      </c>
      <c r="P105" s="295">
        <f t="shared" si="46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419</v>
      </c>
      <c r="E107" s="3">
        <v>413</v>
      </c>
      <c r="F107" s="3">
        <v>410</v>
      </c>
      <c r="G107" s="3"/>
      <c r="H107" s="3"/>
      <c r="I107" s="3"/>
      <c r="J107" s="412"/>
      <c r="K107" s="3"/>
      <c r="L107" s="3"/>
      <c r="M107" s="3"/>
      <c r="N107" s="412"/>
      <c r="O107" s="412"/>
      <c r="P107" s="295">
        <f t="shared" si="46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412"/>
      <c r="K108" s="3"/>
      <c r="L108" s="3"/>
      <c r="M108" s="3"/>
      <c r="N108" s="412"/>
      <c r="O108" s="412"/>
      <c r="P108" s="295">
        <f t="shared" si="46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3</v>
      </c>
      <c r="E109" s="3">
        <v>2</v>
      </c>
      <c r="F109" s="3">
        <v>2</v>
      </c>
      <c r="G109" s="3"/>
      <c r="H109" s="3"/>
      <c r="I109" s="3"/>
      <c r="J109" s="412"/>
      <c r="K109" s="3"/>
      <c r="L109" s="3"/>
      <c r="M109" s="3"/>
      <c r="N109" s="412"/>
      <c r="O109" s="412"/>
      <c r="P109" s="295">
        <f t="shared" si="46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>
        <v>1</v>
      </c>
      <c r="E110" s="3">
        <v>1</v>
      </c>
      <c r="F110" s="3">
        <v>1</v>
      </c>
      <c r="G110" s="3"/>
      <c r="H110" s="3"/>
      <c r="I110" s="3"/>
      <c r="J110" s="412"/>
      <c r="K110" s="3"/>
      <c r="L110" s="3"/>
      <c r="M110" s="3"/>
      <c r="N110" s="412"/>
      <c r="O110" s="412"/>
      <c r="P110" s="295">
        <f t="shared" si="46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423</v>
      </c>
      <c r="E111" s="296">
        <f t="shared" ref="E111:O111" si="48">SUM(E107:E110)</f>
        <v>416</v>
      </c>
      <c r="F111" s="296">
        <f t="shared" si="48"/>
        <v>413</v>
      </c>
      <c r="G111" s="296">
        <f t="shared" si="48"/>
        <v>0</v>
      </c>
      <c r="H111" s="296">
        <f t="shared" si="48"/>
        <v>0</v>
      </c>
      <c r="I111" s="296">
        <f t="shared" si="48"/>
        <v>0</v>
      </c>
      <c r="J111" s="296">
        <f t="shared" si="48"/>
        <v>0</v>
      </c>
      <c r="K111" s="296">
        <f t="shared" si="48"/>
        <v>0</v>
      </c>
      <c r="L111" s="296">
        <f t="shared" si="48"/>
        <v>0</v>
      </c>
      <c r="M111" s="296">
        <f t="shared" si="48"/>
        <v>0</v>
      </c>
      <c r="N111" s="296">
        <f t="shared" si="48"/>
        <v>0</v>
      </c>
      <c r="O111" s="296">
        <f t="shared" si="48"/>
        <v>0</v>
      </c>
      <c r="P111" s="295">
        <f t="shared" si="46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412">
        <v>714</v>
      </c>
      <c r="E113" s="412">
        <v>719</v>
      </c>
      <c r="F113" s="412">
        <v>749</v>
      </c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6"/>
        <v>0</v>
      </c>
    </row>
    <row r="114" spans="1:18" ht="15.75" x14ac:dyDescent="0.25">
      <c r="A114" s="331" t="s">
        <v>200</v>
      </c>
      <c r="B114" s="332"/>
      <c r="C114" s="4" t="s">
        <v>3</v>
      </c>
      <c r="D114" s="412">
        <v>25</v>
      </c>
      <c r="E114" s="412">
        <v>25</v>
      </c>
      <c r="F114" s="412">
        <v>37</v>
      </c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6"/>
        <v>0</v>
      </c>
    </row>
    <row r="115" spans="1:18" ht="15.75" x14ac:dyDescent="0.25">
      <c r="A115" s="331" t="s">
        <v>201</v>
      </c>
      <c r="B115" s="332"/>
      <c r="C115" s="4" t="s">
        <v>3</v>
      </c>
      <c r="D115" s="412">
        <v>46</v>
      </c>
      <c r="E115" s="412">
        <v>53</v>
      </c>
      <c r="F115" s="412">
        <v>56</v>
      </c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6"/>
        <v>0</v>
      </c>
    </row>
    <row r="116" spans="1:18" ht="15.75" x14ac:dyDescent="0.25">
      <c r="A116" s="331" t="s">
        <v>202</v>
      </c>
      <c r="B116" s="332"/>
      <c r="C116" s="4" t="s">
        <v>3</v>
      </c>
      <c r="D116" s="412">
        <v>2</v>
      </c>
      <c r="E116" s="412">
        <v>2</v>
      </c>
      <c r="F116" s="412">
        <v>2</v>
      </c>
      <c r="G116" s="412"/>
      <c r="H116" s="412"/>
      <c r="I116" s="412"/>
      <c r="J116" s="412"/>
      <c r="K116" s="412"/>
      <c r="L116" s="412"/>
      <c r="M116" s="412"/>
      <c r="N116" s="412"/>
      <c r="O116" s="412"/>
      <c r="P116" s="295">
        <f t="shared" si="46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787</v>
      </c>
      <c r="E117" s="296">
        <f t="shared" ref="E117:P117" si="49">SUM(E113:E116)</f>
        <v>799</v>
      </c>
      <c r="F117" s="296">
        <f t="shared" si="49"/>
        <v>844</v>
      </c>
      <c r="G117" s="296">
        <f t="shared" si="49"/>
        <v>0</v>
      </c>
      <c r="H117" s="296">
        <f t="shared" si="49"/>
        <v>0</v>
      </c>
      <c r="I117" s="296">
        <f t="shared" si="49"/>
        <v>0</v>
      </c>
      <c r="J117" s="296">
        <f t="shared" si="49"/>
        <v>0</v>
      </c>
      <c r="K117" s="296">
        <f t="shared" si="49"/>
        <v>0</v>
      </c>
      <c r="L117" s="296">
        <f t="shared" si="49"/>
        <v>0</v>
      </c>
      <c r="M117" s="296">
        <f t="shared" si="49"/>
        <v>0</v>
      </c>
      <c r="N117" s="296">
        <f t="shared" si="49"/>
        <v>0</v>
      </c>
      <c r="O117" s="296">
        <f t="shared" si="49"/>
        <v>0</v>
      </c>
      <c r="P117" s="257">
        <f t="shared" si="49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50">D111+D117</f>
        <v>1210</v>
      </c>
      <c r="E118" s="296">
        <f t="shared" si="50"/>
        <v>1215</v>
      </c>
      <c r="F118" s="296">
        <f t="shared" si="50"/>
        <v>1257</v>
      </c>
      <c r="G118" s="296">
        <f t="shared" si="50"/>
        <v>0</v>
      </c>
      <c r="H118" s="296">
        <f t="shared" si="50"/>
        <v>0</v>
      </c>
      <c r="I118" s="296">
        <f t="shared" si="50"/>
        <v>0</v>
      </c>
      <c r="J118" s="296">
        <f t="shared" si="50"/>
        <v>0</v>
      </c>
      <c r="K118" s="296">
        <f t="shared" si="50"/>
        <v>0</v>
      </c>
      <c r="L118" s="296">
        <f t="shared" si="50"/>
        <v>0</v>
      </c>
      <c r="M118" s="296">
        <f t="shared" si="50"/>
        <v>0</v>
      </c>
      <c r="N118" s="296">
        <f t="shared" si="50"/>
        <v>0</v>
      </c>
      <c r="O118" s="296">
        <f t="shared" si="50"/>
        <v>0</v>
      </c>
      <c r="P118" s="296">
        <f t="shared" si="50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51">D105+D118</f>
        <v>1718</v>
      </c>
      <c r="E119" s="296">
        <f t="shared" si="51"/>
        <v>1723</v>
      </c>
      <c r="F119" s="296">
        <f t="shared" si="51"/>
        <v>1731</v>
      </c>
      <c r="G119" s="296">
        <f t="shared" si="51"/>
        <v>0</v>
      </c>
      <c r="H119" s="296">
        <f t="shared" si="51"/>
        <v>0</v>
      </c>
      <c r="I119" s="296">
        <f t="shared" si="51"/>
        <v>0</v>
      </c>
      <c r="J119" s="296">
        <f t="shared" si="51"/>
        <v>0</v>
      </c>
      <c r="K119" s="296">
        <f t="shared" si="51"/>
        <v>0</v>
      </c>
      <c r="L119" s="296">
        <f t="shared" si="51"/>
        <v>0</v>
      </c>
      <c r="M119" s="296">
        <f t="shared" si="51"/>
        <v>0</v>
      </c>
      <c r="N119" s="296">
        <f t="shared" si="51"/>
        <v>0</v>
      </c>
      <c r="O119" s="296">
        <f t="shared" si="51"/>
        <v>0</v>
      </c>
      <c r="P119" s="296">
        <f t="shared" si="51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3">
        <v>9810</v>
      </c>
      <c r="E121" s="417">
        <v>9810</v>
      </c>
      <c r="F121" s="417">
        <v>9810</v>
      </c>
      <c r="G121" s="3"/>
      <c r="H121" s="117"/>
      <c r="I121" s="117"/>
      <c r="J121" s="117"/>
      <c r="K121" s="3"/>
      <c r="L121" s="3"/>
      <c r="M121" s="3"/>
      <c r="N121" s="117"/>
      <c r="O121" s="117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3">
        <v>8985</v>
      </c>
      <c r="E122" s="417">
        <v>8990</v>
      </c>
      <c r="F122" s="417">
        <v>8990</v>
      </c>
      <c r="G122" s="3"/>
      <c r="H122" s="117"/>
      <c r="I122" s="117"/>
      <c r="J122" s="117"/>
      <c r="K122" s="3"/>
      <c r="L122" s="3"/>
      <c r="M122" s="3"/>
      <c r="N122" s="117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52">D122/D121</f>
        <v>0.91590214067278286</v>
      </c>
      <c r="E123" s="25">
        <f t="shared" si="52"/>
        <v>0.91641182466870541</v>
      </c>
      <c r="F123" s="25">
        <f t="shared" si="52"/>
        <v>0.91641182466870541</v>
      </c>
      <c r="G123" s="300" t="e">
        <f t="shared" si="52"/>
        <v>#DIV/0!</v>
      </c>
      <c r="H123" s="300" t="e">
        <f t="shared" si="52"/>
        <v>#DIV/0!</v>
      </c>
      <c r="I123" s="300" t="e">
        <f t="shared" si="52"/>
        <v>#DIV/0!</v>
      </c>
      <c r="J123" s="300" t="e">
        <f t="shared" si="52"/>
        <v>#DIV/0!</v>
      </c>
      <c r="K123" s="300" t="e">
        <f t="shared" si="52"/>
        <v>#DIV/0!</v>
      </c>
      <c r="L123" s="300" t="e">
        <f t="shared" si="52"/>
        <v>#DIV/0!</v>
      </c>
      <c r="M123" s="300" t="e">
        <f t="shared" si="52"/>
        <v>#DIV/0!</v>
      </c>
      <c r="N123" s="300" t="e">
        <f t="shared" si="52"/>
        <v>#DIV/0!</v>
      </c>
      <c r="O123" s="300" t="e">
        <f t="shared" si="52"/>
        <v>#DIV/0!</v>
      </c>
      <c r="P123" s="301" t="e">
        <f t="shared" si="52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>
        <v>16</v>
      </c>
      <c r="E125" s="399"/>
      <c r="F125" s="399"/>
      <c r="G125" s="399">
        <f t="shared" ref="G125:H125" si="53">F130</f>
        <v>0</v>
      </c>
      <c r="H125" s="399">
        <f t="shared" si="53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16</v>
      </c>
    </row>
    <row r="126" spans="1:18" ht="15.75" x14ac:dyDescent="0.25">
      <c r="A126" s="325"/>
      <c r="B126" s="4" t="s">
        <v>84</v>
      </c>
      <c r="C126" s="4" t="s">
        <v>3</v>
      </c>
      <c r="D126" s="120">
        <v>6</v>
      </c>
      <c r="E126" s="120">
        <v>9</v>
      </c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15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>
        <v>22</v>
      </c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22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54">D125+D126-D127-D128</f>
        <v>0</v>
      </c>
      <c r="E129" s="140">
        <f t="shared" si="54"/>
        <v>9</v>
      </c>
      <c r="F129" s="140">
        <f t="shared" si="54"/>
        <v>0</v>
      </c>
      <c r="G129" s="140">
        <f t="shared" si="54"/>
        <v>0</v>
      </c>
      <c r="H129" s="140">
        <f t="shared" si="54"/>
        <v>0</v>
      </c>
      <c r="I129" s="140">
        <f t="shared" si="54"/>
        <v>0</v>
      </c>
      <c r="J129" s="140">
        <f t="shared" si="54"/>
        <v>0</v>
      </c>
      <c r="K129" s="140">
        <f t="shared" si="54"/>
        <v>0</v>
      </c>
      <c r="L129" s="140">
        <f t="shared" si="54"/>
        <v>0</v>
      </c>
      <c r="M129" s="140">
        <f t="shared" si="54"/>
        <v>0</v>
      </c>
      <c r="N129" s="140">
        <f t="shared" si="54"/>
        <v>0</v>
      </c>
      <c r="O129" s="140"/>
      <c r="P129" s="16">
        <f>P125+P126-P127-P128</f>
        <v>9</v>
      </c>
    </row>
    <row r="130" spans="1:18" ht="15.6" customHeight="1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5">E134</f>
        <v>0</v>
      </c>
      <c r="G130" s="399">
        <f t="shared" si="55"/>
        <v>0</v>
      </c>
      <c r="H130" s="399">
        <f t="shared" si="55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56">D130+D131-D132-D133</f>
        <v>0</v>
      </c>
      <c r="E134" s="140">
        <f t="shared" si="56"/>
        <v>0</v>
      </c>
      <c r="F134" s="140">
        <f t="shared" si="56"/>
        <v>0</v>
      </c>
      <c r="G134" s="140">
        <f t="shared" si="56"/>
        <v>0</v>
      </c>
      <c r="H134" s="140">
        <f t="shared" si="56"/>
        <v>0</v>
      </c>
      <c r="I134" s="140">
        <f t="shared" si="56"/>
        <v>0</v>
      </c>
      <c r="J134" s="140">
        <f t="shared" si="56"/>
        <v>0</v>
      </c>
      <c r="K134" s="140">
        <f t="shared" si="56"/>
        <v>0</v>
      </c>
      <c r="L134" s="140">
        <f t="shared" si="56"/>
        <v>0</v>
      </c>
      <c r="M134" s="140">
        <f t="shared" si="56"/>
        <v>0</v>
      </c>
      <c r="N134" s="140">
        <f t="shared" si="56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7">F139</f>
        <v>0</v>
      </c>
      <c r="H135" s="399">
        <f t="shared" si="57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N139" si="58">D135+D136-D137-D138</f>
        <v>0</v>
      </c>
      <c r="E139" s="140">
        <f>D144</f>
        <v>0</v>
      </c>
      <c r="F139" s="140">
        <f t="shared" si="58"/>
        <v>0</v>
      </c>
      <c r="G139" s="140">
        <f t="shared" si="58"/>
        <v>0</v>
      </c>
      <c r="H139" s="140">
        <f t="shared" si="58"/>
        <v>0</v>
      </c>
      <c r="I139" s="140">
        <f t="shared" si="58"/>
        <v>0</v>
      </c>
      <c r="J139" s="140">
        <f t="shared" si="58"/>
        <v>0</v>
      </c>
      <c r="K139" s="140">
        <f t="shared" si="58"/>
        <v>0</v>
      </c>
      <c r="L139" s="140">
        <f t="shared" si="58"/>
        <v>0</v>
      </c>
      <c r="M139" s="140">
        <f t="shared" si="58"/>
        <v>0</v>
      </c>
      <c r="N139" s="140">
        <f t="shared" si="58"/>
        <v>0</v>
      </c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399">
        <v>16</v>
      </c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16</v>
      </c>
    </row>
    <row r="141" spans="1:18" ht="15.75" x14ac:dyDescent="0.25">
      <c r="A141" s="325"/>
      <c r="B141" s="4" t="s">
        <v>84</v>
      </c>
      <c r="C141" s="4" t="s">
        <v>3</v>
      </c>
      <c r="D141" s="120">
        <v>6</v>
      </c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6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>
        <v>22</v>
      </c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22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N144" si="59">D140+D141-D142-D143</f>
        <v>0</v>
      </c>
      <c r="E144" s="140">
        <f t="shared" si="59"/>
        <v>0</v>
      </c>
      <c r="F144" s="140">
        <f t="shared" si="59"/>
        <v>0</v>
      </c>
      <c r="G144" s="140">
        <f t="shared" si="59"/>
        <v>0</v>
      </c>
      <c r="H144" s="140">
        <f t="shared" si="59"/>
        <v>0</v>
      </c>
      <c r="I144" s="140">
        <f t="shared" si="59"/>
        <v>0</v>
      </c>
      <c r="J144" s="140">
        <f t="shared" si="59"/>
        <v>0</v>
      </c>
      <c r="K144" s="140">
        <f t="shared" si="59"/>
        <v>0</v>
      </c>
      <c r="L144" s="140">
        <f t="shared" si="59"/>
        <v>0</v>
      </c>
      <c r="M144" s="140">
        <f t="shared" si="59"/>
        <v>0</v>
      </c>
      <c r="N144" s="140">
        <f t="shared" si="59"/>
        <v>0</v>
      </c>
      <c r="O144" s="140"/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60">D125+D130+D135+D140</f>
        <v>32</v>
      </c>
      <c r="E145" s="141">
        <f t="shared" si="60"/>
        <v>0</v>
      </c>
      <c r="F145" s="141">
        <f t="shared" si="60"/>
        <v>0</v>
      </c>
      <c r="G145" s="141">
        <f t="shared" si="60"/>
        <v>0</v>
      </c>
      <c r="H145" s="141">
        <f t="shared" si="60"/>
        <v>0</v>
      </c>
      <c r="I145" s="141">
        <f t="shared" si="60"/>
        <v>0</v>
      </c>
      <c r="J145" s="141">
        <f t="shared" si="60"/>
        <v>0</v>
      </c>
      <c r="K145" s="141">
        <f t="shared" si="60"/>
        <v>0</v>
      </c>
      <c r="L145" s="141">
        <f t="shared" si="60"/>
        <v>0</v>
      </c>
      <c r="M145" s="141">
        <f t="shared" si="60"/>
        <v>0</v>
      </c>
      <c r="N145" s="141">
        <f t="shared" si="60"/>
        <v>0</v>
      </c>
      <c r="O145" s="141"/>
      <c r="P145" s="99">
        <f t="shared" si="60"/>
        <v>32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60"/>
        <v>12</v>
      </c>
      <c r="E146" s="141">
        <f t="shared" si="60"/>
        <v>9</v>
      </c>
      <c r="F146" s="141">
        <f t="shared" si="60"/>
        <v>0</v>
      </c>
      <c r="G146" s="141">
        <f t="shared" si="60"/>
        <v>0</v>
      </c>
      <c r="H146" s="141">
        <f t="shared" si="60"/>
        <v>0</v>
      </c>
      <c r="I146" s="141">
        <f t="shared" si="60"/>
        <v>0</v>
      </c>
      <c r="J146" s="141">
        <f t="shared" si="60"/>
        <v>0</v>
      </c>
      <c r="K146" s="141">
        <f t="shared" si="60"/>
        <v>0</v>
      </c>
      <c r="L146" s="141">
        <f t="shared" si="60"/>
        <v>0</v>
      </c>
      <c r="M146" s="141">
        <f t="shared" si="60"/>
        <v>0</v>
      </c>
      <c r="N146" s="141">
        <f t="shared" si="60"/>
        <v>0</v>
      </c>
      <c r="O146" s="141"/>
      <c r="P146" s="99">
        <f t="shared" si="60"/>
        <v>21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60"/>
        <v>0</v>
      </c>
      <c r="E147" s="141">
        <f t="shared" si="60"/>
        <v>0</v>
      </c>
      <c r="F147" s="141">
        <f t="shared" si="60"/>
        <v>0</v>
      </c>
      <c r="G147" s="141">
        <f t="shared" si="60"/>
        <v>0</v>
      </c>
      <c r="H147" s="141">
        <f t="shared" si="60"/>
        <v>0</v>
      </c>
      <c r="I147" s="141">
        <f t="shared" si="60"/>
        <v>0</v>
      </c>
      <c r="J147" s="141">
        <f t="shared" si="60"/>
        <v>0</v>
      </c>
      <c r="K147" s="141">
        <f t="shared" si="60"/>
        <v>0</v>
      </c>
      <c r="L147" s="141">
        <f t="shared" si="60"/>
        <v>0</v>
      </c>
      <c r="M147" s="141">
        <f t="shared" si="60"/>
        <v>0</v>
      </c>
      <c r="N147" s="141">
        <f t="shared" si="60"/>
        <v>0</v>
      </c>
      <c r="O147" s="141"/>
      <c r="P147" s="99">
        <f t="shared" si="60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60"/>
        <v>44</v>
      </c>
      <c r="E148" s="141">
        <f t="shared" si="60"/>
        <v>0</v>
      </c>
      <c r="F148" s="141">
        <f t="shared" si="60"/>
        <v>0</v>
      </c>
      <c r="G148" s="141">
        <f t="shared" si="60"/>
        <v>0</v>
      </c>
      <c r="H148" s="141">
        <f t="shared" si="60"/>
        <v>0</v>
      </c>
      <c r="I148" s="141">
        <f t="shared" si="60"/>
        <v>0</v>
      </c>
      <c r="J148" s="141">
        <f t="shared" si="60"/>
        <v>0</v>
      </c>
      <c r="K148" s="141">
        <f t="shared" si="60"/>
        <v>0</v>
      </c>
      <c r="L148" s="141">
        <f t="shared" si="60"/>
        <v>0</v>
      </c>
      <c r="M148" s="141">
        <f t="shared" si="60"/>
        <v>0</v>
      </c>
      <c r="N148" s="141">
        <f t="shared" si="60"/>
        <v>0</v>
      </c>
      <c r="O148" s="141"/>
      <c r="P148" s="99">
        <f t="shared" si="60"/>
        <v>44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N149" si="61">D145+D146-D147-D148</f>
        <v>0</v>
      </c>
      <c r="E149" s="140">
        <f t="shared" si="61"/>
        <v>9</v>
      </c>
      <c r="F149" s="140">
        <f t="shared" si="61"/>
        <v>0</v>
      </c>
      <c r="G149" s="140">
        <f t="shared" si="61"/>
        <v>0</v>
      </c>
      <c r="H149" s="140">
        <f t="shared" si="61"/>
        <v>0</v>
      </c>
      <c r="I149" s="140">
        <f t="shared" si="61"/>
        <v>0</v>
      </c>
      <c r="J149" s="140">
        <f t="shared" si="61"/>
        <v>0</v>
      </c>
      <c r="K149" s="140">
        <f t="shared" si="61"/>
        <v>0</v>
      </c>
      <c r="L149" s="140">
        <f t="shared" si="61"/>
        <v>0</v>
      </c>
      <c r="M149" s="140">
        <f t="shared" si="61"/>
        <v>0</v>
      </c>
      <c r="N149" s="140">
        <f t="shared" si="61"/>
        <v>0</v>
      </c>
      <c r="O149" s="140"/>
      <c r="P149" s="99">
        <f t="shared" si="60"/>
        <v>9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>
        <v>10</v>
      </c>
      <c r="E153" s="120">
        <v>10</v>
      </c>
      <c r="F153" s="120">
        <v>9</v>
      </c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62">SUM(D153:O153)</f>
        <v>29</v>
      </c>
    </row>
    <row r="154" spans="1:16" ht="15.75" x14ac:dyDescent="0.25">
      <c r="A154" s="357"/>
      <c r="B154" s="18" t="s">
        <v>72</v>
      </c>
      <c r="C154" s="4" t="s">
        <v>57</v>
      </c>
      <c r="D154" s="120">
        <v>7</v>
      </c>
      <c r="E154" s="120">
        <v>1</v>
      </c>
      <c r="F154" s="120">
        <v>10</v>
      </c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62"/>
        <v>18</v>
      </c>
    </row>
    <row r="155" spans="1:16" ht="15.75" x14ac:dyDescent="0.25">
      <c r="A155" s="357"/>
      <c r="B155" s="18" t="s">
        <v>53</v>
      </c>
      <c r="C155" s="4" t="s">
        <v>57</v>
      </c>
      <c r="D155" s="120"/>
      <c r="E155" s="120">
        <v>1</v>
      </c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62"/>
        <v>1</v>
      </c>
    </row>
    <row r="156" spans="1:16" ht="15.75" x14ac:dyDescent="0.25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62"/>
        <v>0</v>
      </c>
    </row>
    <row r="157" spans="1:16" ht="15.75" x14ac:dyDescent="0.25">
      <c r="A157" s="357"/>
      <c r="B157" s="18" t="s">
        <v>52</v>
      </c>
      <c r="C157" s="4" t="s">
        <v>57</v>
      </c>
      <c r="D157" s="120"/>
      <c r="E157" s="120"/>
      <c r="F157" s="120">
        <v>1</v>
      </c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62"/>
        <v>1</v>
      </c>
    </row>
    <row r="158" spans="1:16" ht="15.75" x14ac:dyDescent="0.25">
      <c r="A158" s="357"/>
      <c r="B158" s="18" t="s">
        <v>51</v>
      </c>
      <c r="C158" s="4" t="s">
        <v>57</v>
      </c>
      <c r="D158" s="120">
        <v>1</v>
      </c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62"/>
        <v>1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/>
      <c r="F159" s="120">
        <v>1</v>
      </c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62"/>
        <v>1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62"/>
        <v>0</v>
      </c>
    </row>
    <row r="161" spans="1:16" ht="15.75" x14ac:dyDescent="0.25">
      <c r="A161" s="357"/>
      <c r="B161" s="18" t="s">
        <v>49</v>
      </c>
      <c r="C161" s="4" t="s">
        <v>57</v>
      </c>
      <c r="D161" s="120"/>
      <c r="E161" s="120"/>
      <c r="F161" s="120">
        <v>2</v>
      </c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62"/>
        <v>2</v>
      </c>
    </row>
    <row r="162" spans="1:16" ht="15.75" x14ac:dyDescent="0.25">
      <c r="A162" s="357"/>
      <c r="B162" s="18" t="s">
        <v>77</v>
      </c>
      <c r="C162" s="4" t="s">
        <v>57</v>
      </c>
      <c r="D162" s="120"/>
      <c r="E162" s="120">
        <v>1</v>
      </c>
      <c r="F162" s="120">
        <v>1</v>
      </c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2"/>
        <v>2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2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2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2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3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3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3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3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3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3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3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3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3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4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4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4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4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4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4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18</v>
      </c>
      <c r="E193" s="141">
        <f t="shared" ref="E193:P193" si="65">SUM(E153:E192)</f>
        <v>13</v>
      </c>
      <c r="F193" s="141">
        <f t="shared" si="65"/>
        <v>24</v>
      </c>
      <c r="G193" s="141">
        <f t="shared" si="65"/>
        <v>0</v>
      </c>
      <c r="H193" s="141">
        <f t="shared" si="65"/>
        <v>0</v>
      </c>
      <c r="I193" s="141">
        <f t="shared" si="65"/>
        <v>0</v>
      </c>
      <c r="J193" s="141">
        <f t="shared" si="65"/>
        <v>0</v>
      </c>
      <c r="K193" s="141">
        <f t="shared" si="65"/>
        <v>0</v>
      </c>
      <c r="L193" s="141">
        <f t="shared" si="65"/>
        <v>0</v>
      </c>
      <c r="M193" s="141">
        <f t="shared" si="65"/>
        <v>0</v>
      </c>
      <c r="N193" s="141">
        <f t="shared" si="65"/>
        <v>0</v>
      </c>
      <c r="O193" s="141">
        <f t="shared" si="65"/>
        <v>0</v>
      </c>
      <c r="P193" s="92">
        <f t="shared" si="65"/>
        <v>55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16</v>
      </c>
      <c r="E196" s="3">
        <v>16</v>
      </c>
      <c r="F196" s="3">
        <v>16</v>
      </c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4</v>
      </c>
    </row>
    <row r="197" spans="1:16" ht="15.75" x14ac:dyDescent="0.25">
      <c r="A197" s="331" t="s">
        <v>56</v>
      </c>
      <c r="B197" s="332"/>
      <c r="C197" s="14" t="s">
        <v>55</v>
      </c>
      <c r="D197" s="279">
        <v>45</v>
      </c>
      <c r="E197" s="279">
        <v>39</v>
      </c>
      <c r="F197" s="279">
        <v>35</v>
      </c>
      <c r="G197" s="279"/>
      <c r="H197" s="279"/>
      <c r="I197" s="279"/>
      <c r="J197" s="279"/>
      <c r="K197" s="3"/>
      <c r="L197" s="279"/>
      <c r="M197" s="279"/>
      <c r="N197" s="3"/>
      <c r="O197" s="279"/>
      <c r="P197" s="8">
        <f>SUM(D197:O197)</f>
        <v>119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6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6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6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6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6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7">SUM(D199:D203)</f>
        <v>0</v>
      </c>
      <c r="E204" s="13">
        <f t="shared" si="67"/>
        <v>0</v>
      </c>
      <c r="F204" s="13">
        <f t="shared" si="67"/>
        <v>0</v>
      </c>
      <c r="G204" s="13">
        <f t="shared" ref="G204:O204" si="68">SUM(G199:G203)</f>
        <v>0</v>
      </c>
      <c r="H204" s="13">
        <f t="shared" si="68"/>
        <v>0</v>
      </c>
      <c r="I204" s="275">
        <f t="shared" si="68"/>
        <v>0</v>
      </c>
      <c r="J204" s="275">
        <f t="shared" si="68"/>
        <v>0</v>
      </c>
      <c r="K204" s="275">
        <f t="shared" si="68"/>
        <v>0</v>
      </c>
      <c r="L204" s="275">
        <f t="shared" si="68"/>
        <v>0</v>
      </c>
      <c r="M204" s="275">
        <f t="shared" si="68"/>
        <v>0</v>
      </c>
      <c r="N204" s="275">
        <f t="shared" si="68"/>
        <v>0</v>
      </c>
      <c r="O204" s="275">
        <f t="shared" si="68"/>
        <v>0</v>
      </c>
      <c r="P204" s="100">
        <f t="shared" si="66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2530397</v>
      </c>
      <c r="E206" s="11">
        <v>3594704.44</v>
      </c>
      <c r="F206" s="11">
        <v>2012842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8137943.4399999995</v>
      </c>
    </row>
    <row r="207" spans="1:16" ht="15.75" x14ac:dyDescent="0.25">
      <c r="A207" s="331" t="s">
        <v>42</v>
      </c>
      <c r="B207" s="332"/>
      <c r="C207" s="4" t="s">
        <v>31</v>
      </c>
      <c r="D207" s="11">
        <v>3000</v>
      </c>
      <c r="E207" s="11">
        <v>6000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9000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9">SUM(D206:D209)</f>
        <v>2533397</v>
      </c>
      <c r="E210" s="309">
        <f t="shared" si="69"/>
        <v>3600704.44</v>
      </c>
      <c r="F210" s="309">
        <f t="shared" si="69"/>
        <v>2012842</v>
      </c>
      <c r="G210" s="309">
        <f t="shared" si="69"/>
        <v>0</v>
      </c>
      <c r="H210" s="309">
        <f t="shared" si="69"/>
        <v>0</v>
      </c>
      <c r="I210" s="309">
        <f t="shared" si="69"/>
        <v>0</v>
      </c>
      <c r="J210" s="309">
        <f t="shared" si="69"/>
        <v>0</v>
      </c>
      <c r="K210" s="309">
        <f t="shared" si="69"/>
        <v>0</v>
      </c>
      <c r="L210" s="309">
        <f t="shared" si="69"/>
        <v>0</v>
      </c>
      <c r="M210" s="309">
        <f t="shared" si="69"/>
        <v>0</v>
      </c>
      <c r="N210" s="309">
        <f t="shared" si="69"/>
        <v>0</v>
      </c>
      <c r="O210" s="309">
        <f t="shared" si="69"/>
        <v>0</v>
      </c>
      <c r="P210" s="8">
        <f>SUM(D210:O210)</f>
        <v>8146943.4399999995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3932571</v>
      </c>
      <c r="E212" s="11">
        <v>4342870</v>
      </c>
      <c r="F212" s="11">
        <v>4057952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12333393</v>
      </c>
    </row>
    <row r="213" spans="1:16" ht="15.75" x14ac:dyDescent="0.25">
      <c r="A213" s="331" t="s">
        <v>42</v>
      </c>
      <c r="B213" s="332"/>
      <c r="C213" s="4" t="s">
        <v>31</v>
      </c>
      <c r="D213" s="11">
        <v>5400</v>
      </c>
      <c r="E213" s="11">
        <v>5200</v>
      </c>
      <c r="F213" s="11">
        <v>2000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12600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841300</v>
      </c>
      <c r="E214" s="11">
        <v>351500</v>
      </c>
      <c r="F214" s="11">
        <v>322450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1515250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3405700</v>
      </c>
      <c r="E215" s="11">
        <v>1397000</v>
      </c>
      <c r="F215" s="11">
        <v>253700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5056400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70">SUM(D212:D215)</f>
        <v>8184971</v>
      </c>
      <c r="E216" s="309">
        <f t="shared" si="70"/>
        <v>6096570</v>
      </c>
      <c r="F216" s="309">
        <f t="shared" si="70"/>
        <v>4636102</v>
      </c>
      <c r="G216" s="309">
        <f t="shared" si="70"/>
        <v>0</v>
      </c>
      <c r="H216" s="309">
        <f t="shared" si="70"/>
        <v>0</v>
      </c>
      <c r="I216" s="309">
        <f t="shared" si="70"/>
        <v>0</v>
      </c>
      <c r="J216" s="309">
        <f t="shared" si="70"/>
        <v>0</v>
      </c>
      <c r="K216" s="309">
        <f t="shared" si="70"/>
        <v>0</v>
      </c>
      <c r="L216" s="309">
        <f t="shared" si="70"/>
        <v>0</v>
      </c>
      <c r="M216" s="309">
        <f t="shared" si="70"/>
        <v>0</v>
      </c>
      <c r="N216" s="309">
        <f t="shared" si="70"/>
        <v>0</v>
      </c>
      <c r="O216" s="309">
        <f t="shared" si="70"/>
        <v>0</v>
      </c>
      <c r="P216" s="8">
        <f>SUM(D216:O216)</f>
        <v>18917643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10718368</v>
      </c>
      <c r="E217" s="309">
        <f t="shared" ref="E217:P217" si="71">E210+E216</f>
        <v>9697274.4399999995</v>
      </c>
      <c r="F217" s="309">
        <f t="shared" si="71"/>
        <v>6648944</v>
      </c>
      <c r="G217" s="309">
        <f t="shared" si="71"/>
        <v>0</v>
      </c>
      <c r="H217" s="309">
        <f t="shared" si="71"/>
        <v>0</v>
      </c>
      <c r="I217" s="309">
        <f t="shared" si="71"/>
        <v>0</v>
      </c>
      <c r="J217" s="309">
        <f t="shared" si="71"/>
        <v>0</v>
      </c>
      <c r="K217" s="309">
        <f t="shared" si="71"/>
        <v>0</v>
      </c>
      <c r="L217" s="309">
        <f t="shared" si="71"/>
        <v>0</v>
      </c>
      <c r="M217" s="309">
        <f t="shared" si="71"/>
        <v>0</v>
      </c>
      <c r="N217" s="309">
        <f t="shared" si="71"/>
        <v>0</v>
      </c>
      <c r="O217" s="309">
        <f t="shared" si="71"/>
        <v>0</v>
      </c>
      <c r="P217" s="280">
        <f t="shared" si="71"/>
        <v>27064586.439999998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2452424.12</v>
      </c>
      <c r="E219" s="11">
        <v>2356785.56</v>
      </c>
      <c r="F219" s="11">
        <v>3772473.18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8581682.8599999994</v>
      </c>
    </row>
    <row r="220" spans="1:16" ht="15.75" x14ac:dyDescent="0.25">
      <c r="A220" s="331" t="s">
        <v>34</v>
      </c>
      <c r="B220" s="332"/>
      <c r="C220" s="4" t="s">
        <v>31</v>
      </c>
      <c r="D220" s="11">
        <v>3251.76</v>
      </c>
      <c r="E220" s="11">
        <v>2677.92</v>
      </c>
      <c r="F220" s="11">
        <v>2000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7929.68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>
        <v>237980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237980</v>
      </c>
    </row>
    <row r="222" spans="1:16" ht="15.75" x14ac:dyDescent="0.25">
      <c r="A222" s="331" t="s">
        <v>32</v>
      </c>
      <c r="B222" s="332"/>
      <c r="C222" s="4" t="s">
        <v>31</v>
      </c>
      <c r="D222" s="11">
        <v>45546.81</v>
      </c>
      <c r="E222" s="11">
        <v>16821.98</v>
      </c>
      <c r="F222" s="11">
        <v>299810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362178.79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2501222.69</v>
      </c>
      <c r="E223" s="396">
        <f t="shared" ref="E223" si="72">SUM(E219:E222)</f>
        <v>2376285.46</v>
      </c>
      <c r="F223" s="396">
        <f>SUM(F219:F222)</f>
        <v>4312263.18</v>
      </c>
      <c r="G223" s="309">
        <f>SUM(G219:G222)</f>
        <v>0</v>
      </c>
      <c r="H223" s="309">
        <f t="shared" ref="H223:O223" si="73">SUM(H219:H222)</f>
        <v>0</v>
      </c>
      <c r="I223" s="309">
        <f t="shared" si="73"/>
        <v>0</v>
      </c>
      <c r="J223" s="315">
        <f t="shared" si="73"/>
        <v>0</v>
      </c>
      <c r="K223" s="315">
        <f t="shared" si="73"/>
        <v>0</v>
      </c>
      <c r="L223" s="315">
        <f t="shared" si="73"/>
        <v>0</v>
      </c>
      <c r="M223" s="315">
        <f t="shared" si="73"/>
        <v>0</v>
      </c>
      <c r="N223" s="315">
        <f t="shared" si="73"/>
        <v>0</v>
      </c>
      <c r="O223" s="315">
        <f t="shared" si="73"/>
        <v>0</v>
      </c>
      <c r="P223" s="8">
        <f>SUM(D223:O223)</f>
        <v>9189771.3300000001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4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4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4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4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7796932.7400000002</v>
      </c>
      <c r="E229" s="440">
        <v>5835479.1799999997</v>
      </c>
      <c r="F229" s="396">
        <v>4312263.18</v>
      </c>
      <c r="G229" s="396"/>
      <c r="H229" s="396"/>
      <c r="I229" s="396"/>
      <c r="J229" s="396"/>
      <c r="K229" s="427"/>
      <c r="L229" s="427"/>
      <c r="M229" s="427"/>
      <c r="N229" s="427"/>
      <c r="O229" s="396"/>
      <c r="P229" s="8">
        <f t="shared" si="74"/>
        <v>17944675.100000001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10298155.43</v>
      </c>
      <c r="E230" s="314">
        <f t="shared" ref="E230:O230" si="75">E223+E229</f>
        <v>8211764.6399999997</v>
      </c>
      <c r="F230" s="314">
        <f t="shared" si="75"/>
        <v>8624526.3599999994</v>
      </c>
      <c r="G230" s="314">
        <f t="shared" si="75"/>
        <v>0</v>
      </c>
      <c r="H230" s="314">
        <f t="shared" si="75"/>
        <v>0</v>
      </c>
      <c r="I230" s="314">
        <f t="shared" si="75"/>
        <v>0</v>
      </c>
      <c r="J230" s="314">
        <f t="shared" si="75"/>
        <v>0</v>
      </c>
      <c r="K230" s="314">
        <f t="shared" si="75"/>
        <v>0</v>
      </c>
      <c r="L230" s="314">
        <f t="shared" si="75"/>
        <v>0</v>
      </c>
      <c r="M230" s="314">
        <f t="shared" si="75"/>
        <v>0</v>
      </c>
      <c r="N230" s="314">
        <f t="shared" si="75"/>
        <v>0</v>
      </c>
      <c r="O230" s="314">
        <f t="shared" si="75"/>
        <v>0</v>
      </c>
      <c r="P230" s="8">
        <f t="shared" si="74"/>
        <v>27134446.43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219866.48</v>
      </c>
      <c r="E232" s="11">
        <v>216923.87</v>
      </c>
      <c r="F232" s="11">
        <v>215453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652243.35</v>
      </c>
    </row>
    <row r="233" spans="1:16" ht="15.75" x14ac:dyDescent="0.25">
      <c r="A233" s="331" t="s">
        <v>28</v>
      </c>
      <c r="B233" s="332"/>
      <c r="C233" s="4" t="s">
        <v>18</v>
      </c>
      <c r="D233" s="11">
        <v>191.28</v>
      </c>
      <c r="E233" s="11">
        <v>191.28</v>
      </c>
      <c r="F233" s="11">
        <v>191.28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573.84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>
        <v>13912.02</v>
      </c>
      <c r="E235" s="11">
        <v>9274.68</v>
      </c>
      <c r="F235" s="11">
        <v>9274.68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32461.38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6">SUM(D232:D235)</f>
        <v>233969.78</v>
      </c>
      <c r="E236" s="314">
        <f t="shared" si="76"/>
        <v>226389.83</v>
      </c>
      <c r="F236" s="314">
        <f t="shared" si="76"/>
        <v>224918.96</v>
      </c>
      <c r="G236" s="314">
        <f t="shared" si="76"/>
        <v>0</v>
      </c>
      <c r="H236" s="314">
        <f t="shared" si="76"/>
        <v>0</v>
      </c>
      <c r="I236" s="314">
        <f t="shared" si="76"/>
        <v>0</v>
      </c>
      <c r="J236" s="314">
        <f>SUM(J232:J235)</f>
        <v>0</v>
      </c>
      <c r="K236" s="314">
        <f t="shared" si="76"/>
        <v>0</v>
      </c>
      <c r="L236" s="314">
        <f t="shared" si="76"/>
        <v>0</v>
      </c>
      <c r="M236" s="314">
        <f t="shared" si="76"/>
        <v>0</v>
      </c>
      <c r="N236" s="314">
        <f t="shared" si="76"/>
        <v>0</v>
      </c>
      <c r="O236" s="314">
        <f t="shared" si="76"/>
        <v>0</v>
      </c>
      <c r="P236" s="280">
        <f t="shared" si="76"/>
        <v>685278.57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374167</v>
      </c>
      <c r="E238" s="11">
        <v>368809</v>
      </c>
      <c r="F238" s="11">
        <v>366130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1109106</v>
      </c>
    </row>
    <row r="239" spans="1:16" ht="15.75" x14ac:dyDescent="0.25">
      <c r="A239" s="331" t="s">
        <v>22</v>
      </c>
      <c r="B239" s="332"/>
      <c r="C239" s="4" t="s">
        <v>18</v>
      </c>
      <c r="D239" s="11">
        <v>893</v>
      </c>
      <c r="E239" s="11">
        <v>893</v>
      </c>
      <c r="F239" s="11">
        <v>893</v>
      </c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2679</v>
      </c>
    </row>
    <row r="240" spans="1:16" ht="15.75" x14ac:dyDescent="0.25">
      <c r="A240" s="331" t="s">
        <v>21</v>
      </c>
      <c r="B240" s="332"/>
      <c r="C240" s="4" t="s">
        <v>18</v>
      </c>
      <c r="D240" s="11"/>
      <c r="E240" s="11"/>
      <c r="F240" s="11"/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1">
        <v>2679</v>
      </c>
      <c r="E241" s="11">
        <v>1786</v>
      </c>
      <c r="F241" s="11">
        <v>1786</v>
      </c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6251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7">SUM(D238:D241)</f>
        <v>377739</v>
      </c>
      <c r="E242" s="314">
        <f t="shared" ref="E242:P242" si="78">SUM(E238:E241)</f>
        <v>371488</v>
      </c>
      <c r="F242" s="314">
        <f t="shared" si="78"/>
        <v>368809</v>
      </c>
      <c r="G242" s="314">
        <f t="shared" si="78"/>
        <v>0</v>
      </c>
      <c r="H242" s="314">
        <f t="shared" si="78"/>
        <v>0</v>
      </c>
      <c r="I242" s="309">
        <f t="shared" si="78"/>
        <v>0</v>
      </c>
      <c r="J242" s="314">
        <f t="shared" si="78"/>
        <v>0</v>
      </c>
      <c r="K242" s="314">
        <f t="shared" si="78"/>
        <v>0</v>
      </c>
      <c r="L242" s="314">
        <f t="shared" si="78"/>
        <v>0</v>
      </c>
      <c r="M242" s="314">
        <f t="shared" si="78"/>
        <v>0</v>
      </c>
      <c r="N242" s="314">
        <f t="shared" si="78"/>
        <v>0</v>
      </c>
      <c r="O242" s="314">
        <f t="shared" si="78"/>
        <v>0</v>
      </c>
      <c r="P242" s="280">
        <f t="shared" si="78"/>
        <v>1118036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10909864.209999999</v>
      </c>
      <c r="E243" s="309">
        <f t="shared" ref="E243:O243" si="79">E230+E236+E242</f>
        <v>8809642.4699999988</v>
      </c>
      <c r="F243" s="309">
        <f t="shared" si="79"/>
        <v>9218254.3200000003</v>
      </c>
      <c r="G243" s="309">
        <f t="shared" si="79"/>
        <v>0</v>
      </c>
      <c r="H243" s="309">
        <f t="shared" si="79"/>
        <v>0</v>
      </c>
      <c r="I243" s="309">
        <f t="shared" si="79"/>
        <v>0</v>
      </c>
      <c r="J243" s="309">
        <f t="shared" si="79"/>
        <v>0</v>
      </c>
      <c r="K243" s="309">
        <f t="shared" si="79"/>
        <v>0</v>
      </c>
      <c r="L243" s="309">
        <f t="shared" si="79"/>
        <v>0</v>
      </c>
      <c r="M243" s="309">
        <f t="shared" si="79"/>
        <v>0</v>
      </c>
      <c r="N243" s="309">
        <f t="shared" si="79"/>
        <v>0</v>
      </c>
      <c r="O243" s="309">
        <f t="shared" si="79"/>
        <v>0</v>
      </c>
      <c r="P243" s="280">
        <f>P216+P223+P236+P242</f>
        <v>29910728.899999999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28685558.109999999</v>
      </c>
      <c r="E245" s="139">
        <v>28638551.940000001</v>
      </c>
      <c r="F245" s="397">
        <v>43265257.140000001</v>
      </c>
      <c r="G245" s="139"/>
      <c r="H245" s="397"/>
      <c r="I245" s="139"/>
      <c r="J245" s="397"/>
      <c r="K245" s="139"/>
      <c r="L245" s="139"/>
      <c r="M245" s="139"/>
      <c r="N245" s="139"/>
      <c r="O245" s="139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/>
      <c r="E246" s="139"/>
      <c r="F246" s="397"/>
      <c r="G246" s="139"/>
      <c r="H246" s="397"/>
      <c r="I246" s="139"/>
      <c r="J246" s="397"/>
      <c r="K246" s="139"/>
      <c r="L246" s="397"/>
      <c r="M246" s="139"/>
      <c r="N246" s="397"/>
      <c r="O246" s="139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28685558.109999999</v>
      </c>
      <c r="E247" s="129">
        <f t="shared" ref="E247:P247" si="80">E245+E246</f>
        <v>28638551.940000001</v>
      </c>
      <c r="F247" s="129">
        <f t="shared" si="80"/>
        <v>43265257.140000001</v>
      </c>
      <c r="G247" s="129">
        <f t="shared" si="80"/>
        <v>0</v>
      </c>
      <c r="H247" s="129">
        <f t="shared" si="80"/>
        <v>0</v>
      </c>
      <c r="I247" s="129">
        <f t="shared" si="80"/>
        <v>0</v>
      </c>
      <c r="J247" s="129">
        <f t="shared" si="80"/>
        <v>0</v>
      </c>
      <c r="K247" s="129">
        <f t="shared" si="80"/>
        <v>0</v>
      </c>
      <c r="L247" s="129">
        <f t="shared" si="80"/>
        <v>0</v>
      </c>
      <c r="M247" s="129">
        <f t="shared" si="80"/>
        <v>0</v>
      </c>
      <c r="N247" s="129">
        <f t="shared" si="80"/>
        <v>0</v>
      </c>
      <c r="O247" s="129">
        <f t="shared" si="80"/>
        <v>0</v>
      </c>
      <c r="P247" s="317">
        <f t="shared" si="80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121.3940870855257</v>
      </c>
      <c r="E249" s="7">
        <f t="shared" ref="E249:P249" si="81">E58/E243%</f>
        <v>165.76578484574983</v>
      </c>
      <c r="F249" s="7">
        <f t="shared" si="81"/>
        <v>125.71916349558903</v>
      </c>
      <c r="G249" s="7" t="e">
        <f t="shared" si="81"/>
        <v>#DIV/0!</v>
      </c>
      <c r="H249" s="7" t="e">
        <f t="shared" si="81"/>
        <v>#DIV/0!</v>
      </c>
      <c r="I249" s="7" t="e">
        <f t="shared" si="81"/>
        <v>#DIV/0!</v>
      </c>
      <c r="J249" s="7" t="e">
        <f t="shared" si="81"/>
        <v>#DIV/0!</v>
      </c>
      <c r="K249" s="7" t="e">
        <f t="shared" si="81"/>
        <v>#DIV/0!</v>
      </c>
      <c r="L249" s="7" t="e">
        <f t="shared" si="81"/>
        <v>#DIV/0!</v>
      </c>
      <c r="M249" s="7" t="e">
        <f t="shared" si="81"/>
        <v>#DIV/0!</v>
      </c>
      <c r="N249" s="7" t="e">
        <f t="shared" si="81"/>
        <v>#DIV/0!</v>
      </c>
      <c r="O249" s="7" t="e">
        <f t="shared" si="81"/>
        <v>#DIV/0!</v>
      </c>
      <c r="P249" s="318">
        <f t="shared" si="81"/>
        <v>131.84705526350447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8.1233039608884532</v>
      </c>
      <c r="E250" s="25">
        <f t="shared" ref="E250:P250" si="82">E210/(E223+E245)%</f>
        <v>11.609618949670843</v>
      </c>
      <c r="F250" s="25">
        <f t="shared" si="82"/>
        <v>4.2306576434877137</v>
      </c>
      <c r="G250" s="25" t="e">
        <f t="shared" si="82"/>
        <v>#DIV/0!</v>
      </c>
      <c r="H250" s="25" t="e">
        <f t="shared" si="82"/>
        <v>#DIV/0!</v>
      </c>
      <c r="I250" s="25" t="e">
        <f t="shared" si="82"/>
        <v>#DIV/0!</v>
      </c>
      <c r="J250" s="25" t="e">
        <f t="shared" si="82"/>
        <v>#DIV/0!</v>
      </c>
      <c r="K250" s="25" t="e">
        <f t="shared" si="82"/>
        <v>#DIV/0!</v>
      </c>
      <c r="L250" s="25" t="e">
        <f t="shared" si="82"/>
        <v>#DIV/0!</v>
      </c>
      <c r="M250" s="25" t="e">
        <f t="shared" si="82"/>
        <v>#DIV/0!</v>
      </c>
      <c r="N250" s="25" t="e">
        <f t="shared" si="82"/>
        <v>#DIV/0!</v>
      </c>
      <c r="O250" s="25" t="e">
        <f t="shared" si="82"/>
        <v>#DIV/0!</v>
      </c>
      <c r="P250" s="301">
        <f t="shared" si="82"/>
        <v>88.652297728065435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101.28634328037381</v>
      </c>
      <c r="E251" s="6">
        <f t="shared" ref="E251:P251" si="83">E210/E223%</f>
        <v>151.52659478882643</v>
      </c>
      <c r="F251" s="6">
        <f t="shared" si="83"/>
        <v>46.677160367563658</v>
      </c>
      <c r="G251" s="6" t="e">
        <f t="shared" si="83"/>
        <v>#DIV/0!</v>
      </c>
      <c r="H251" s="6" t="e">
        <f t="shared" si="83"/>
        <v>#DIV/0!</v>
      </c>
      <c r="I251" s="6" t="e">
        <f t="shared" si="83"/>
        <v>#DIV/0!</v>
      </c>
      <c r="J251" s="6" t="e">
        <f t="shared" si="83"/>
        <v>#DIV/0!</v>
      </c>
      <c r="K251" s="6" t="e">
        <f t="shared" si="83"/>
        <v>#DIV/0!</v>
      </c>
      <c r="L251" s="6" t="e">
        <f t="shared" si="83"/>
        <v>#DIV/0!</v>
      </c>
      <c r="M251" s="6" t="e">
        <f t="shared" si="83"/>
        <v>#DIV/0!</v>
      </c>
      <c r="N251" s="6" t="e">
        <f t="shared" si="83"/>
        <v>#DIV/0!</v>
      </c>
      <c r="O251" s="6" t="e">
        <f t="shared" si="83"/>
        <v>#DIV/0!</v>
      </c>
      <c r="P251" s="319">
        <f t="shared" si="83"/>
        <v>88.652297728065435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1</v>
      </c>
      <c r="E253" s="3">
        <v>13</v>
      </c>
      <c r="F253" s="3">
        <f>F91</f>
        <v>16</v>
      </c>
      <c r="G253" s="3"/>
      <c r="H253" s="3"/>
      <c r="I253" s="3"/>
      <c r="J253" s="3"/>
      <c r="K253" s="3"/>
      <c r="L253" s="3"/>
      <c r="M253" s="3">
        <f t="shared" ref="M253" si="84">M103</f>
        <v>0</v>
      </c>
      <c r="N253" s="3"/>
      <c r="O253" s="3"/>
      <c r="P253" s="320">
        <f>SUM(D253:O253)</f>
        <v>30</v>
      </c>
    </row>
    <row r="254" spans="1:17" ht="15.6" customHeight="1" x14ac:dyDescent="0.25">
      <c r="A254" s="331" t="s">
        <v>12</v>
      </c>
      <c r="B254" s="332"/>
      <c r="C254" s="4" t="s">
        <v>3</v>
      </c>
      <c r="D254" s="3">
        <v>5</v>
      </c>
      <c r="E254" s="3">
        <v>5</v>
      </c>
      <c r="F254" s="3">
        <v>5</v>
      </c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15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f t="shared" ref="D255:H255" si="85">D95</f>
        <v>56</v>
      </c>
      <c r="E255" s="409">
        <f t="shared" si="85"/>
        <v>65</v>
      </c>
      <c r="F255" s="409">
        <f t="shared" si="85"/>
        <v>72</v>
      </c>
      <c r="G255" s="409">
        <f t="shared" si="85"/>
        <v>65</v>
      </c>
      <c r="H255" s="409">
        <f t="shared" si="85"/>
        <v>65</v>
      </c>
      <c r="I255" s="409">
        <f t="shared" ref="I255:N255" si="86">I95</f>
        <v>65</v>
      </c>
      <c r="J255" s="409">
        <f t="shared" si="86"/>
        <v>65</v>
      </c>
      <c r="K255" s="409">
        <f t="shared" si="86"/>
        <v>65</v>
      </c>
      <c r="L255" s="409">
        <f t="shared" si="86"/>
        <v>65</v>
      </c>
      <c r="M255" s="409">
        <f t="shared" si="86"/>
        <v>65</v>
      </c>
      <c r="N255" s="409">
        <f t="shared" si="86"/>
        <v>65</v>
      </c>
      <c r="O255" s="409"/>
      <c r="P255" s="410">
        <f>SUM(D255:O255)</f>
        <v>713</v>
      </c>
    </row>
    <row r="256" spans="1:17" ht="15.75" x14ac:dyDescent="0.25">
      <c r="A256" s="331" t="s">
        <v>10</v>
      </c>
      <c r="B256" s="332"/>
      <c r="C256" s="4" t="s">
        <v>3</v>
      </c>
      <c r="D256" s="3">
        <v>49</v>
      </c>
      <c r="E256" s="3">
        <f t="shared" ref="E256:G256" si="87">E91</f>
        <v>13</v>
      </c>
      <c r="F256" s="3">
        <f t="shared" si="87"/>
        <v>16</v>
      </c>
      <c r="G256" s="3">
        <f t="shared" si="87"/>
        <v>0</v>
      </c>
      <c r="H256" s="3">
        <f t="shared" ref="H256:N256" si="88">H91</f>
        <v>0</v>
      </c>
      <c r="I256" s="3">
        <f t="shared" si="88"/>
        <v>0</v>
      </c>
      <c r="J256" s="3">
        <f t="shared" si="88"/>
        <v>0</v>
      </c>
      <c r="K256" s="3">
        <f t="shared" si="88"/>
        <v>0</v>
      </c>
      <c r="L256" s="3">
        <f t="shared" si="88"/>
        <v>0</v>
      </c>
      <c r="M256" s="3">
        <f t="shared" si="88"/>
        <v>0</v>
      </c>
      <c r="N256" s="3">
        <f t="shared" si="88"/>
        <v>0</v>
      </c>
      <c r="O256" s="3"/>
      <c r="P256" s="320">
        <f>SUM(D256:O256)</f>
        <v>78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7</v>
      </c>
      <c r="E257" s="3">
        <v>7</v>
      </c>
      <c r="F257" s="3">
        <v>30</v>
      </c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44</v>
      </c>
    </row>
    <row r="258" spans="1:16" ht="15.75" x14ac:dyDescent="0.25">
      <c r="A258" s="333" t="s">
        <v>8</v>
      </c>
      <c r="B258" s="334"/>
      <c r="C258" s="4" t="s">
        <v>3</v>
      </c>
      <c r="D258" s="398">
        <f t="shared" ref="D258:P258" si="89">D257/D256</f>
        <v>0.14285714285714285</v>
      </c>
      <c r="E258" s="398">
        <f t="shared" si="89"/>
        <v>0.53846153846153844</v>
      </c>
      <c r="F258" s="398">
        <f>F257/F256</f>
        <v>1.875</v>
      </c>
      <c r="G258" s="398" t="e">
        <f t="shared" si="89"/>
        <v>#DIV/0!</v>
      </c>
      <c r="H258" s="398" t="e">
        <f t="shared" si="89"/>
        <v>#DIV/0!</v>
      </c>
      <c r="I258" s="398" t="e">
        <f t="shared" si="89"/>
        <v>#DIV/0!</v>
      </c>
      <c r="J258" s="398" t="e">
        <f t="shared" si="89"/>
        <v>#DIV/0!</v>
      </c>
      <c r="K258" s="398" t="e">
        <f t="shared" si="89"/>
        <v>#DIV/0!</v>
      </c>
      <c r="L258" s="398" t="e">
        <f t="shared" si="89"/>
        <v>#DIV/0!</v>
      </c>
      <c r="M258" s="398" t="e">
        <f t="shared" si="89"/>
        <v>#DIV/0!</v>
      </c>
      <c r="N258" s="398" t="e">
        <f t="shared" si="89"/>
        <v>#DIV/0!</v>
      </c>
      <c r="O258" s="398"/>
      <c r="P258" s="320">
        <f t="shared" si="89"/>
        <v>0.5641025641025641</v>
      </c>
    </row>
    <row r="259" spans="1:16" ht="15.75" x14ac:dyDescent="0.25">
      <c r="A259" s="333" t="s">
        <v>7</v>
      </c>
      <c r="B259" s="334"/>
      <c r="C259" s="4" t="s">
        <v>6</v>
      </c>
      <c r="D259" s="1">
        <v>8</v>
      </c>
      <c r="E259" s="1">
        <f t="shared" ref="E259:P259" si="90">E92/E255*100</f>
        <v>0</v>
      </c>
      <c r="F259" s="1">
        <f t="shared" si="90"/>
        <v>1.3888888888888888</v>
      </c>
      <c r="G259" s="1">
        <f t="shared" si="90"/>
        <v>0</v>
      </c>
      <c r="H259" s="1">
        <f t="shared" si="90"/>
        <v>0</v>
      </c>
      <c r="I259" s="1">
        <f t="shared" si="90"/>
        <v>0</v>
      </c>
      <c r="J259" s="1">
        <f t="shared" si="90"/>
        <v>0</v>
      </c>
      <c r="K259" s="1">
        <f t="shared" si="90"/>
        <v>0</v>
      </c>
      <c r="L259" s="1">
        <f t="shared" si="90"/>
        <v>0</v>
      </c>
      <c r="M259" s="1">
        <f t="shared" si="90"/>
        <v>0</v>
      </c>
      <c r="N259" s="1">
        <f t="shared" si="90"/>
        <v>0</v>
      </c>
      <c r="O259" s="1"/>
      <c r="P259" s="321">
        <f t="shared" si="90"/>
        <v>0.14025245441795231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10</v>
      </c>
      <c r="E261" s="3">
        <v>12</v>
      </c>
      <c r="F261" s="3">
        <v>15</v>
      </c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37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5</v>
      </c>
      <c r="E262" s="3">
        <v>3</v>
      </c>
      <c r="F262" s="3">
        <v>2</v>
      </c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10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2</v>
      </c>
      <c r="E263" s="106">
        <f t="shared" ref="E263:P263" si="91">E261/E262</f>
        <v>4</v>
      </c>
      <c r="F263" s="106">
        <f t="shared" si="91"/>
        <v>7.5</v>
      </c>
      <c r="G263" s="106" t="e">
        <f t="shared" si="91"/>
        <v>#DIV/0!</v>
      </c>
      <c r="H263" s="106" t="e">
        <f t="shared" si="91"/>
        <v>#DIV/0!</v>
      </c>
      <c r="I263" s="106" t="e">
        <f t="shared" si="91"/>
        <v>#DIV/0!</v>
      </c>
      <c r="J263" s="106" t="e">
        <f t="shared" si="91"/>
        <v>#DIV/0!</v>
      </c>
      <c r="K263" s="106" t="e">
        <f t="shared" si="91"/>
        <v>#DIV/0!</v>
      </c>
      <c r="L263" s="106" t="e">
        <f t="shared" si="91"/>
        <v>#DIV/0!</v>
      </c>
      <c r="M263" s="106" t="e">
        <f t="shared" si="91"/>
        <v>#DIV/0!</v>
      </c>
      <c r="N263" s="106" t="e">
        <f t="shared" si="91"/>
        <v>#DIV/0!</v>
      </c>
      <c r="O263" s="106" t="e">
        <f t="shared" si="91"/>
        <v>#DIV/0!</v>
      </c>
      <c r="P263" s="167">
        <f t="shared" si="91"/>
        <v>3.7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263"/>
  <sheetViews>
    <sheetView zoomScale="80" zoomScaleNormal="80" workbookViewId="0">
      <pane xSplit="3" topLeftCell="D1" activePane="topRight" state="frozen"/>
      <selection pane="topRight" activeCell="H256" sqref="H256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18871</v>
      </c>
      <c r="E9" s="52">
        <v>23837</v>
      </c>
      <c r="F9" s="52">
        <v>17677</v>
      </c>
      <c r="G9" s="52"/>
      <c r="H9" s="400"/>
      <c r="I9" s="52"/>
      <c r="J9" s="52"/>
      <c r="K9" s="160"/>
      <c r="L9" s="160"/>
      <c r="M9" s="160"/>
      <c r="N9" s="255"/>
      <c r="O9" s="255"/>
      <c r="P9" s="256">
        <f>SUM(D9:O9)</f>
        <v>60385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770</v>
      </c>
      <c r="E11" s="22">
        <v>748</v>
      </c>
      <c r="F11" s="22">
        <v>933</v>
      </c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2451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>
        <v>14</v>
      </c>
      <c r="F13" s="22">
        <v>58</v>
      </c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72</v>
      </c>
    </row>
    <row r="14" spans="1:16" ht="15.75" x14ac:dyDescent="0.25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770</v>
      </c>
      <c r="E15" s="258">
        <f t="shared" si="0"/>
        <v>762</v>
      </c>
      <c r="F15" s="258">
        <f t="shared" si="0"/>
        <v>991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2523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2282</v>
      </c>
      <c r="E17" s="22">
        <v>2841</v>
      </c>
      <c r="F17" s="22">
        <v>1408</v>
      </c>
      <c r="G17" s="339"/>
      <c r="H17" s="339"/>
      <c r="I17" s="339"/>
      <c r="J17" s="339"/>
      <c r="K17" s="22"/>
      <c r="L17" s="22"/>
      <c r="M17" s="437"/>
      <c r="N17" s="339"/>
      <c r="O17" s="339"/>
      <c r="P17" s="257">
        <f>SUM(D17:O17)</f>
        <v>6531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22"/>
      <c r="L18" s="22"/>
      <c r="M18" s="437"/>
      <c r="N18" s="339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11520</v>
      </c>
      <c r="E19" s="22">
        <v>13810</v>
      </c>
      <c r="F19" s="22">
        <v>10798</v>
      </c>
      <c r="G19" s="339"/>
      <c r="H19" s="339"/>
      <c r="I19" s="339"/>
      <c r="J19" s="339"/>
      <c r="K19" s="22"/>
      <c r="L19" s="22"/>
      <c r="M19" s="437"/>
      <c r="N19" s="339"/>
      <c r="O19" s="339"/>
      <c r="P19" s="257">
        <f>SUM(D19:O19)</f>
        <v>36128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854</v>
      </c>
      <c r="E20" s="22">
        <v>1621</v>
      </c>
      <c r="F20" s="22">
        <v>113</v>
      </c>
      <c r="G20" s="22"/>
      <c r="H20" s="332"/>
      <c r="I20" s="332"/>
      <c r="J20" s="332"/>
      <c r="K20" s="22"/>
      <c r="L20" s="22"/>
      <c r="M20" s="437"/>
      <c r="N20" s="332"/>
      <c r="O20" s="332"/>
      <c r="P20" s="257">
        <f>SUM(D20:O20)</f>
        <v>2588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14656</v>
      </c>
      <c r="E21" s="258">
        <f t="shared" ref="E21:P21" si="1">SUM(E17:E20)</f>
        <v>18272</v>
      </c>
      <c r="F21" s="258">
        <f t="shared" si="1"/>
        <v>12319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45247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15426</v>
      </c>
      <c r="E22" s="258">
        <f t="shared" ref="E22:P22" si="2">E21+E15</f>
        <v>19034</v>
      </c>
      <c r="F22" s="258">
        <f t="shared" si="2"/>
        <v>13310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47770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3445</v>
      </c>
      <c r="E24" s="261">
        <f t="shared" ref="E24:P24" si="3">E9-E22</f>
        <v>4803</v>
      </c>
      <c r="F24" s="261">
        <f t="shared" si="3"/>
        <v>4367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12615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0.18255524349531027</v>
      </c>
      <c r="E25" s="265">
        <f t="shared" si="4"/>
        <v>0.20149347652808658</v>
      </c>
      <c r="F25" s="265">
        <f t="shared" si="4"/>
        <v>0.24704418170504044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0.20890949739173637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">
        <v>19</v>
      </c>
      <c r="E29" s="3">
        <v>22</v>
      </c>
      <c r="F29" s="38">
        <v>15</v>
      </c>
      <c r="G29" s="3"/>
      <c r="H29" s="38"/>
      <c r="I29" s="38"/>
      <c r="J29" s="38"/>
      <c r="K29" s="3"/>
      <c r="L29" s="3"/>
      <c r="M29" s="3"/>
      <c r="N29" s="3"/>
      <c r="O29" s="38"/>
      <c r="P29" s="274">
        <f>SUM(D29:O29)</f>
        <v>56</v>
      </c>
    </row>
    <row r="30" spans="1:18" ht="15.75" x14ac:dyDescent="0.25">
      <c r="A30" s="187"/>
      <c r="B30" s="441"/>
      <c r="C30" s="37" t="s">
        <v>141</v>
      </c>
      <c r="D30" s="13">
        <f t="shared" ref="D30:P30" si="5">D29/(D9/1000)</f>
        <v>1.0068358857506228</v>
      </c>
      <c r="E30" s="13">
        <f t="shared" si="5"/>
        <v>0.92293493308721741</v>
      </c>
      <c r="F30" s="13">
        <f t="shared" si="5"/>
        <v>0.84856027606494322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ref="L30" si="6">L29/(L9/1000)</f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0.9273826281361266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 t="shared" ref="D32:P32" si="7">D31/(D9/1000)</f>
        <v>0</v>
      </c>
      <c r="E32" s="13">
        <f t="shared" si="7"/>
        <v>0</v>
      </c>
      <c r="F32" s="13">
        <f t="shared" si="7"/>
        <v>0</v>
      </c>
      <c r="G32" s="13" t="e">
        <f t="shared" si="7"/>
        <v>#DIV/0!</v>
      </c>
      <c r="H32" s="275" t="e">
        <f t="shared" si="7"/>
        <v>#DIV/0!</v>
      </c>
      <c r="I32" s="275" t="e">
        <f t="shared" si="7"/>
        <v>#DIV/0!</v>
      </c>
      <c r="J32" s="275" t="e">
        <f t="shared" si="7"/>
        <v>#DIV/0!</v>
      </c>
      <c r="K32" s="275" t="e">
        <f t="shared" si="7"/>
        <v>#DIV/0!</v>
      </c>
      <c r="L32" s="275" t="e">
        <f t="shared" si="7"/>
        <v>#DIV/0!</v>
      </c>
      <c r="M32" s="275" t="e">
        <f t="shared" si="7"/>
        <v>#DIV/0!</v>
      </c>
      <c r="N32" s="275" t="e">
        <f t="shared" si="7"/>
        <v>#DIV/0!</v>
      </c>
      <c r="O32" s="275"/>
      <c r="P32" s="276">
        <f t="shared" si="7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 t="shared" ref="D34:P34" si="8">D33/(D9/1000)</f>
        <v>0</v>
      </c>
      <c r="E34" s="13">
        <f t="shared" si="8"/>
        <v>0</v>
      </c>
      <c r="F34" s="13">
        <f t="shared" si="8"/>
        <v>0</v>
      </c>
      <c r="G34" s="13" t="e">
        <f t="shared" si="8"/>
        <v>#DIV/0!</v>
      </c>
      <c r="H34" s="275" t="e">
        <f t="shared" si="8"/>
        <v>#DIV/0!</v>
      </c>
      <c r="I34" s="275" t="e">
        <f t="shared" si="8"/>
        <v>#DIV/0!</v>
      </c>
      <c r="J34" s="275" t="e">
        <f t="shared" si="8"/>
        <v>#DIV/0!</v>
      </c>
      <c r="K34" s="275" t="e">
        <f t="shared" si="8"/>
        <v>#DIV/0!</v>
      </c>
      <c r="L34" s="275" t="e">
        <f t="shared" si="8"/>
        <v>#DIV/0!</v>
      </c>
      <c r="M34" s="275" t="e">
        <f t="shared" si="8"/>
        <v>#DIV/0!</v>
      </c>
      <c r="N34" s="275" t="e">
        <f t="shared" si="8"/>
        <v>#DIV/0!</v>
      </c>
      <c r="O34" s="275"/>
      <c r="P34" s="276">
        <f t="shared" si="8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1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 t="shared" ref="D38:P38" si="9">D37/(D9/1000)</f>
        <v>0</v>
      </c>
      <c r="E38" s="13">
        <f t="shared" si="9"/>
        <v>0</v>
      </c>
      <c r="F38" s="13">
        <f t="shared" si="9"/>
        <v>0</v>
      </c>
      <c r="G38" s="275" t="e">
        <f t="shared" si="9"/>
        <v>#DIV/0!</v>
      </c>
      <c r="H38" s="275" t="e">
        <f t="shared" si="9"/>
        <v>#DIV/0!</v>
      </c>
      <c r="I38" s="275" t="e">
        <f t="shared" si="9"/>
        <v>#DIV/0!</v>
      </c>
      <c r="J38" s="275" t="e">
        <f t="shared" si="9"/>
        <v>#DIV/0!</v>
      </c>
      <c r="K38" s="275" t="e">
        <f t="shared" si="9"/>
        <v>#DIV/0!</v>
      </c>
      <c r="L38" s="275" t="e">
        <f t="shared" si="9"/>
        <v>#DIV/0!</v>
      </c>
      <c r="M38" s="275" t="e">
        <f t="shared" si="9"/>
        <v>#DIV/0!</v>
      </c>
      <c r="N38" s="275" t="e">
        <f t="shared" si="9"/>
        <v>#DIV/0!</v>
      </c>
      <c r="O38" s="275"/>
      <c r="P38" s="276">
        <f t="shared" si="9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 t="shared" ref="D40:P40" si="10">D39/(D9/1000)</f>
        <v>0</v>
      </c>
      <c r="E40" s="13">
        <f t="shared" si="10"/>
        <v>0</v>
      </c>
      <c r="F40" s="13">
        <f t="shared" si="10"/>
        <v>0</v>
      </c>
      <c r="G40" s="275" t="e">
        <f t="shared" si="10"/>
        <v>#DIV/0!</v>
      </c>
      <c r="H40" s="275" t="e">
        <f t="shared" si="10"/>
        <v>#DIV/0!</v>
      </c>
      <c r="I40" s="275" t="e">
        <f t="shared" si="10"/>
        <v>#DIV/0!</v>
      </c>
      <c r="J40" s="275" t="e">
        <f t="shared" si="10"/>
        <v>#DIV/0!</v>
      </c>
      <c r="K40" s="275" t="e">
        <f t="shared" si="10"/>
        <v>#DIV/0!</v>
      </c>
      <c r="L40" s="275" t="e">
        <f t="shared" si="10"/>
        <v>#DIV/0!</v>
      </c>
      <c r="M40" s="275" t="e">
        <f t="shared" si="10"/>
        <v>#DIV/0!</v>
      </c>
      <c r="N40" s="275" t="e">
        <f t="shared" si="10"/>
        <v>#DIV/0!</v>
      </c>
      <c r="O40" s="275"/>
      <c r="P40" s="276">
        <f t="shared" si="10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97121.73</v>
      </c>
      <c r="E41" s="278">
        <f t="shared" ref="E41:O41" si="11">(E29*$B29)+(E31*$B31)+(E33*$B33)+(E35*$B35)+(E37*$B37)+(E39*$B39)</f>
        <v>112456.74</v>
      </c>
      <c r="F41" s="278">
        <f t="shared" si="11"/>
        <v>76675.05</v>
      </c>
      <c r="G41" s="278">
        <f t="shared" si="11"/>
        <v>0</v>
      </c>
      <c r="H41" s="278">
        <f t="shared" si="11"/>
        <v>0</v>
      </c>
      <c r="I41" s="278">
        <f t="shared" si="11"/>
        <v>0</v>
      </c>
      <c r="J41" s="278">
        <f t="shared" si="11"/>
        <v>0</v>
      </c>
      <c r="K41" s="278">
        <f t="shared" si="11"/>
        <v>0</v>
      </c>
      <c r="L41" s="278">
        <f t="shared" si="11"/>
        <v>0</v>
      </c>
      <c r="M41" s="278">
        <f t="shared" si="11"/>
        <v>0</v>
      </c>
      <c r="N41" s="278">
        <f t="shared" si="11"/>
        <v>0</v>
      </c>
      <c r="O41" s="278">
        <f t="shared" si="11"/>
        <v>0</v>
      </c>
      <c r="P41" s="34">
        <f>SUM(D41:O41)</f>
        <v>286253.52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2">D41/D9</f>
        <v>5.146612792114885</v>
      </c>
      <c r="E42" s="275">
        <f t="shared" si="12"/>
        <v>4.7177388094139365</v>
      </c>
      <c r="F42" s="275">
        <f t="shared" si="12"/>
        <v>4.3375601063528881</v>
      </c>
      <c r="G42" s="275" t="e">
        <f t="shared" si="12"/>
        <v>#DIV/0!</v>
      </c>
      <c r="H42" s="275" t="e">
        <f t="shared" si="12"/>
        <v>#DIV/0!</v>
      </c>
      <c r="I42" s="275" t="e">
        <f t="shared" si="12"/>
        <v>#DIV/0!</v>
      </c>
      <c r="J42" s="275" t="e">
        <f t="shared" si="12"/>
        <v>#DIV/0!</v>
      </c>
      <c r="K42" s="275" t="e">
        <f t="shared" si="12"/>
        <v>#DIV/0!</v>
      </c>
      <c r="L42" s="275" t="e">
        <f t="shared" si="12"/>
        <v>#DIV/0!</v>
      </c>
      <c r="M42" s="275" t="e">
        <f t="shared" si="12"/>
        <v>#DIV/0!</v>
      </c>
      <c r="N42" s="275" t="e">
        <f t="shared" si="12"/>
        <v>#DIV/0!</v>
      </c>
      <c r="O42" s="275" t="e">
        <f t="shared" si="12"/>
        <v>#DIV/0!</v>
      </c>
      <c r="P42" s="39">
        <f t="shared" si="12"/>
        <v>4.7404739587645945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14230</v>
      </c>
      <c r="E44" s="415">
        <v>14230</v>
      </c>
      <c r="F44" s="3">
        <v>6390</v>
      </c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34850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3">D44/D9</f>
        <v>0.75406708706480841</v>
      </c>
      <c r="E45" s="13">
        <v>0.59697109535595927</v>
      </c>
      <c r="F45" s="13">
        <f t="shared" si="13"/>
        <v>0.36148667760366576</v>
      </c>
      <c r="G45" s="13" t="e">
        <f t="shared" si="13"/>
        <v>#DIV/0!</v>
      </c>
      <c r="H45" s="275" t="e">
        <f t="shared" si="13"/>
        <v>#DIV/0!</v>
      </c>
      <c r="I45" s="275" t="e">
        <f t="shared" si="13"/>
        <v>#DIV/0!</v>
      </c>
      <c r="J45" s="275" t="e">
        <f t="shared" si="13"/>
        <v>#DIV/0!</v>
      </c>
      <c r="K45" s="275" t="e">
        <f t="shared" si="13"/>
        <v>#DIV/0!</v>
      </c>
      <c r="L45" s="275" t="e">
        <f t="shared" si="13"/>
        <v>#DIV/0!</v>
      </c>
      <c r="M45" s="13" t="e">
        <f t="shared" si="13"/>
        <v>#DIV/0!</v>
      </c>
      <c r="N45" s="275"/>
      <c r="O45" s="275"/>
      <c r="P45" s="276">
        <f t="shared" si="13"/>
        <v>0.57713008197400018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4750970.0999999996</v>
      </c>
      <c r="E46" s="403">
        <f>333.87*E44</f>
        <v>4750970.0999999996</v>
      </c>
      <c r="F46" s="403">
        <f t="shared" ref="F46:O46" si="14">333.87*F44</f>
        <v>2133429.2999999998</v>
      </c>
      <c r="G46" s="403">
        <f t="shared" si="14"/>
        <v>0</v>
      </c>
      <c r="H46" s="403">
        <f t="shared" si="14"/>
        <v>0</v>
      </c>
      <c r="I46" s="403">
        <f t="shared" si="14"/>
        <v>0</v>
      </c>
      <c r="J46" s="403">
        <f t="shared" si="14"/>
        <v>0</v>
      </c>
      <c r="K46" s="403">
        <f t="shared" si="14"/>
        <v>0</v>
      </c>
      <c r="L46" s="403">
        <f t="shared" si="14"/>
        <v>0</v>
      </c>
      <c r="M46" s="403">
        <f t="shared" si="14"/>
        <v>0</v>
      </c>
      <c r="N46" s="403">
        <f t="shared" si="14"/>
        <v>0</v>
      </c>
      <c r="O46" s="403">
        <f t="shared" si="14"/>
        <v>0</v>
      </c>
      <c r="P46" s="34">
        <f>SUM(D46:O46)</f>
        <v>11635369.5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5">D46/D9</f>
        <v>251.76037835832759</v>
      </c>
      <c r="E47" s="13">
        <f t="shared" si="15"/>
        <v>199.31073960649408</v>
      </c>
      <c r="F47" s="13">
        <f t="shared" si="15"/>
        <v>120.68955705153589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 t="shared" si="15"/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 t="e">
        <f t="shared" si="15"/>
        <v>#DIV/0!</v>
      </c>
      <c r="P47" s="276">
        <f t="shared" si="15"/>
        <v>192.68642046865943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415"/>
      <c r="F50" s="417"/>
      <c r="G50" s="3"/>
      <c r="H50" s="3"/>
      <c r="I50" s="3"/>
      <c r="J50" s="3"/>
      <c r="K50" s="431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/>
      <c r="E51" s="11">
        <f>2734*E50</f>
        <v>0</v>
      </c>
      <c r="F51" s="396">
        <f>2734*F50</f>
        <v>0</v>
      </c>
      <c r="G51" s="11"/>
      <c r="H51" s="11"/>
      <c r="I51" s="11"/>
      <c r="J51" s="11"/>
      <c r="K51" s="11"/>
      <c r="L51" s="11"/>
      <c r="M51" s="11">
        <f>2734*M50</f>
        <v>0</v>
      </c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9377117.4400000013</v>
      </c>
      <c r="E54" s="11">
        <v>9459007.2100000009</v>
      </c>
      <c r="F54" s="396">
        <v>9459007.2100000009</v>
      </c>
      <c r="G54" s="11"/>
      <c r="H54" s="11"/>
      <c r="I54" s="11"/>
      <c r="J54" s="11"/>
      <c r="K54" s="11"/>
      <c r="L54" s="11"/>
      <c r="M54" s="396"/>
      <c r="N54" s="396"/>
      <c r="O54" s="11"/>
      <c r="P54" s="34">
        <f>SUM(D54:O54)</f>
        <v>28295131.860000003</v>
      </c>
    </row>
    <row r="55" spans="1:16" ht="15.75" x14ac:dyDescent="0.25">
      <c r="A55" s="281" t="s">
        <v>123</v>
      </c>
      <c r="B55" s="260"/>
      <c r="C55" s="4" t="s">
        <v>18</v>
      </c>
      <c r="D55" s="11"/>
      <c r="E55" s="11"/>
      <c r="F55" s="396">
        <v>3158418.64</v>
      </c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3158418.64</v>
      </c>
    </row>
    <row r="56" spans="1:16" ht="15.75" x14ac:dyDescent="0.25">
      <c r="A56" s="331" t="s">
        <v>122</v>
      </c>
      <c r="B56" s="332"/>
      <c r="C56" s="4" t="s">
        <v>18</v>
      </c>
      <c r="D56" s="11">
        <v>8454058.9499999993</v>
      </c>
      <c r="E56" s="11">
        <v>8691498</v>
      </c>
      <c r="F56" s="396">
        <v>2815642.14</v>
      </c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19961199.09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22679268.219999999</v>
      </c>
      <c r="E58" s="11">
        <f t="shared" ref="E58:N58" si="16">E41+E46+E51+E52+E54+E55+E56</f>
        <v>23013932.050000001</v>
      </c>
      <c r="F58" s="11">
        <f t="shared" si="16"/>
        <v>17643172.34</v>
      </c>
      <c r="G58" s="277">
        <f t="shared" si="16"/>
        <v>0</v>
      </c>
      <c r="H58" s="277">
        <f t="shared" si="16"/>
        <v>0</v>
      </c>
      <c r="I58" s="277">
        <f t="shared" si="16"/>
        <v>0</v>
      </c>
      <c r="J58" s="404">
        <f t="shared" si="16"/>
        <v>0</v>
      </c>
      <c r="K58" s="404">
        <f t="shared" si="16"/>
        <v>0</v>
      </c>
      <c r="L58" s="404">
        <f t="shared" si="16"/>
        <v>0</v>
      </c>
      <c r="M58" s="404">
        <f t="shared" si="16"/>
        <v>0</v>
      </c>
      <c r="N58" s="404">
        <f t="shared" si="16"/>
        <v>0</v>
      </c>
      <c r="O58" s="404"/>
      <c r="P58" s="59">
        <f>SUM(D58:O58)</f>
        <v>63336372.609999999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7">D58/D9</f>
        <v>1201.805321392613</v>
      </c>
      <c r="E59" s="13">
        <f t="shared" si="17"/>
        <v>965.47099257456898</v>
      </c>
      <c r="F59" s="13">
        <f t="shared" si="17"/>
        <v>998.08634609945125</v>
      </c>
      <c r="G59" s="275" t="e">
        <f t="shared" si="17"/>
        <v>#DIV/0!</v>
      </c>
      <c r="H59" s="275" t="e">
        <f t="shared" si="17"/>
        <v>#DIV/0!</v>
      </c>
      <c r="I59" s="275" t="e">
        <f t="shared" si="17"/>
        <v>#DIV/0!</v>
      </c>
      <c r="J59" s="275" t="e">
        <f t="shared" si="17"/>
        <v>#DIV/0!</v>
      </c>
      <c r="K59" s="275" t="e">
        <f t="shared" si="17"/>
        <v>#DIV/0!</v>
      </c>
      <c r="L59" s="275" t="e">
        <f t="shared" si="17"/>
        <v>#DIV/0!</v>
      </c>
      <c r="M59" s="275" t="e">
        <f t="shared" si="17"/>
        <v>#DIV/0!</v>
      </c>
      <c r="N59" s="275" t="e">
        <f t="shared" si="17"/>
        <v>#DIV/0!</v>
      </c>
      <c r="O59" s="275"/>
      <c r="P59" s="276">
        <f t="shared" si="17"/>
        <v>1048.8759229941211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1470.1976027486062</v>
      </c>
      <c r="E60" s="13">
        <f t="shared" ref="E60:N60" si="18">E58/E22</f>
        <v>1209.0959362193969</v>
      </c>
      <c r="F60" s="13">
        <f t="shared" si="18"/>
        <v>1325.5576513899323</v>
      </c>
      <c r="G60" s="275" t="e">
        <f t="shared" si="18"/>
        <v>#DIV/0!</v>
      </c>
      <c r="H60" s="275" t="e">
        <f t="shared" si="18"/>
        <v>#DIV/0!</v>
      </c>
      <c r="I60" s="275" t="e">
        <f t="shared" si="18"/>
        <v>#DIV/0!</v>
      </c>
      <c r="J60" s="275" t="e">
        <f t="shared" si="18"/>
        <v>#DIV/0!</v>
      </c>
      <c r="K60" s="275" t="e">
        <f t="shared" si="18"/>
        <v>#DIV/0!</v>
      </c>
      <c r="L60" s="275" t="e">
        <f t="shared" si="18"/>
        <v>#DIV/0!</v>
      </c>
      <c r="M60" s="275" t="e">
        <f t="shared" si="18"/>
        <v>#DIV/0!</v>
      </c>
      <c r="N60" s="275" t="e">
        <f t="shared" si="18"/>
        <v>#DIV/0!</v>
      </c>
      <c r="O60" s="275"/>
      <c r="P60" s="282">
        <f>P58/P22</f>
        <v>1325.8608459284069</v>
      </c>
    </row>
    <row r="61" spans="1:16" ht="15.75" x14ac:dyDescent="0.25">
      <c r="A61" s="331" t="s">
        <v>116</v>
      </c>
      <c r="B61" s="332"/>
      <c r="C61" s="4" t="s">
        <v>3</v>
      </c>
      <c r="D61" s="3">
        <v>4</v>
      </c>
      <c r="E61" s="3">
        <v>4</v>
      </c>
      <c r="F61" s="3">
        <v>4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9">(D61*1000*31)/D9</f>
        <v>6.5709289385830107</v>
      </c>
      <c r="E62" s="13">
        <f t="shared" si="19"/>
        <v>5.2019968955824982</v>
      </c>
      <c r="F62" s="13">
        <f t="shared" si="19"/>
        <v>7.0147649488035304</v>
      </c>
      <c r="G62" s="275" t="e">
        <f t="shared" si="19"/>
        <v>#DIV/0!</v>
      </c>
      <c r="H62" s="275" t="e">
        <f t="shared" si="19"/>
        <v>#DIV/0!</v>
      </c>
      <c r="I62" s="13" t="e">
        <f t="shared" si="19"/>
        <v>#DIV/0!</v>
      </c>
      <c r="J62" s="275" t="e">
        <f t="shared" si="19"/>
        <v>#DIV/0!</v>
      </c>
      <c r="K62" s="275" t="e">
        <f t="shared" si="19"/>
        <v>#DIV/0!</v>
      </c>
      <c r="L62" s="275" t="e">
        <f t="shared" si="19"/>
        <v>#DIV/0!</v>
      </c>
      <c r="M62" s="275" t="e">
        <f t="shared" si="19"/>
        <v>#DIV/0!</v>
      </c>
      <c r="N62" s="275" t="e">
        <f t="shared" si="19"/>
        <v>#DIV/0!</v>
      </c>
      <c r="O62" s="275"/>
      <c r="P62" s="276">
        <f t="shared" si="19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14</v>
      </c>
      <c r="E63" s="3">
        <v>14</v>
      </c>
      <c r="F63" s="3">
        <v>14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42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1</v>
      </c>
      <c r="E66" s="3">
        <f>D71</f>
        <v>1</v>
      </c>
      <c r="F66" s="3">
        <f>E71</f>
        <v>4</v>
      </c>
      <c r="G66" s="3">
        <f t="shared" ref="G66:O66" si="20">F71</f>
        <v>3</v>
      </c>
      <c r="H66" s="3">
        <f t="shared" si="20"/>
        <v>3</v>
      </c>
      <c r="I66" s="3">
        <f t="shared" si="20"/>
        <v>3</v>
      </c>
      <c r="J66" s="3">
        <f t="shared" si="20"/>
        <v>3</v>
      </c>
      <c r="K66" s="3">
        <f t="shared" si="20"/>
        <v>3</v>
      </c>
      <c r="L66" s="3">
        <f t="shared" si="20"/>
        <v>3</v>
      </c>
      <c r="M66" s="3">
        <f t="shared" si="20"/>
        <v>3</v>
      </c>
      <c r="N66" s="3">
        <f t="shared" si="20"/>
        <v>3</v>
      </c>
      <c r="O66" s="3">
        <f t="shared" si="20"/>
        <v>3</v>
      </c>
      <c r="P66" s="31">
        <f>D66</f>
        <v>1</v>
      </c>
    </row>
    <row r="67" spans="1:16" ht="15.75" x14ac:dyDescent="0.25">
      <c r="A67" s="325"/>
      <c r="B67" s="4" t="s">
        <v>106</v>
      </c>
      <c r="C67" s="4" t="s">
        <v>3</v>
      </c>
      <c r="D67" s="284">
        <v>4</v>
      </c>
      <c r="E67" s="284">
        <v>5</v>
      </c>
      <c r="F67" s="284">
        <v>8</v>
      </c>
      <c r="G67" s="284"/>
      <c r="H67" s="284"/>
      <c r="I67" s="284"/>
      <c r="J67" s="284"/>
      <c r="K67" s="284"/>
      <c r="L67" s="284"/>
      <c r="M67" s="284"/>
      <c r="N67" s="284"/>
      <c r="O67" s="284"/>
      <c r="P67" s="31">
        <f>SUM(D67:O67)</f>
        <v>17</v>
      </c>
    </row>
    <row r="68" spans="1:16" ht="15.75" x14ac:dyDescent="0.25">
      <c r="A68" s="325"/>
      <c r="B68" s="4" t="s">
        <v>105</v>
      </c>
      <c r="C68" s="4" t="s">
        <v>3</v>
      </c>
      <c r="D68" s="284"/>
      <c r="E68" s="284">
        <v>2</v>
      </c>
      <c r="F68" s="284">
        <v>9</v>
      </c>
      <c r="G68" s="284"/>
      <c r="H68" s="284"/>
      <c r="I68" s="284"/>
      <c r="J68" s="284"/>
      <c r="K68" s="284"/>
      <c r="L68" s="284"/>
      <c r="M68" s="284"/>
      <c r="N68" s="284"/>
      <c r="O68" s="284"/>
      <c r="P68" s="31">
        <f t="shared" ref="P68:P69" si="21">SUM(D68:O68)</f>
        <v>11</v>
      </c>
    </row>
    <row r="69" spans="1:16" ht="15.75" x14ac:dyDescent="0.25">
      <c r="A69" s="325"/>
      <c r="B69" s="4" t="s">
        <v>104</v>
      </c>
      <c r="C69" s="4" t="s">
        <v>3</v>
      </c>
      <c r="D69" s="284">
        <v>4</v>
      </c>
      <c r="E69" s="284">
        <v>0</v>
      </c>
      <c r="F69" s="284">
        <v>0</v>
      </c>
      <c r="G69" s="284"/>
      <c r="H69" s="284"/>
      <c r="I69" s="284"/>
      <c r="J69" s="284"/>
      <c r="K69" s="284"/>
      <c r="L69" s="284"/>
      <c r="M69" s="284"/>
      <c r="N69" s="284"/>
      <c r="O69" s="284"/>
      <c r="P69" s="31">
        <f t="shared" si="21"/>
        <v>4</v>
      </c>
    </row>
    <row r="70" spans="1:16" ht="15.75" x14ac:dyDescent="0.25">
      <c r="A70" s="325"/>
      <c r="B70" s="4" t="s">
        <v>190</v>
      </c>
      <c r="C70" s="4" t="s">
        <v>3</v>
      </c>
      <c r="D70" s="284">
        <v>4</v>
      </c>
      <c r="E70" s="284">
        <f>E68+E69</f>
        <v>2</v>
      </c>
      <c r="F70" s="284">
        <f>F68+F69</f>
        <v>9</v>
      </c>
      <c r="G70" s="284"/>
      <c r="H70" s="284"/>
      <c r="I70" s="284"/>
      <c r="J70" s="284"/>
      <c r="K70" s="284"/>
      <c r="L70" s="284"/>
      <c r="M70" s="284"/>
      <c r="N70" s="284"/>
      <c r="O70" s="284"/>
      <c r="P70" s="285">
        <f t="shared" ref="P70" si="22">P68+P69</f>
        <v>15</v>
      </c>
    </row>
    <row r="71" spans="1:16" ht="15.75" x14ac:dyDescent="0.25">
      <c r="A71" s="187"/>
      <c r="B71" s="4" t="s">
        <v>81</v>
      </c>
      <c r="C71" s="4" t="s">
        <v>3</v>
      </c>
      <c r="D71" s="22">
        <f t="shared" ref="D71" si="23">D66+D67-D70</f>
        <v>1</v>
      </c>
      <c r="E71" s="22">
        <f>E66+E67-E70</f>
        <v>4</v>
      </c>
      <c r="F71" s="22">
        <f>F66+F67-F70</f>
        <v>3</v>
      </c>
      <c r="G71" s="22">
        <f t="shared" ref="G71" si="24">G66+G67-G70</f>
        <v>3</v>
      </c>
      <c r="H71" s="22">
        <f t="shared" ref="H71" si="25">H66+H67-H70</f>
        <v>3</v>
      </c>
      <c r="I71" s="22">
        <f t="shared" ref="I71" si="26">I66+I67-I70</f>
        <v>3</v>
      </c>
      <c r="J71" s="22">
        <f t="shared" ref="J71" si="27">J66+J67-J70</f>
        <v>3</v>
      </c>
      <c r="K71" s="22">
        <f t="shared" ref="K71" si="28">K66+K67-K70</f>
        <v>3</v>
      </c>
      <c r="L71" s="22">
        <f t="shared" ref="L71" si="29">L66+L67-L70</f>
        <v>3</v>
      </c>
      <c r="M71" s="22">
        <f t="shared" ref="M71" si="30">M66+M67-M70</f>
        <v>3</v>
      </c>
      <c r="N71" s="22">
        <f t="shared" ref="N71" si="31">N66+N67-N70</f>
        <v>3</v>
      </c>
      <c r="O71" s="22"/>
      <c r="P71" s="287">
        <f>P66+P67-P70</f>
        <v>3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1</v>
      </c>
      <c r="F72" s="3">
        <f t="shared" ref="F72:I72" si="32">E77</f>
        <v>0</v>
      </c>
      <c r="G72" s="120">
        <f t="shared" si="32"/>
        <v>0</v>
      </c>
      <c r="H72" s="3"/>
      <c r="I72" s="3">
        <f t="shared" si="32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>
        <v>1</v>
      </c>
      <c r="E73" s="3"/>
      <c r="F73" s="120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1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>
        <v>1</v>
      </c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33">SUM(D74:O74)</f>
        <v>1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33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4">E74+E75</f>
        <v>1</v>
      </c>
      <c r="F76" s="3">
        <f t="shared" si="34"/>
        <v>0</v>
      </c>
      <c r="G76" s="3">
        <f t="shared" si="34"/>
        <v>0</v>
      </c>
      <c r="H76" s="3">
        <f t="shared" si="34"/>
        <v>0</v>
      </c>
      <c r="I76" s="284">
        <f t="shared" si="34"/>
        <v>0</v>
      </c>
      <c r="J76" s="284">
        <f t="shared" si="34"/>
        <v>0</v>
      </c>
      <c r="K76" s="284">
        <f t="shared" si="34"/>
        <v>0</v>
      </c>
      <c r="L76" s="284"/>
      <c r="M76" s="284">
        <f t="shared" si="34"/>
        <v>0</v>
      </c>
      <c r="N76" s="284">
        <f t="shared" si="34"/>
        <v>0</v>
      </c>
      <c r="O76" s="284"/>
      <c r="P76" s="285">
        <f t="shared" ref="P76" si="35">P74+P75</f>
        <v>1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1</v>
      </c>
      <c r="E77" s="141">
        <f t="shared" ref="E77:N77" si="36">E72+E73-E76</f>
        <v>0</v>
      </c>
      <c r="F77" s="141">
        <f t="shared" si="36"/>
        <v>0</v>
      </c>
      <c r="G77" s="141">
        <f t="shared" si="36"/>
        <v>0</v>
      </c>
      <c r="H77" s="141">
        <f t="shared" si="36"/>
        <v>0</v>
      </c>
      <c r="I77" s="141">
        <f t="shared" si="36"/>
        <v>0</v>
      </c>
      <c r="J77" s="141">
        <f t="shared" si="36"/>
        <v>0</v>
      </c>
      <c r="K77" s="141">
        <f t="shared" si="36"/>
        <v>0</v>
      </c>
      <c r="L77" s="141">
        <f t="shared" si="36"/>
        <v>0</v>
      </c>
      <c r="M77" s="141">
        <f t="shared" si="36"/>
        <v>0</v>
      </c>
      <c r="N77" s="141">
        <f t="shared" si="36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7">E83</f>
        <v>0</v>
      </c>
      <c r="G78" s="3">
        <f t="shared" si="37"/>
        <v>0</v>
      </c>
      <c r="H78" s="3">
        <f t="shared" si="37"/>
        <v>0</v>
      </c>
      <c r="I78" s="3">
        <f t="shared" si="37"/>
        <v>0</v>
      </c>
      <c r="J78" s="3">
        <f t="shared" si="37"/>
        <v>0</v>
      </c>
      <c r="K78" s="3">
        <f t="shared" si="37"/>
        <v>0</v>
      </c>
      <c r="L78" s="3">
        <f t="shared" si="37"/>
        <v>0</v>
      </c>
      <c r="M78" s="3">
        <f t="shared" si="37"/>
        <v>0</v>
      </c>
      <c r="N78" s="3">
        <f t="shared" si="37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8">E81+E80</f>
        <v>0</v>
      </c>
      <c r="F82" s="3">
        <f t="shared" si="38"/>
        <v>0</v>
      </c>
      <c r="G82" s="3">
        <f t="shared" si="38"/>
        <v>0</v>
      </c>
      <c r="H82" s="3">
        <f t="shared" si="38"/>
        <v>0</v>
      </c>
      <c r="I82" s="284">
        <f t="shared" ref="I82:K82" si="39">I80+I81</f>
        <v>0</v>
      </c>
      <c r="J82" s="284">
        <f t="shared" si="39"/>
        <v>0</v>
      </c>
      <c r="K82" s="284">
        <f t="shared" si="39"/>
        <v>0</v>
      </c>
      <c r="L82" s="284"/>
      <c r="M82" s="284">
        <f t="shared" ref="M82:P82" si="40">M81+M80</f>
        <v>0</v>
      </c>
      <c r="N82" s="284">
        <f t="shared" si="40"/>
        <v>0</v>
      </c>
      <c r="O82" s="284"/>
      <c r="P82" s="288">
        <f t="shared" si="40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41">E78+E79-E82</f>
        <v>0</v>
      </c>
      <c r="F83" s="22">
        <f t="shared" si="41"/>
        <v>0</v>
      </c>
      <c r="G83" s="22">
        <f t="shared" si="41"/>
        <v>0</v>
      </c>
      <c r="H83" s="22">
        <f t="shared" si="41"/>
        <v>0</v>
      </c>
      <c r="I83" s="286">
        <f t="shared" si="41"/>
        <v>0</v>
      </c>
      <c r="J83" s="286">
        <f t="shared" si="41"/>
        <v>0</v>
      </c>
      <c r="K83" s="286">
        <f t="shared" si="41"/>
        <v>0</v>
      </c>
      <c r="L83" s="286">
        <f t="shared" si="41"/>
        <v>0</v>
      </c>
      <c r="M83" s="286">
        <f t="shared" si="41"/>
        <v>0</v>
      </c>
      <c r="N83" s="286">
        <f t="shared" si="41"/>
        <v>0</v>
      </c>
      <c r="O83" s="286"/>
      <c r="P83" s="289">
        <f t="shared" si="41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42">E89</f>
        <v>0</v>
      </c>
      <c r="G84" s="3">
        <f t="shared" si="42"/>
        <v>0</v>
      </c>
      <c r="H84" s="3">
        <f t="shared" si="42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43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43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44">E86+E87</f>
        <v>0</v>
      </c>
      <c r="F88" s="3">
        <f t="shared" si="44"/>
        <v>0</v>
      </c>
      <c r="G88" s="3">
        <f t="shared" si="44"/>
        <v>0</v>
      </c>
      <c r="H88" s="3">
        <f t="shared" si="44"/>
        <v>0</v>
      </c>
      <c r="I88" s="284">
        <f t="shared" si="44"/>
        <v>0</v>
      </c>
      <c r="J88" s="284">
        <f t="shared" si="44"/>
        <v>0</v>
      </c>
      <c r="K88" s="284">
        <f t="shared" si="44"/>
        <v>0</v>
      </c>
      <c r="L88" s="284">
        <f t="shared" si="44"/>
        <v>0</v>
      </c>
      <c r="M88" s="284">
        <f t="shared" si="44"/>
        <v>0</v>
      </c>
      <c r="N88" s="284">
        <f t="shared" si="44"/>
        <v>0</v>
      </c>
      <c r="O88" s="284"/>
      <c r="P88" s="31">
        <f t="shared" si="43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5">E84+E85-E88</f>
        <v>0</v>
      </c>
      <c r="F89" s="22">
        <f t="shared" si="45"/>
        <v>0</v>
      </c>
      <c r="G89" s="22">
        <f t="shared" si="45"/>
        <v>0</v>
      </c>
      <c r="H89" s="22">
        <f t="shared" si="45"/>
        <v>0</v>
      </c>
      <c r="I89" s="22">
        <f t="shared" si="45"/>
        <v>0</v>
      </c>
      <c r="J89" s="22">
        <f t="shared" si="45"/>
        <v>0</v>
      </c>
      <c r="K89" s="22">
        <f t="shared" si="45"/>
        <v>0</v>
      </c>
      <c r="L89" s="22">
        <f t="shared" si="45"/>
        <v>0</v>
      </c>
      <c r="M89" s="22">
        <f t="shared" si="45"/>
        <v>0</v>
      </c>
      <c r="N89" s="22">
        <f t="shared" si="45"/>
        <v>0</v>
      </c>
      <c r="O89" s="22"/>
      <c r="P89" s="289">
        <f t="shared" ref="P89" si="46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7">D66+D72+D78+D84</f>
        <v>1</v>
      </c>
      <c r="E90" s="122">
        <f t="shared" si="47"/>
        <v>2</v>
      </c>
      <c r="F90" s="122">
        <f t="shared" si="47"/>
        <v>4</v>
      </c>
      <c r="G90" s="122">
        <f t="shared" si="47"/>
        <v>3</v>
      </c>
      <c r="H90" s="122">
        <f t="shared" si="47"/>
        <v>3</v>
      </c>
      <c r="I90" s="122">
        <f t="shared" si="47"/>
        <v>3</v>
      </c>
      <c r="J90" s="122">
        <f t="shared" si="47"/>
        <v>3</v>
      </c>
      <c r="K90" s="122">
        <f t="shared" si="47"/>
        <v>3</v>
      </c>
      <c r="L90" s="122">
        <f t="shared" si="47"/>
        <v>3</v>
      </c>
      <c r="M90" s="122">
        <f t="shared" si="47"/>
        <v>3</v>
      </c>
      <c r="N90" s="122">
        <f t="shared" si="47"/>
        <v>3</v>
      </c>
      <c r="O90" s="122"/>
      <c r="P90" s="31">
        <f>D90</f>
        <v>1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7"/>
        <v>5</v>
      </c>
      <c r="E91" s="122">
        <f t="shared" si="47"/>
        <v>5</v>
      </c>
      <c r="F91" s="122">
        <f t="shared" si="47"/>
        <v>8</v>
      </c>
      <c r="G91" s="122">
        <f t="shared" si="47"/>
        <v>0</v>
      </c>
      <c r="H91" s="122">
        <f t="shared" si="47"/>
        <v>0</v>
      </c>
      <c r="I91" s="122">
        <f t="shared" si="47"/>
        <v>0</v>
      </c>
      <c r="J91" s="122">
        <f t="shared" si="47"/>
        <v>0</v>
      </c>
      <c r="K91" s="122">
        <f t="shared" si="47"/>
        <v>0</v>
      </c>
      <c r="L91" s="122">
        <f t="shared" si="47"/>
        <v>0</v>
      </c>
      <c r="M91" s="122">
        <f t="shared" si="47"/>
        <v>0</v>
      </c>
      <c r="N91" s="122">
        <f t="shared" si="47"/>
        <v>0</v>
      </c>
      <c r="O91" s="122"/>
      <c r="P91" s="31">
        <f>SUM(D91:O91)</f>
        <v>18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7"/>
        <v>0</v>
      </c>
      <c r="E92" s="122">
        <f t="shared" si="47"/>
        <v>3</v>
      </c>
      <c r="F92" s="122">
        <f t="shared" si="47"/>
        <v>9</v>
      </c>
      <c r="G92" s="122">
        <f t="shared" si="47"/>
        <v>0</v>
      </c>
      <c r="H92" s="122">
        <f t="shared" si="47"/>
        <v>0</v>
      </c>
      <c r="I92" s="122">
        <f t="shared" si="47"/>
        <v>0</v>
      </c>
      <c r="J92" s="122">
        <f t="shared" si="47"/>
        <v>0</v>
      </c>
      <c r="K92" s="122">
        <f t="shared" si="47"/>
        <v>0</v>
      </c>
      <c r="L92" s="122">
        <f t="shared" si="47"/>
        <v>0</v>
      </c>
      <c r="M92" s="122">
        <f t="shared" si="47"/>
        <v>0</v>
      </c>
      <c r="N92" s="122">
        <f t="shared" si="47"/>
        <v>0</v>
      </c>
      <c r="O92" s="122"/>
      <c r="P92" s="31">
        <f>SUM(D92:O92)</f>
        <v>12</v>
      </c>
    </row>
    <row r="93" spans="1:16" ht="15.75" x14ac:dyDescent="0.25">
      <c r="A93" s="378"/>
      <c r="B93" s="4" t="s">
        <v>104</v>
      </c>
      <c r="C93" s="4"/>
      <c r="D93" s="122">
        <f t="shared" si="47"/>
        <v>4</v>
      </c>
      <c r="E93" s="122">
        <f t="shared" si="47"/>
        <v>0</v>
      </c>
      <c r="F93" s="122">
        <f t="shared" si="47"/>
        <v>0</v>
      </c>
      <c r="G93" s="122">
        <f t="shared" si="47"/>
        <v>0</v>
      </c>
      <c r="H93" s="122">
        <f t="shared" si="47"/>
        <v>0</v>
      </c>
      <c r="I93" s="122">
        <f t="shared" si="47"/>
        <v>0</v>
      </c>
      <c r="J93" s="122">
        <f t="shared" si="47"/>
        <v>0</v>
      </c>
      <c r="K93" s="122">
        <f t="shared" si="47"/>
        <v>0</v>
      </c>
      <c r="L93" s="122">
        <f t="shared" si="47"/>
        <v>0</v>
      </c>
      <c r="M93" s="122">
        <f t="shared" si="47"/>
        <v>0</v>
      </c>
      <c r="N93" s="122">
        <f t="shared" si="47"/>
        <v>0</v>
      </c>
      <c r="O93" s="122"/>
      <c r="P93" s="31">
        <f>SUM(D93:O93)</f>
        <v>4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4</v>
      </c>
      <c r="E94" s="123">
        <f t="shared" ref="E94:P94" si="48">E93+E92</f>
        <v>3</v>
      </c>
      <c r="F94" s="123">
        <f t="shared" si="48"/>
        <v>9</v>
      </c>
      <c r="G94" s="123">
        <f t="shared" si="48"/>
        <v>0</v>
      </c>
      <c r="H94" s="123">
        <f t="shared" si="48"/>
        <v>0</v>
      </c>
      <c r="I94" s="123">
        <f t="shared" si="48"/>
        <v>0</v>
      </c>
      <c r="J94" s="123">
        <f t="shared" si="48"/>
        <v>0</v>
      </c>
      <c r="K94" s="123">
        <f t="shared" si="48"/>
        <v>0</v>
      </c>
      <c r="L94" s="123">
        <f t="shared" si="48"/>
        <v>0</v>
      </c>
      <c r="M94" s="123">
        <f t="shared" si="48"/>
        <v>0</v>
      </c>
      <c r="N94" s="123">
        <f t="shared" si="48"/>
        <v>0</v>
      </c>
      <c r="O94" s="123"/>
      <c r="P94" s="130">
        <f t="shared" si="48"/>
        <v>16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2</v>
      </c>
      <c r="E95" s="124">
        <f t="shared" ref="E95:P95" si="49">E90+E91-E94</f>
        <v>4</v>
      </c>
      <c r="F95" s="124">
        <f t="shared" si="49"/>
        <v>3</v>
      </c>
      <c r="G95" s="124">
        <f t="shared" si="49"/>
        <v>3</v>
      </c>
      <c r="H95" s="124">
        <f t="shared" si="49"/>
        <v>3</v>
      </c>
      <c r="I95" s="124">
        <f t="shared" si="49"/>
        <v>3</v>
      </c>
      <c r="J95" s="124">
        <f t="shared" si="49"/>
        <v>3</v>
      </c>
      <c r="K95" s="124">
        <f t="shared" si="49"/>
        <v>3</v>
      </c>
      <c r="L95" s="124">
        <f t="shared" si="49"/>
        <v>3</v>
      </c>
      <c r="M95" s="124">
        <f t="shared" si="49"/>
        <v>3</v>
      </c>
      <c r="N95" s="124">
        <f t="shared" si="49"/>
        <v>3</v>
      </c>
      <c r="O95" s="124"/>
      <c r="P95" s="131">
        <f t="shared" si="49"/>
        <v>3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4</v>
      </c>
      <c r="E98" s="395"/>
      <c r="F98" s="395"/>
      <c r="G98" s="395"/>
      <c r="H98" s="395"/>
      <c r="I98" s="395"/>
      <c r="J98" s="395"/>
      <c r="K98" s="395"/>
      <c r="L98" s="294"/>
      <c r="M98" s="294"/>
      <c r="N98" s="395"/>
      <c r="O98" s="294"/>
      <c r="P98" s="97">
        <f>SUM(D98:O98)</f>
        <v>4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12</v>
      </c>
      <c r="E101" s="3">
        <v>12</v>
      </c>
      <c r="F101" s="3">
        <v>12</v>
      </c>
      <c r="G101" s="3"/>
      <c r="H101" s="3"/>
      <c r="I101" s="3"/>
      <c r="J101" s="3"/>
      <c r="K101" s="120"/>
      <c r="L101" s="120"/>
      <c r="M101" s="3"/>
      <c r="N101" s="3"/>
      <c r="O101" s="3"/>
      <c r="P101" s="295">
        <f t="shared" ref="P101:P116" si="50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</v>
      </c>
      <c r="E102" s="3">
        <v>1</v>
      </c>
      <c r="F102" s="3">
        <v>1</v>
      </c>
      <c r="G102" s="3"/>
      <c r="H102" s="3"/>
      <c r="I102" s="3"/>
      <c r="J102" s="3"/>
      <c r="K102" s="3"/>
      <c r="L102" s="120"/>
      <c r="M102" s="3"/>
      <c r="N102" s="3"/>
      <c r="O102" s="3"/>
      <c r="P102" s="295">
        <f t="shared" si="50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11</v>
      </c>
      <c r="E103" s="3">
        <v>11</v>
      </c>
      <c r="F103" s="3">
        <v>11</v>
      </c>
      <c r="G103" s="3"/>
      <c r="H103" s="3"/>
      <c r="I103" s="3"/>
      <c r="J103" s="3"/>
      <c r="K103" s="3"/>
      <c r="L103" s="120"/>
      <c r="M103" s="3"/>
      <c r="N103" s="3"/>
      <c r="O103" s="3"/>
      <c r="P103" s="295">
        <f t="shared" si="50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120"/>
      <c r="M104" s="3"/>
      <c r="N104" s="3"/>
      <c r="O104" s="3"/>
      <c r="P104" s="295">
        <f t="shared" si="50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24</v>
      </c>
      <c r="E105" s="296">
        <f t="shared" ref="E105:O105" si="51">SUM(E101:E104)</f>
        <v>24</v>
      </c>
      <c r="F105" s="296">
        <f t="shared" si="51"/>
        <v>24</v>
      </c>
      <c r="G105" s="296">
        <f t="shared" si="51"/>
        <v>0</v>
      </c>
      <c r="H105" s="296">
        <f t="shared" si="51"/>
        <v>0</v>
      </c>
      <c r="I105" s="296">
        <f>SUM(I101:I104)</f>
        <v>0</v>
      </c>
      <c r="J105" s="296">
        <f t="shared" si="51"/>
        <v>0</v>
      </c>
      <c r="K105" s="296">
        <f t="shared" si="51"/>
        <v>0</v>
      </c>
      <c r="L105" s="296">
        <f t="shared" si="51"/>
        <v>0</v>
      </c>
      <c r="M105" s="296">
        <f t="shared" si="51"/>
        <v>0</v>
      </c>
      <c r="N105" s="296">
        <f t="shared" si="51"/>
        <v>0</v>
      </c>
      <c r="O105" s="296">
        <f t="shared" si="51"/>
        <v>0</v>
      </c>
      <c r="P105" s="295">
        <f t="shared" si="50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120">
        <v>62</v>
      </c>
      <c r="E107" s="120">
        <v>58</v>
      </c>
      <c r="F107" s="120">
        <v>62</v>
      </c>
      <c r="G107" s="120"/>
      <c r="H107" s="120"/>
      <c r="I107" s="120"/>
      <c r="J107" s="120"/>
      <c r="K107" s="120"/>
      <c r="L107" s="120"/>
      <c r="M107" s="120"/>
      <c r="N107" s="120"/>
      <c r="O107" s="120"/>
      <c r="P107" s="295">
        <f t="shared" si="50"/>
        <v>0</v>
      </c>
    </row>
    <row r="108" spans="1:21" ht="15.75" x14ac:dyDescent="0.25">
      <c r="A108" s="331" t="s">
        <v>196</v>
      </c>
      <c r="B108" s="332"/>
      <c r="C108" s="4" t="s">
        <v>3</v>
      </c>
      <c r="D108" s="120">
        <v>3</v>
      </c>
      <c r="E108" s="120">
        <v>3</v>
      </c>
      <c r="F108" s="120">
        <v>4</v>
      </c>
      <c r="G108" s="120"/>
      <c r="H108" s="120"/>
      <c r="I108" s="120"/>
      <c r="J108" s="120"/>
      <c r="K108" s="120"/>
      <c r="L108" s="120"/>
      <c r="M108" s="120"/>
      <c r="N108" s="120"/>
      <c r="O108" s="120"/>
      <c r="P108" s="295">
        <f t="shared" si="50"/>
        <v>0</v>
      </c>
    </row>
    <row r="109" spans="1:21" ht="15.75" x14ac:dyDescent="0.25">
      <c r="A109" s="331" t="s">
        <v>197</v>
      </c>
      <c r="B109" s="332"/>
      <c r="C109" s="4" t="s">
        <v>3</v>
      </c>
      <c r="D109" s="120"/>
      <c r="E109" s="120">
        <v>0</v>
      </c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295">
        <f t="shared" si="50"/>
        <v>0</v>
      </c>
    </row>
    <row r="110" spans="1:21" ht="15.75" x14ac:dyDescent="0.25">
      <c r="A110" s="331" t="s">
        <v>198</v>
      </c>
      <c r="B110" s="332"/>
      <c r="C110" s="4" t="s">
        <v>3</v>
      </c>
      <c r="D110" s="120"/>
      <c r="E110" s="120">
        <v>0</v>
      </c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295">
        <f t="shared" si="50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65</v>
      </c>
      <c r="E111" s="296">
        <f t="shared" ref="E111:O111" si="52">SUM(E107:E110)</f>
        <v>61</v>
      </c>
      <c r="F111" s="296">
        <f t="shared" si="52"/>
        <v>66</v>
      </c>
      <c r="G111" s="296">
        <f t="shared" si="52"/>
        <v>0</v>
      </c>
      <c r="H111" s="296">
        <f t="shared" si="52"/>
        <v>0</v>
      </c>
      <c r="I111" s="296">
        <f t="shared" si="52"/>
        <v>0</v>
      </c>
      <c r="J111" s="296">
        <f t="shared" si="52"/>
        <v>0</v>
      </c>
      <c r="K111" s="296">
        <f t="shared" si="52"/>
        <v>0</v>
      </c>
      <c r="L111" s="296">
        <f t="shared" si="52"/>
        <v>0</v>
      </c>
      <c r="M111" s="296">
        <f t="shared" si="52"/>
        <v>0</v>
      </c>
      <c r="N111" s="296">
        <f t="shared" si="52"/>
        <v>0</v>
      </c>
      <c r="O111" s="296">
        <f t="shared" si="52"/>
        <v>0</v>
      </c>
      <c r="P111" s="295">
        <f t="shared" si="50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121">
        <v>223</v>
      </c>
      <c r="E113" s="121">
        <v>227</v>
      </c>
      <c r="F113" s="121">
        <v>237</v>
      </c>
      <c r="G113" s="121"/>
      <c r="H113" s="121"/>
      <c r="I113" s="121"/>
      <c r="J113" s="121"/>
      <c r="K113" s="121"/>
      <c r="L113" s="121"/>
      <c r="M113" s="121"/>
      <c r="N113" s="121"/>
      <c r="O113" s="121"/>
      <c r="P113" s="295">
        <f t="shared" si="50"/>
        <v>0</v>
      </c>
    </row>
    <row r="114" spans="1:18" ht="15.75" x14ac:dyDescent="0.25">
      <c r="A114" s="331" t="s">
        <v>200</v>
      </c>
      <c r="B114" s="332"/>
      <c r="C114" s="4" t="s">
        <v>3</v>
      </c>
      <c r="D114" s="121">
        <v>9</v>
      </c>
      <c r="E114" s="121">
        <v>9</v>
      </c>
      <c r="F114" s="121">
        <v>10</v>
      </c>
      <c r="G114" s="121"/>
      <c r="H114" s="121"/>
      <c r="I114" s="121"/>
      <c r="J114" s="121"/>
      <c r="K114" s="121"/>
      <c r="L114" s="121"/>
      <c r="M114" s="121"/>
      <c r="N114" s="121"/>
      <c r="O114" s="121"/>
      <c r="P114" s="295">
        <f t="shared" si="50"/>
        <v>0</v>
      </c>
    </row>
    <row r="115" spans="1:18" ht="15.75" x14ac:dyDescent="0.25">
      <c r="A115" s="331" t="s">
        <v>201</v>
      </c>
      <c r="B115" s="332"/>
      <c r="C115" s="4" t="s">
        <v>3</v>
      </c>
      <c r="D115" s="121">
        <v>10</v>
      </c>
      <c r="E115" s="121">
        <v>10</v>
      </c>
      <c r="F115" s="121">
        <v>12</v>
      </c>
      <c r="G115" s="121"/>
      <c r="H115" s="121"/>
      <c r="I115" s="121"/>
      <c r="J115" s="121"/>
      <c r="K115" s="121"/>
      <c r="L115" s="121"/>
      <c r="M115" s="121"/>
      <c r="N115" s="121"/>
      <c r="O115" s="121"/>
      <c r="P115" s="295">
        <f t="shared" si="50"/>
        <v>0</v>
      </c>
    </row>
    <row r="116" spans="1:18" ht="15.75" x14ac:dyDescent="0.25">
      <c r="A116" s="331" t="s">
        <v>202</v>
      </c>
      <c r="B116" s="332"/>
      <c r="C116" s="4" t="s">
        <v>3</v>
      </c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295">
        <f t="shared" si="50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242</v>
      </c>
      <c r="E117" s="296">
        <f t="shared" ref="E117:P117" si="53">SUM(E113:E116)</f>
        <v>246</v>
      </c>
      <c r="F117" s="296">
        <f t="shared" si="53"/>
        <v>259</v>
      </c>
      <c r="G117" s="296">
        <f t="shared" si="53"/>
        <v>0</v>
      </c>
      <c r="H117" s="296">
        <f t="shared" si="53"/>
        <v>0</v>
      </c>
      <c r="I117" s="296">
        <f t="shared" si="53"/>
        <v>0</v>
      </c>
      <c r="J117" s="296">
        <f t="shared" si="53"/>
        <v>0</v>
      </c>
      <c r="K117" s="296">
        <f t="shared" si="53"/>
        <v>0</v>
      </c>
      <c r="L117" s="296">
        <f t="shared" si="53"/>
        <v>0</v>
      </c>
      <c r="M117" s="296">
        <f t="shared" si="53"/>
        <v>0</v>
      </c>
      <c r="N117" s="296">
        <f t="shared" si="53"/>
        <v>0</v>
      </c>
      <c r="O117" s="296">
        <f t="shared" si="53"/>
        <v>0</v>
      </c>
      <c r="P117" s="257">
        <f t="shared" si="53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54">D111+D117</f>
        <v>307</v>
      </c>
      <c r="E118" s="296">
        <f t="shared" si="54"/>
        <v>307</v>
      </c>
      <c r="F118" s="296">
        <f t="shared" si="54"/>
        <v>325</v>
      </c>
      <c r="G118" s="296">
        <f t="shared" si="54"/>
        <v>0</v>
      </c>
      <c r="H118" s="296">
        <f t="shared" si="54"/>
        <v>0</v>
      </c>
      <c r="I118" s="296">
        <f t="shared" si="54"/>
        <v>0</v>
      </c>
      <c r="J118" s="296">
        <f t="shared" si="54"/>
        <v>0</v>
      </c>
      <c r="K118" s="296">
        <f t="shared" si="54"/>
        <v>0</v>
      </c>
      <c r="L118" s="296">
        <f t="shared" si="54"/>
        <v>0</v>
      </c>
      <c r="M118" s="296">
        <f t="shared" si="54"/>
        <v>0</v>
      </c>
      <c r="N118" s="296">
        <f t="shared" si="54"/>
        <v>0</v>
      </c>
      <c r="O118" s="296">
        <f t="shared" si="54"/>
        <v>0</v>
      </c>
      <c r="P118" s="296">
        <f t="shared" si="54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55">D105+D118</f>
        <v>331</v>
      </c>
      <c r="E119" s="296">
        <f t="shared" si="55"/>
        <v>331</v>
      </c>
      <c r="F119" s="296">
        <f t="shared" si="55"/>
        <v>349</v>
      </c>
      <c r="G119" s="296">
        <f t="shared" si="55"/>
        <v>0</v>
      </c>
      <c r="H119" s="296">
        <f t="shared" si="55"/>
        <v>0</v>
      </c>
      <c r="I119" s="296">
        <f t="shared" si="55"/>
        <v>0</v>
      </c>
      <c r="J119" s="296">
        <f t="shared" si="55"/>
        <v>0</v>
      </c>
      <c r="K119" s="296">
        <f t="shared" si="55"/>
        <v>0</v>
      </c>
      <c r="L119" s="296">
        <f t="shared" si="55"/>
        <v>0</v>
      </c>
      <c r="M119" s="296">
        <f t="shared" si="55"/>
        <v>0</v>
      </c>
      <c r="N119" s="296">
        <f t="shared" si="55"/>
        <v>0</v>
      </c>
      <c r="O119" s="296">
        <f t="shared" si="55"/>
        <v>0</v>
      </c>
      <c r="P119" s="296">
        <f t="shared" si="55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75" x14ac:dyDescent="0.25">
      <c r="A121" s="331" t="s">
        <v>95</v>
      </c>
      <c r="B121" s="332"/>
      <c r="C121" s="4" t="s">
        <v>3</v>
      </c>
      <c r="D121" s="117">
        <v>4359</v>
      </c>
      <c r="E121" s="117">
        <v>4359</v>
      </c>
      <c r="F121" s="117">
        <v>4359</v>
      </c>
      <c r="G121" s="117"/>
      <c r="H121" s="117"/>
      <c r="I121" s="117"/>
      <c r="J121" s="117"/>
      <c r="K121" s="3"/>
      <c r="L121" s="3"/>
      <c r="M121" s="3"/>
      <c r="N121" s="117"/>
      <c r="O121" s="117"/>
      <c r="P121" s="27">
        <f>O121</f>
        <v>0</v>
      </c>
    </row>
    <row r="122" spans="1:18" ht="15.75" x14ac:dyDescent="0.25">
      <c r="A122" s="331" t="s">
        <v>94</v>
      </c>
      <c r="B122" s="332"/>
      <c r="C122" s="4" t="s">
        <v>3</v>
      </c>
      <c r="D122" s="117">
        <v>4095</v>
      </c>
      <c r="E122" s="117">
        <v>4095</v>
      </c>
      <c r="F122" s="3">
        <v>4095</v>
      </c>
      <c r="G122" s="117"/>
      <c r="H122" s="3"/>
      <c r="I122" s="117"/>
      <c r="J122" s="3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56">D122/D121</f>
        <v>0.93943565037852717</v>
      </c>
      <c r="E123" s="25">
        <f t="shared" si="56"/>
        <v>0.93943565037852717</v>
      </c>
      <c r="F123" s="25">
        <f t="shared" si="56"/>
        <v>0.93943565037852717</v>
      </c>
      <c r="G123" s="300" t="e">
        <f t="shared" si="56"/>
        <v>#DIV/0!</v>
      </c>
      <c r="H123" s="300" t="e">
        <f t="shared" si="56"/>
        <v>#DIV/0!</v>
      </c>
      <c r="I123" s="300" t="e">
        <f t="shared" si="56"/>
        <v>#DIV/0!</v>
      </c>
      <c r="J123" s="300" t="e">
        <f t="shared" si="56"/>
        <v>#DIV/0!</v>
      </c>
      <c r="K123" s="300" t="e">
        <f t="shared" si="56"/>
        <v>#DIV/0!</v>
      </c>
      <c r="L123" s="300" t="e">
        <f t="shared" si="56"/>
        <v>#DIV/0!</v>
      </c>
      <c r="M123" s="300" t="e">
        <f t="shared" si="56"/>
        <v>#DIV/0!</v>
      </c>
      <c r="N123" s="300" t="e">
        <f t="shared" si="56"/>
        <v>#DIV/0!</v>
      </c>
      <c r="O123" s="300" t="e">
        <f t="shared" si="56"/>
        <v>#DIV/0!</v>
      </c>
      <c r="P123" s="301" t="e">
        <f t="shared" si="56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7">F130</f>
        <v>0</v>
      </c>
      <c r="H125" s="399">
        <f t="shared" si="57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120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O129" si="58">D125+D126-D127-D128</f>
        <v>0</v>
      </c>
      <c r="E129" s="140">
        <f t="shared" si="58"/>
        <v>0</v>
      </c>
      <c r="F129" s="140">
        <f t="shared" si="58"/>
        <v>0</v>
      </c>
      <c r="G129" s="140">
        <f t="shared" si="58"/>
        <v>0</v>
      </c>
      <c r="H129" s="140">
        <f t="shared" si="58"/>
        <v>0</v>
      </c>
      <c r="I129" s="140">
        <f t="shared" si="58"/>
        <v>0</v>
      </c>
      <c r="J129" s="140">
        <f t="shared" si="58"/>
        <v>0</v>
      </c>
      <c r="K129" s="140">
        <f t="shared" si="58"/>
        <v>0</v>
      </c>
      <c r="L129" s="140">
        <f t="shared" si="58"/>
        <v>0</v>
      </c>
      <c r="M129" s="140">
        <f t="shared" si="58"/>
        <v>0</v>
      </c>
      <c r="N129" s="140">
        <f t="shared" si="58"/>
        <v>0</v>
      </c>
      <c r="O129" s="140">
        <f t="shared" si="58"/>
        <v>0</v>
      </c>
      <c r="P129" s="16">
        <f>P125+P126-P127-P128</f>
        <v>0</v>
      </c>
    </row>
    <row r="130" spans="1:18" ht="15.6" customHeight="1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9">E134</f>
        <v>0</v>
      </c>
      <c r="G130" s="399">
        <f t="shared" si="59"/>
        <v>0</v>
      </c>
      <c r="H130" s="399">
        <f t="shared" si="59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O134" si="60">D130+D131-D132-D133</f>
        <v>0</v>
      </c>
      <c r="E134" s="140">
        <f t="shared" si="60"/>
        <v>0</v>
      </c>
      <c r="F134" s="140">
        <f t="shared" si="60"/>
        <v>0</v>
      </c>
      <c r="G134" s="140">
        <f t="shared" si="60"/>
        <v>0</v>
      </c>
      <c r="H134" s="140">
        <f t="shared" si="60"/>
        <v>0</v>
      </c>
      <c r="I134" s="140">
        <f t="shared" si="60"/>
        <v>0</v>
      </c>
      <c r="J134" s="140">
        <f t="shared" si="60"/>
        <v>0</v>
      </c>
      <c r="K134" s="140">
        <f t="shared" si="60"/>
        <v>0</v>
      </c>
      <c r="L134" s="140">
        <f t="shared" si="60"/>
        <v>0</v>
      </c>
      <c r="M134" s="140">
        <f t="shared" si="60"/>
        <v>0</v>
      </c>
      <c r="N134" s="140">
        <f t="shared" si="60"/>
        <v>0</v>
      </c>
      <c r="O134" s="140">
        <f t="shared" si="60"/>
        <v>0</v>
      </c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61">F139</f>
        <v>0</v>
      </c>
      <c r="H135" s="399">
        <f t="shared" si="61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O139" si="62">D135+D136-D137-D138</f>
        <v>0</v>
      </c>
      <c r="E139" s="140">
        <f t="shared" si="62"/>
        <v>0</v>
      </c>
      <c r="F139" s="140">
        <f t="shared" si="62"/>
        <v>0</v>
      </c>
      <c r="G139" s="140">
        <f t="shared" si="62"/>
        <v>0</v>
      </c>
      <c r="H139" s="140">
        <f t="shared" si="62"/>
        <v>0</v>
      </c>
      <c r="I139" s="140">
        <f t="shared" si="62"/>
        <v>0</v>
      </c>
      <c r="J139" s="140">
        <f t="shared" si="62"/>
        <v>0</v>
      </c>
      <c r="K139" s="140">
        <f t="shared" si="62"/>
        <v>0</v>
      </c>
      <c r="L139" s="140">
        <f t="shared" si="62"/>
        <v>0</v>
      </c>
      <c r="M139" s="140">
        <f t="shared" si="62"/>
        <v>0</v>
      </c>
      <c r="N139" s="140">
        <f t="shared" si="62"/>
        <v>0</v>
      </c>
      <c r="O139" s="140">
        <f t="shared" si="62"/>
        <v>0</v>
      </c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399"/>
      <c r="E140" s="399"/>
      <c r="F140" s="120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75" x14ac:dyDescent="0.25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O144" si="63">D140+D141-D142-D143</f>
        <v>0</v>
      </c>
      <c r="E144" s="140">
        <f t="shared" si="63"/>
        <v>0</v>
      </c>
      <c r="F144" s="140">
        <f t="shared" si="63"/>
        <v>0</v>
      </c>
      <c r="G144" s="140">
        <f t="shared" si="63"/>
        <v>0</v>
      </c>
      <c r="H144" s="140">
        <f t="shared" si="63"/>
        <v>0</v>
      </c>
      <c r="I144" s="140">
        <f t="shared" si="63"/>
        <v>0</v>
      </c>
      <c r="J144" s="140">
        <f t="shared" si="63"/>
        <v>0</v>
      </c>
      <c r="K144" s="140">
        <f t="shared" si="63"/>
        <v>0</v>
      </c>
      <c r="L144" s="140">
        <f t="shared" si="63"/>
        <v>0</v>
      </c>
      <c r="M144" s="140">
        <f t="shared" si="63"/>
        <v>0</v>
      </c>
      <c r="N144" s="140">
        <f t="shared" si="63"/>
        <v>0</v>
      </c>
      <c r="O144" s="140">
        <f t="shared" si="63"/>
        <v>0</v>
      </c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64">D125+D130+D135+D140</f>
        <v>0</v>
      </c>
      <c r="E145" s="141">
        <f t="shared" si="64"/>
        <v>0</v>
      </c>
      <c r="F145" s="141">
        <f t="shared" si="64"/>
        <v>0</v>
      </c>
      <c r="G145" s="141">
        <f t="shared" si="64"/>
        <v>0</v>
      </c>
      <c r="H145" s="141">
        <f t="shared" si="64"/>
        <v>0</v>
      </c>
      <c r="I145" s="141">
        <f t="shared" si="64"/>
        <v>0</v>
      </c>
      <c r="J145" s="141">
        <f t="shared" si="64"/>
        <v>0</v>
      </c>
      <c r="K145" s="141">
        <f t="shared" si="64"/>
        <v>0</v>
      </c>
      <c r="L145" s="141">
        <f t="shared" si="64"/>
        <v>0</v>
      </c>
      <c r="M145" s="141">
        <f t="shared" si="64"/>
        <v>0</v>
      </c>
      <c r="N145" s="141">
        <f t="shared" si="64"/>
        <v>0</v>
      </c>
      <c r="O145" s="141">
        <f t="shared" si="64"/>
        <v>0</v>
      </c>
      <c r="P145" s="99">
        <f t="shared" si="64"/>
        <v>0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64"/>
        <v>0</v>
      </c>
      <c r="E146" s="141">
        <f t="shared" si="64"/>
        <v>0</v>
      </c>
      <c r="F146" s="141">
        <f t="shared" si="64"/>
        <v>0</v>
      </c>
      <c r="G146" s="141">
        <f t="shared" si="64"/>
        <v>0</v>
      </c>
      <c r="H146" s="141">
        <f t="shared" si="64"/>
        <v>0</v>
      </c>
      <c r="I146" s="141">
        <f t="shared" si="64"/>
        <v>0</v>
      </c>
      <c r="J146" s="141">
        <f t="shared" si="64"/>
        <v>0</v>
      </c>
      <c r="K146" s="141">
        <f t="shared" si="64"/>
        <v>0</v>
      </c>
      <c r="L146" s="141">
        <f t="shared" si="64"/>
        <v>0</v>
      </c>
      <c r="M146" s="141">
        <f t="shared" si="64"/>
        <v>0</v>
      </c>
      <c r="N146" s="141">
        <f t="shared" si="64"/>
        <v>0</v>
      </c>
      <c r="O146" s="141">
        <f t="shared" si="64"/>
        <v>0</v>
      </c>
      <c r="P146" s="99">
        <f t="shared" si="64"/>
        <v>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64"/>
        <v>0</v>
      </c>
      <c r="E147" s="141">
        <f t="shared" si="64"/>
        <v>0</v>
      </c>
      <c r="F147" s="141">
        <f t="shared" si="64"/>
        <v>0</v>
      </c>
      <c r="G147" s="141">
        <f t="shared" si="64"/>
        <v>0</v>
      </c>
      <c r="H147" s="141">
        <f t="shared" si="64"/>
        <v>0</v>
      </c>
      <c r="I147" s="141">
        <f t="shared" si="64"/>
        <v>0</v>
      </c>
      <c r="J147" s="141">
        <f t="shared" si="64"/>
        <v>0</v>
      </c>
      <c r="K147" s="141">
        <f t="shared" si="64"/>
        <v>0</v>
      </c>
      <c r="L147" s="141">
        <f t="shared" si="64"/>
        <v>0</v>
      </c>
      <c r="M147" s="141">
        <f t="shared" si="64"/>
        <v>0</v>
      </c>
      <c r="N147" s="141">
        <f t="shared" si="64"/>
        <v>0</v>
      </c>
      <c r="O147" s="141">
        <f t="shared" si="64"/>
        <v>0</v>
      </c>
      <c r="P147" s="99">
        <f t="shared" si="64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64"/>
        <v>0</v>
      </c>
      <c r="E148" s="141">
        <f t="shared" si="64"/>
        <v>0</v>
      </c>
      <c r="F148" s="141">
        <f t="shared" si="64"/>
        <v>0</v>
      </c>
      <c r="G148" s="141">
        <f t="shared" si="64"/>
        <v>0</v>
      </c>
      <c r="H148" s="141">
        <f t="shared" si="64"/>
        <v>0</v>
      </c>
      <c r="I148" s="141">
        <f t="shared" si="64"/>
        <v>0</v>
      </c>
      <c r="J148" s="141">
        <f t="shared" si="64"/>
        <v>0</v>
      </c>
      <c r="K148" s="141">
        <f t="shared" si="64"/>
        <v>0</v>
      </c>
      <c r="L148" s="141">
        <f t="shared" si="64"/>
        <v>0</v>
      </c>
      <c r="M148" s="141">
        <f t="shared" si="64"/>
        <v>0</v>
      </c>
      <c r="N148" s="141">
        <f t="shared" si="64"/>
        <v>0</v>
      </c>
      <c r="O148" s="141">
        <f t="shared" si="64"/>
        <v>0</v>
      </c>
      <c r="P148" s="99">
        <f t="shared" si="64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65">D145+D146-D147-D148</f>
        <v>0</v>
      </c>
      <c r="E149" s="140">
        <f t="shared" si="65"/>
        <v>0</v>
      </c>
      <c r="F149" s="140">
        <f t="shared" si="65"/>
        <v>0</v>
      </c>
      <c r="G149" s="140">
        <f t="shared" si="65"/>
        <v>0</v>
      </c>
      <c r="H149" s="140">
        <f t="shared" si="65"/>
        <v>0</v>
      </c>
      <c r="I149" s="140">
        <f t="shared" si="65"/>
        <v>0</v>
      </c>
      <c r="J149" s="140">
        <f t="shared" si="65"/>
        <v>0</v>
      </c>
      <c r="K149" s="140">
        <f t="shared" si="65"/>
        <v>0</v>
      </c>
      <c r="L149" s="140">
        <f t="shared" si="65"/>
        <v>0</v>
      </c>
      <c r="M149" s="140">
        <f t="shared" si="65"/>
        <v>0</v>
      </c>
      <c r="N149" s="140">
        <f t="shared" si="65"/>
        <v>0</v>
      </c>
      <c r="O149" s="140">
        <f t="shared" si="65"/>
        <v>0</v>
      </c>
      <c r="P149" s="99">
        <f t="shared" si="64"/>
        <v>0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>
        <v>3</v>
      </c>
      <c r="E153" s="120">
        <v>1</v>
      </c>
      <c r="F153" s="120">
        <v>2</v>
      </c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66">SUM(D153:O153)</f>
        <v>6</v>
      </c>
    </row>
    <row r="154" spans="1:16" ht="15.75" x14ac:dyDescent="0.25">
      <c r="A154" s="357"/>
      <c r="B154" s="18" t="s">
        <v>72</v>
      </c>
      <c r="C154" s="4" t="s">
        <v>57</v>
      </c>
      <c r="D154" s="120">
        <v>2</v>
      </c>
      <c r="E154" s="120">
        <v>3</v>
      </c>
      <c r="F154" s="120">
        <v>2</v>
      </c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66"/>
        <v>7</v>
      </c>
    </row>
    <row r="155" spans="1:16" ht="15.75" x14ac:dyDescent="0.25">
      <c r="A155" s="357"/>
      <c r="B155" s="18" t="s">
        <v>53</v>
      </c>
      <c r="C155" s="4" t="s">
        <v>57</v>
      </c>
      <c r="D155" s="120">
        <v>3</v>
      </c>
      <c r="E155" s="120">
        <v>4</v>
      </c>
      <c r="F155" s="120">
        <v>1</v>
      </c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66"/>
        <v>8</v>
      </c>
    </row>
    <row r="156" spans="1:16" ht="15.75" x14ac:dyDescent="0.25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66"/>
        <v>0</v>
      </c>
    </row>
    <row r="157" spans="1:16" ht="15.75" x14ac:dyDescent="0.25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66"/>
        <v>0</v>
      </c>
    </row>
    <row r="158" spans="1:16" ht="15.75" x14ac:dyDescent="0.25">
      <c r="A158" s="357"/>
      <c r="B158" s="18" t="s">
        <v>51</v>
      </c>
      <c r="C158" s="4" t="s">
        <v>57</v>
      </c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66"/>
        <v>0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66"/>
        <v>0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66"/>
        <v>0</v>
      </c>
    </row>
    <row r="161" spans="1:16" ht="15.75" x14ac:dyDescent="0.25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66"/>
        <v>0</v>
      </c>
    </row>
    <row r="162" spans="1:16" ht="15.75" x14ac:dyDescent="0.25">
      <c r="A162" s="357"/>
      <c r="B162" s="18" t="s">
        <v>77</v>
      </c>
      <c r="C162" s="4" t="s">
        <v>57</v>
      </c>
      <c r="D162" s="120">
        <v>1</v>
      </c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6"/>
        <v>1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6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6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6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120"/>
      <c r="O167" s="279"/>
      <c r="P167" s="16">
        <f t="shared" ref="P167:P175" si="67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67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7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7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7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7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7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7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7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8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8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8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8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8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8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9</v>
      </c>
      <c r="E193" s="141">
        <f t="shared" ref="E193:P193" si="69">SUM(E153:E192)</f>
        <v>8</v>
      </c>
      <c r="F193" s="141">
        <f>SUM(F153:F192)</f>
        <v>5</v>
      </c>
      <c r="G193" s="141">
        <f t="shared" si="69"/>
        <v>0</v>
      </c>
      <c r="H193" s="141">
        <f t="shared" si="69"/>
        <v>0</v>
      </c>
      <c r="I193" s="141">
        <f t="shared" si="69"/>
        <v>0</v>
      </c>
      <c r="J193" s="141">
        <f t="shared" si="69"/>
        <v>0</v>
      </c>
      <c r="K193" s="141">
        <f t="shared" si="69"/>
        <v>0</v>
      </c>
      <c r="L193" s="141">
        <f t="shared" si="69"/>
        <v>0</v>
      </c>
      <c r="M193" s="141">
        <f t="shared" si="69"/>
        <v>0</v>
      </c>
      <c r="N193" s="141">
        <f t="shared" si="69"/>
        <v>0</v>
      </c>
      <c r="O193" s="141">
        <f t="shared" si="69"/>
        <v>0</v>
      </c>
      <c r="P193" s="92">
        <f t="shared" si="69"/>
        <v>22</v>
      </c>
    </row>
    <row r="194" spans="1:16" ht="15.75" x14ac:dyDescent="0.25">
      <c r="A194" s="335" t="s">
        <v>58</v>
      </c>
      <c r="B194" s="359"/>
      <c r="C194" s="4" t="s">
        <v>57</v>
      </c>
      <c r="D194" s="120">
        <v>4</v>
      </c>
      <c r="E194" s="120">
        <v>7</v>
      </c>
      <c r="F194" s="120">
        <v>22</v>
      </c>
      <c r="G194" s="120"/>
      <c r="H194" s="120"/>
      <c r="I194" s="120"/>
      <c r="J194" s="120"/>
      <c r="K194" s="120"/>
      <c r="L194" s="120"/>
      <c r="M194" s="120"/>
      <c r="N194" s="120"/>
      <c r="O194" s="120"/>
      <c r="P194" s="8">
        <f>SUM(D194:O194)</f>
        <v>33</v>
      </c>
    </row>
    <row r="195" spans="1:16" ht="15.75" x14ac:dyDescent="0.25">
      <c r="A195" s="337"/>
      <c r="B195" s="360"/>
      <c r="C195" s="14" t="s">
        <v>55</v>
      </c>
      <c r="D195" s="120">
        <v>28</v>
      </c>
      <c r="E195" s="120">
        <v>3</v>
      </c>
      <c r="F195" s="120">
        <v>12</v>
      </c>
      <c r="G195" s="120"/>
      <c r="H195" s="120"/>
      <c r="I195" s="120"/>
      <c r="J195" s="120"/>
      <c r="K195" s="120"/>
      <c r="L195" s="120"/>
      <c r="M195" s="120"/>
      <c r="N195" s="120"/>
      <c r="O195" s="120"/>
      <c r="P195" s="8">
        <f>SUM(D195:O195)</f>
        <v>43</v>
      </c>
    </row>
    <row r="196" spans="1:16" ht="15.75" x14ac:dyDescent="0.25">
      <c r="A196" s="310" t="s">
        <v>204</v>
      </c>
      <c r="B196" s="311"/>
      <c r="C196" s="14" t="s">
        <v>55</v>
      </c>
      <c r="D196" s="120">
        <v>24</v>
      </c>
      <c r="E196" s="120">
        <v>24</v>
      </c>
      <c r="F196" s="120">
        <v>24</v>
      </c>
      <c r="G196" s="120"/>
      <c r="H196" s="120"/>
      <c r="I196" s="120"/>
      <c r="J196" s="120"/>
      <c r="K196" s="120"/>
      <c r="L196" s="120"/>
      <c r="M196" s="120"/>
      <c r="N196" s="120"/>
      <c r="O196" s="120"/>
      <c r="P196" s="8">
        <f>SUM(D196:O196)/12</f>
        <v>6</v>
      </c>
    </row>
    <row r="197" spans="1:16" ht="15.75" x14ac:dyDescent="0.25">
      <c r="A197" s="331" t="s">
        <v>56</v>
      </c>
      <c r="B197" s="332"/>
      <c r="C197" s="14" t="s">
        <v>55</v>
      </c>
      <c r="D197" s="120">
        <v>4</v>
      </c>
      <c r="E197" s="120">
        <v>8</v>
      </c>
      <c r="F197" s="120">
        <v>26</v>
      </c>
      <c r="G197" s="120"/>
      <c r="H197" s="120"/>
      <c r="I197" s="120"/>
      <c r="J197" s="120"/>
      <c r="K197" s="120"/>
      <c r="L197" s="120"/>
      <c r="M197" s="120"/>
      <c r="N197" s="120"/>
      <c r="O197" s="120"/>
      <c r="P197" s="8">
        <f>SUM(D197:O197)</f>
        <v>38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70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70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70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70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70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71">SUM(D199:D203)</f>
        <v>0</v>
      </c>
      <c r="E204" s="13">
        <f t="shared" si="71"/>
        <v>0</v>
      </c>
      <c r="F204" s="13">
        <f t="shared" si="71"/>
        <v>0</v>
      </c>
      <c r="G204" s="13">
        <f t="shared" ref="G204:O204" si="72">SUM(G199:G203)</f>
        <v>0</v>
      </c>
      <c r="H204" s="13">
        <f t="shared" si="72"/>
        <v>0</v>
      </c>
      <c r="I204" s="275">
        <f t="shared" si="72"/>
        <v>0</v>
      </c>
      <c r="J204" s="275">
        <f t="shared" si="72"/>
        <v>0</v>
      </c>
      <c r="K204" s="275">
        <f t="shared" si="72"/>
        <v>0</v>
      </c>
      <c r="L204" s="275">
        <f t="shared" si="72"/>
        <v>0</v>
      </c>
      <c r="M204" s="275">
        <f t="shared" si="72"/>
        <v>0</v>
      </c>
      <c r="N204" s="275">
        <f t="shared" si="72"/>
        <v>0</v>
      </c>
      <c r="O204" s="275">
        <f t="shared" si="72"/>
        <v>0</v>
      </c>
      <c r="P204" s="100">
        <f t="shared" si="70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442640</v>
      </c>
      <c r="E206" s="11">
        <v>608869.85</v>
      </c>
      <c r="F206" s="11">
        <v>404650</v>
      </c>
      <c r="G206" s="11"/>
      <c r="H206" s="396"/>
      <c r="I206" s="396"/>
      <c r="J206" s="396"/>
      <c r="K206" s="396"/>
      <c r="L206" s="11"/>
      <c r="M206" s="11"/>
      <c r="N206" s="404"/>
      <c r="O206" s="404"/>
      <c r="P206" s="408">
        <f>SUM(D206:O206)</f>
        <v>1456159.85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73">SUM(D206:D209)</f>
        <v>442640</v>
      </c>
      <c r="E210" s="309">
        <f t="shared" si="73"/>
        <v>608869.85</v>
      </c>
      <c r="F210" s="309">
        <f t="shared" si="73"/>
        <v>404650</v>
      </c>
      <c r="G210" s="309">
        <f t="shared" si="73"/>
        <v>0</v>
      </c>
      <c r="H210" s="309">
        <f t="shared" si="73"/>
        <v>0</v>
      </c>
      <c r="I210" s="309">
        <f t="shared" si="73"/>
        <v>0</v>
      </c>
      <c r="J210" s="309">
        <f t="shared" si="73"/>
        <v>0</v>
      </c>
      <c r="K210" s="309">
        <f t="shared" si="73"/>
        <v>0</v>
      </c>
      <c r="L210" s="309">
        <f t="shared" si="73"/>
        <v>0</v>
      </c>
      <c r="M210" s="309">
        <f t="shared" si="73"/>
        <v>0</v>
      </c>
      <c r="N210" s="309">
        <f t="shared" si="73"/>
        <v>0</v>
      </c>
      <c r="O210" s="309">
        <f t="shared" si="73"/>
        <v>0</v>
      </c>
      <c r="P210" s="8">
        <f>SUM(D210:O210)</f>
        <v>1456159.85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2813530</v>
      </c>
      <c r="E212" s="11">
        <v>2386000</v>
      </c>
      <c r="F212" s="11">
        <v>2078025</v>
      </c>
      <c r="G212" s="11"/>
      <c r="H212" s="11"/>
      <c r="I212" s="11"/>
      <c r="J212" s="11"/>
      <c r="K212" s="11"/>
      <c r="L212" s="11"/>
      <c r="M212" s="396"/>
      <c r="N212" s="11"/>
      <c r="O212" s="11"/>
      <c r="P212" s="8">
        <f>SUM(D212:O212)</f>
        <v>7277555</v>
      </c>
    </row>
    <row r="213" spans="1:16" ht="15.75" x14ac:dyDescent="0.25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396"/>
      <c r="N213" s="11"/>
      <c r="O213" s="11"/>
      <c r="P213" s="8">
        <f>SUM(D213:O213)</f>
        <v>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4038000</v>
      </c>
      <c r="E214" s="11">
        <v>7711000</v>
      </c>
      <c r="F214" s="11">
        <v>535000</v>
      </c>
      <c r="G214" s="11"/>
      <c r="H214" s="11"/>
      <c r="I214" s="11"/>
      <c r="J214" s="11"/>
      <c r="K214" s="11"/>
      <c r="L214" s="11"/>
      <c r="M214" s="396"/>
      <c r="N214" s="11"/>
      <c r="O214" s="11"/>
      <c r="P214" s="8">
        <f>SUM(D214:O214)</f>
        <v>12284000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39994500</v>
      </c>
      <c r="E215" s="11">
        <v>41567959.100000001</v>
      </c>
      <c r="F215" s="11">
        <v>40076000</v>
      </c>
      <c r="G215" s="11"/>
      <c r="H215" s="11"/>
      <c r="I215" s="11"/>
      <c r="J215" s="11"/>
      <c r="K215" s="11"/>
      <c r="L215" s="11"/>
      <c r="M215" s="396"/>
      <c r="N215" s="11"/>
      <c r="O215" s="11"/>
      <c r="P215" s="8">
        <f>SUM(D215:O215)</f>
        <v>121638459.09999999</v>
      </c>
    </row>
    <row r="216" spans="1:16" ht="15.75" x14ac:dyDescent="0.25">
      <c r="A216" s="333" t="s">
        <v>39</v>
      </c>
      <c r="B216" s="334"/>
      <c r="C216" s="4" t="s">
        <v>31</v>
      </c>
      <c r="D216" s="309">
        <v>46846030</v>
      </c>
      <c r="E216" s="309">
        <v>51664959.100000001</v>
      </c>
      <c r="F216" s="309">
        <f t="shared" ref="F216:O216" si="74">SUM(F212:F215)</f>
        <v>42689025</v>
      </c>
      <c r="G216" s="309">
        <f t="shared" si="74"/>
        <v>0</v>
      </c>
      <c r="H216" s="309">
        <f t="shared" si="74"/>
        <v>0</v>
      </c>
      <c r="I216" s="309">
        <f t="shared" si="74"/>
        <v>0</v>
      </c>
      <c r="J216" s="309">
        <f t="shared" si="74"/>
        <v>0</v>
      </c>
      <c r="K216" s="309">
        <f t="shared" si="74"/>
        <v>0</v>
      </c>
      <c r="L216" s="309">
        <f t="shared" si="74"/>
        <v>0</v>
      </c>
      <c r="M216" s="309">
        <f t="shared" si="74"/>
        <v>0</v>
      </c>
      <c r="N216" s="309">
        <f t="shared" si="74"/>
        <v>0</v>
      </c>
      <c r="O216" s="309">
        <f t="shared" si="74"/>
        <v>0</v>
      </c>
      <c r="P216" s="8">
        <f>SUM(D216:O216)</f>
        <v>141200014.09999999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47288670</v>
      </c>
      <c r="E217" s="309">
        <f t="shared" ref="E217:P217" si="75">E210+E216</f>
        <v>52273828.950000003</v>
      </c>
      <c r="F217" s="309">
        <f t="shared" si="75"/>
        <v>43093675</v>
      </c>
      <c r="G217" s="309">
        <f t="shared" si="75"/>
        <v>0</v>
      </c>
      <c r="H217" s="309">
        <f t="shared" si="75"/>
        <v>0</v>
      </c>
      <c r="I217" s="309">
        <f t="shared" si="75"/>
        <v>0</v>
      </c>
      <c r="J217" s="309">
        <f t="shared" si="75"/>
        <v>0</v>
      </c>
      <c r="K217" s="309">
        <f t="shared" si="75"/>
        <v>0</v>
      </c>
      <c r="L217" s="309">
        <f t="shared" si="75"/>
        <v>0</v>
      </c>
      <c r="M217" s="309">
        <f t="shared" si="75"/>
        <v>0</v>
      </c>
      <c r="N217" s="309">
        <f t="shared" si="75"/>
        <v>0</v>
      </c>
      <c r="O217" s="309">
        <f t="shared" si="75"/>
        <v>0</v>
      </c>
      <c r="P217" s="280">
        <f t="shared" si="75"/>
        <v>142656173.94999999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277">
        <v>678525.48</v>
      </c>
      <c r="E219" s="277">
        <v>673826.5</v>
      </c>
      <c r="F219" s="11">
        <v>848986.4</v>
      </c>
      <c r="G219" s="277"/>
      <c r="H219" s="277"/>
      <c r="I219" s="277"/>
      <c r="J219" s="277"/>
      <c r="K219" s="11"/>
      <c r="L219" s="11"/>
      <c r="M219" s="11"/>
      <c r="N219" s="277"/>
      <c r="O219" s="277"/>
      <c r="P219" s="8">
        <f>SUM(D219:O219)</f>
        <v>2201338.38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>
        <v>33219.449999999997</v>
      </c>
      <c r="E221" s="11">
        <v>35881.61</v>
      </c>
      <c r="F221" s="11">
        <v>155188.93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224289.99</v>
      </c>
    </row>
    <row r="222" spans="1:16" ht="15.75" x14ac:dyDescent="0.25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711744.92999999993</v>
      </c>
      <c r="E223" s="396">
        <f t="shared" ref="E223" si="76">SUM(E219:E222)</f>
        <v>709708.11</v>
      </c>
      <c r="F223" s="396">
        <f>SUM(F219:F222)</f>
        <v>1004175.3300000001</v>
      </c>
      <c r="G223" s="309">
        <f>SUM(G219:G222)</f>
        <v>0</v>
      </c>
      <c r="H223" s="309">
        <f t="shared" ref="H223:O223" si="77">SUM(H219:H222)</f>
        <v>0</v>
      </c>
      <c r="I223" s="309">
        <f t="shared" si="77"/>
        <v>0</v>
      </c>
      <c r="J223" s="315">
        <f t="shared" si="77"/>
        <v>0</v>
      </c>
      <c r="K223" s="315">
        <f t="shared" si="77"/>
        <v>0</v>
      </c>
      <c r="L223" s="315">
        <f t="shared" si="77"/>
        <v>0</v>
      </c>
      <c r="M223" s="315">
        <f t="shared" si="77"/>
        <v>0</v>
      </c>
      <c r="N223" s="315">
        <f t="shared" si="77"/>
        <v>0</v>
      </c>
      <c r="O223" s="315">
        <f t="shared" si="77"/>
        <v>0</v>
      </c>
      <c r="P223" s="8">
        <f>SUM(D223:O223)</f>
        <v>2425628.37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8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8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8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8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46735287.450000003</v>
      </c>
      <c r="E229" s="396">
        <v>51471684.649999999</v>
      </c>
      <c r="F229" s="11">
        <v>40835350.590000004</v>
      </c>
      <c r="G229" s="11"/>
      <c r="H229" s="10"/>
      <c r="I229" s="10"/>
      <c r="J229" s="10"/>
      <c r="K229" s="432"/>
      <c r="L229" s="432"/>
      <c r="M229" s="432"/>
      <c r="N229" s="427"/>
      <c r="O229" s="10"/>
      <c r="P229" s="8">
        <f t="shared" si="78"/>
        <v>139042322.69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47447032.380000003</v>
      </c>
      <c r="E230" s="314">
        <f t="shared" ref="E230:O230" si="79">E223+E229</f>
        <v>52181392.759999998</v>
      </c>
      <c r="F230" s="314">
        <f t="shared" si="79"/>
        <v>41839525.920000002</v>
      </c>
      <c r="G230" s="314">
        <f t="shared" si="79"/>
        <v>0</v>
      </c>
      <c r="H230" s="314">
        <f t="shared" si="79"/>
        <v>0</v>
      </c>
      <c r="I230" s="314">
        <f t="shared" si="79"/>
        <v>0</v>
      </c>
      <c r="J230" s="314">
        <f t="shared" si="79"/>
        <v>0</v>
      </c>
      <c r="K230" s="314">
        <f t="shared" si="79"/>
        <v>0</v>
      </c>
      <c r="L230" s="314">
        <f t="shared" si="79"/>
        <v>0</v>
      </c>
      <c r="M230" s="314">
        <f t="shared" si="79"/>
        <v>0</v>
      </c>
      <c r="N230" s="314">
        <f t="shared" si="79"/>
        <v>0</v>
      </c>
      <c r="O230" s="314">
        <f t="shared" si="79"/>
        <v>0</v>
      </c>
      <c r="P230" s="8">
        <f t="shared" si="78"/>
        <v>141467951.06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33785.660000000003</v>
      </c>
      <c r="E232" s="11">
        <v>31605.94</v>
      </c>
      <c r="F232" s="11">
        <v>33785.660000000003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99177.260000000009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>
        <v>10180.92</v>
      </c>
      <c r="E234" s="11">
        <v>10180.92</v>
      </c>
      <c r="F234" s="11">
        <v>13574.56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33936.400000000001</v>
      </c>
    </row>
    <row r="235" spans="1:16" ht="15.75" x14ac:dyDescent="0.25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80">SUM(D232:D235)</f>
        <v>43966.58</v>
      </c>
      <c r="E236" s="314">
        <f t="shared" si="80"/>
        <v>41786.86</v>
      </c>
      <c r="F236" s="314">
        <f t="shared" si="80"/>
        <v>47360.22</v>
      </c>
      <c r="G236" s="314">
        <f t="shared" si="80"/>
        <v>0</v>
      </c>
      <c r="H236" s="314">
        <f t="shared" si="80"/>
        <v>0</v>
      </c>
      <c r="I236" s="314">
        <f t="shared" si="80"/>
        <v>0</v>
      </c>
      <c r="J236" s="314">
        <f t="shared" si="80"/>
        <v>0</v>
      </c>
      <c r="K236" s="314">
        <f t="shared" si="80"/>
        <v>0</v>
      </c>
      <c r="L236" s="314">
        <f t="shared" si="80"/>
        <v>0</v>
      </c>
      <c r="M236" s="314">
        <f t="shared" si="80"/>
        <v>0</v>
      </c>
      <c r="N236" s="314">
        <f t="shared" si="80"/>
        <v>0</v>
      </c>
      <c r="O236" s="314">
        <f t="shared" si="80"/>
        <v>0</v>
      </c>
      <c r="P236" s="280">
        <f t="shared" si="80"/>
        <v>133113.66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55366</v>
      </c>
      <c r="E238" s="11">
        <v>51794</v>
      </c>
      <c r="F238" s="11">
        <v>55366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162526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>
        <v>2679</v>
      </c>
      <c r="E240" s="13">
        <v>2679</v>
      </c>
      <c r="F240" s="13">
        <v>3572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8930</v>
      </c>
    </row>
    <row r="241" spans="1:17" ht="15.75" x14ac:dyDescent="0.25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81">SUM(D238:D241)</f>
        <v>58045</v>
      </c>
      <c r="E242" s="314">
        <f t="shared" ref="E242:P242" si="82">SUM(E238:E241)</f>
        <v>54473</v>
      </c>
      <c r="F242" s="314">
        <f t="shared" si="82"/>
        <v>58938</v>
      </c>
      <c r="G242" s="314">
        <f t="shared" si="82"/>
        <v>0</v>
      </c>
      <c r="H242" s="314">
        <f t="shared" si="82"/>
        <v>0</v>
      </c>
      <c r="I242" s="309">
        <f t="shared" si="82"/>
        <v>0</v>
      </c>
      <c r="J242" s="314">
        <f t="shared" si="82"/>
        <v>0</v>
      </c>
      <c r="K242" s="314">
        <f t="shared" si="82"/>
        <v>0</v>
      </c>
      <c r="L242" s="314">
        <f t="shared" si="82"/>
        <v>0</v>
      </c>
      <c r="M242" s="314">
        <f t="shared" si="82"/>
        <v>0</v>
      </c>
      <c r="N242" s="314">
        <f t="shared" si="82"/>
        <v>0</v>
      </c>
      <c r="O242" s="314">
        <f t="shared" si="82"/>
        <v>0</v>
      </c>
      <c r="P242" s="280">
        <f t="shared" si="82"/>
        <v>171456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47549043.960000001</v>
      </c>
      <c r="E243" s="309">
        <f t="shared" ref="E243:O243" si="83">E230+E236+E242</f>
        <v>52277652.619999997</v>
      </c>
      <c r="F243" s="309">
        <f t="shared" si="83"/>
        <v>41945824.140000001</v>
      </c>
      <c r="G243" s="309">
        <f t="shared" si="83"/>
        <v>0</v>
      </c>
      <c r="H243" s="309">
        <f t="shared" si="83"/>
        <v>0</v>
      </c>
      <c r="I243" s="309">
        <f t="shared" si="83"/>
        <v>0</v>
      </c>
      <c r="J243" s="309">
        <f t="shared" si="83"/>
        <v>0</v>
      </c>
      <c r="K243" s="309">
        <f t="shared" si="83"/>
        <v>0</v>
      </c>
      <c r="L243" s="309">
        <f t="shared" si="83"/>
        <v>0</v>
      </c>
      <c r="M243" s="309">
        <f t="shared" si="83"/>
        <v>0</v>
      </c>
      <c r="N243" s="309">
        <f t="shared" si="83"/>
        <v>0</v>
      </c>
      <c r="O243" s="309">
        <f t="shared" si="83"/>
        <v>0</v>
      </c>
      <c r="P243" s="280">
        <f>P216+P223+P236+P242</f>
        <v>143930212.13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12981353.92</v>
      </c>
      <c r="E245" s="139">
        <v>12981353.92</v>
      </c>
      <c r="F245" s="139">
        <v>15784908.84</v>
      </c>
      <c r="G245" s="397"/>
      <c r="H245" s="139"/>
      <c r="I245" s="397"/>
      <c r="J245" s="139"/>
      <c r="K245" s="422"/>
      <c r="L245" s="422"/>
      <c r="M245" s="422"/>
      <c r="N245" s="139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/>
      <c r="E246" s="139"/>
      <c r="F246" s="139"/>
      <c r="G246" s="397"/>
      <c r="H246" s="139"/>
      <c r="I246" s="397"/>
      <c r="J246" s="139"/>
      <c r="K246" s="139"/>
      <c r="L246" s="422"/>
      <c r="M246" s="422"/>
      <c r="N246" s="139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12981353.92</v>
      </c>
      <c r="E247" s="129">
        <f t="shared" ref="E247:P247" si="84">E245+E246</f>
        <v>12981353.92</v>
      </c>
      <c r="F247" s="129">
        <f t="shared" si="84"/>
        <v>15784908.84</v>
      </c>
      <c r="G247" s="129">
        <f t="shared" si="84"/>
        <v>0</v>
      </c>
      <c r="H247" s="129">
        <f t="shared" si="84"/>
        <v>0</v>
      </c>
      <c r="I247" s="129">
        <f t="shared" si="84"/>
        <v>0</v>
      </c>
      <c r="J247" s="129">
        <f t="shared" si="84"/>
        <v>0</v>
      </c>
      <c r="K247" s="129">
        <f t="shared" si="84"/>
        <v>0</v>
      </c>
      <c r="L247" s="129">
        <f t="shared" si="84"/>
        <v>0</v>
      </c>
      <c r="M247" s="129">
        <f t="shared" si="84"/>
        <v>0</v>
      </c>
      <c r="N247" s="129">
        <f t="shared" si="84"/>
        <v>0</v>
      </c>
      <c r="O247" s="129">
        <f t="shared" si="84"/>
        <v>0</v>
      </c>
      <c r="P247" s="317">
        <f t="shared" si="84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47.696580900929639</v>
      </c>
      <c r="E249" s="7">
        <f t="shared" ref="E249:P249" si="85">E58/E243%</f>
        <v>44.022504639382952</v>
      </c>
      <c r="F249" s="7">
        <f t="shared" si="85"/>
        <v>42.061808777706851</v>
      </c>
      <c r="G249" s="7" t="e">
        <f t="shared" si="85"/>
        <v>#DIV/0!</v>
      </c>
      <c r="H249" s="7" t="e">
        <f t="shared" si="85"/>
        <v>#DIV/0!</v>
      </c>
      <c r="I249" s="7" t="e">
        <f t="shared" si="85"/>
        <v>#DIV/0!</v>
      </c>
      <c r="J249" s="7" t="e">
        <f t="shared" si="85"/>
        <v>#DIV/0!</v>
      </c>
      <c r="K249" s="7" t="e">
        <f t="shared" si="85"/>
        <v>#DIV/0!</v>
      </c>
      <c r="L249" s="7" t="e">
        <f t="shared" si="85"/>
        <v>#DIV/0!</v>
      </c>
      <c r="M249" s="7" t="e">
        <f t="shared" si="85"/>
        <v>#DIV/0!</v>
      </c>
      <c r="N249" s="7" t="e">
        <f t="shared" si="85"/>
        <v>#DIV/0!</v>
      </c>
      <c r="O249" s="7" t="e">
        <f>O58/O243%</f>
        <v>#DIV/0!</v>
      </c>
      <c r="P249" s="318">
        <f t="shared" si="85"/>
        <v>44.004918545380598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3.2325772628158598</v>
      </c>
      <c r="E250" s="25">
        <f t="shared" ref="E250:P250" si="86">E210/(E223+E245)%</f>
        <v>4.447206861424176</v>
      </c>
      <c r="F250" s="25">
        <f t="shared" si="86"/>
        <v>2.410196982174043</v>
      </c>
      <c r="G250" s="25" t="e">
        <f t="shared" si="86"/>
        <v>#DIV/0!</v>
      </c>
      <c r="H250" s="25" t="e">
        <f t="shared" si="86"/>
        <v>#DIV/0!</v>
      </c>
      <c r="I250" s="25" t="e">
        <f t="shared" si="86"/>
        <v>#DIV/0!</v>
      </c>
      <c r="J250" s="25" t="e">
        <f t="shared" si="86"/>
        <v>#DIV/0!</v>
      </c>
      <c r="K250" s="25" t="e">
        <f t="shared" si="86"/>
        <v>#DIV/0!</v>
      </c>
      <c r="L250" s="25" t="e">
        <f t="shared" si="86"/>
        <v>#DIV/0!</v>
      </c>
      <c r="M250" s="25" t="e">
        <f t="shared" si="86"/>
        <v>#DIV/0!</v>
      </c>
      <c r="N250" s="25" t="e">
        <f t="shared" si="86"/>
        <v>#DIV/0!</v>
      </c>
      <c r="O250" s="25" t="e">
        <f t="shared" si="86"/>
        <v>#DIV/0!</v>
      </c>
      <c r="P250" s="301">
        <f t="shared" si="86"/>
        <v>60.032273204324376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62.190818837304548</v>
      </c>
      <c r="E251" s="6">
        <f t="shared" ref="E251:P251" si="87">E210/E223%</f>
        <v>85.791586910286256</v>
      </c>
      <c r="F251" s="6">
        <f t="shared" si="87"/>
        <v>40.296747780091351</v>
      </c>
      <c r="G251" s="6" t="e">
        <f t="shared" si="87"/>
        <v>#DIV/0!</v>
      </c>
      <c r="H251" s="6" t="e">
        <f t="shared" si="87"/>
        <v>#DIV/0!</v>
      </c>
      <c r="I251" s="6" t="e">
        <f t="shared" si="87"/>
        <v>#DIV/0!</v>
      </c>
      <c r="J251" s="6" t="e">
        <f t="shared" si="87"/>
        <v>#DIV/0!</v>
      </c>
      <c r="K251" s="6" t="e">
        <f t="shared" si="87"/>
        <v>#DIV/0!</v>
      </c>
      <c r="L251" s="6" t="e">
        <f t="shared" si="87"/>
        <v>#DIV/0!</v>
      </c>
      <c r="M251" s="6" t="e">
        <f t="shared" si="87"/>
        <v>#DIV/0!</v>
      </c>
      <c r="N251" s="6" t="e">
        <f t="shared" si="87"/>
        <v>#DIV/0!</v>
      </c>
      <c r="O251" s="6" t="e">
        <f t="shared" si="87"/>
        <v>#DIV/0!</v>
      </c>
      <c r="P251" s="319">
        <f t="shared" si="87"/>
        <v>60.032273204324376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4</v>
      </c>
      <c r="E253" s="3">
        <v>5</v>
      </c>
      <c r="F253" s="3">
        <f>F91</f>
        <v>8</v>
      </c>
      <c r="G253" s="3">
        <f t="shared" ref="G253:O253" si="88">G91</f>
        <v>0</v>
      </c>
      <c r="H253" s="3">
        <f t="shared" si="88"/>
        <v>0</v>
      </c>
      <c r="I253" s="3">
        <f t="shared" si="88"/>
        <v>0</v>
      </c>
      <c r="J253" s="3">
        <f t="shared" si="88"/>
        <v>0</v>
      </c>
      <c r="K253" s="3">
        <f t="shared" si="88"/>
        <v>0</v>
      </c>
      <c r="L253" s="3">
        <f t="shared" si="88"/>
        <v>0</v>
      </c>
      <c r="M253" s="3">
        <f t="shared" si="88"/>
        <v>0</v>
      </c>
      <c r="N253" s="3">
        <f t="shared" si="88"/>
        <v>0</v>
      </c>
      <c r="O253" s="3">
        <f t="shared" si="88"/>
        <v>0</v>
      </c>
      <c r="P253" s="320">
        <f>SUM(D253:O253)</f>
        <v>17</v>
      </c>
    </row>
    <row r="254" spans="1:17" ht="15.6" customHeight="1" x14ac:dyDescent="0.25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/>
      <c r="H254" s="3"/>
      <c r="I254" s="3"/>
      <c r="J254" s="3"/>
      <c r="K254" s="3"/>
      <c r="L254" s="3"/>
      <c r="M254" s="417"/>
      <c r="N254" s="3"/>
      <c r="O254" s="3"/>
      <c r="P254" s="320">
        <f>SUM(D254:O254)</f>
        <v>3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v>1</v>
      </c>
      <c r="E255" s="409">
        <f t="shared" ref="E255:N255" si="89">E95</f>
        <v>4</v>
      </c>
      <c r="F255" s="409">
        <f>F95</f>
        <v>3</v>
      </c>
      <c r="G255" s="409"/>
      <c r="H255" s="409">
        <f t="shared" si="89"/>
        <v>3</v>
      </c>
      <c r="I255" s="409">
        <f t="shared" si="89"/>
        <v>3</v>
      </c>
      <c r="J255" s="409">
        <f t="shared" si="89"/>
        <v>3</v>
      </c>
      <c r="K255" s="409">
        <f t="shared" si="89"/>
        <v>3</v>
      </c>
      <c r="L255" s="409">
        <f t="shared" si="89"/>
        <v>3</v>
      </c>
      <c r="M255" s="409">
        <f t="shared" si="89"/>
        <v>3</v>
      </c>
      <c r="N255" s="409">
        <f t="shared" si="89"/>
        <v>3</v>
      </c>
      <c r="O255" s="409"/>
      <c r="P255" s="410">
        <f>SUM(D255:O255)</f>
        <v>29</v>
      </c>
    </row>
    <row r="256" spans="1:17" ht="15.75" x14ac:dyDescent="0.25">
      <c r="A256" s="331" t="s">
        <v>10</v>
      </c>
      <c r="B256" s="332"/>
      <c r="C256" s="4" t="s">
        <v>3</v>
      </c>
      <c r="D256" s="3">
        <v>1</v>
      </c>
      <c r="E256" s="3">
        <f t="shared" ref="E256:N256" si="90">E91</f>
        <v>5</v>
      </c>
      <c r="F256" s="3">
        <f>F91</f>
        <v>8</v>
      </c>
      <c r="G256" s="3"/>
      <c r="H256" s="3">
        <f t="shared" si="90"/>
        <v>0</v>
      </c>
      <c r="I256" s="3">
        <f t="shared" si="90"/>
        <v>0</v>
      </c>
      <c r="J256" s="3">
        <f t="shared" si="90"/>
        <v>0</v>
      </c>
      <c r="K256" s="3">
        <f t="shared" si="90"/>
        <v>0</v>
      </c>
      <c r="L256" s="3">
        <f t="shared" si="90"/>
        <v>0</v>
      </c>
      <c r="M256" s="3">
        <f t="shared" si="90"/>
        <v>0</v>
      </c>
      <c r="N256" s="3">
        <f t="shared" si="90"/>
        <v>0</v>
      </c>
      <c r="O256" s="3"/>
      <c r="P256" s="320">
        <f>SUM(D256:O256)</f>
        <v>14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>
        <v>5</v>
      </c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15</v>
      </c>
    </row>
    <row r="258" spans="1:16" ht="15.75" x14ac:dyDescent="0.25">
      <c r="A258" s="333" t="s">
        <v>8</v>
      </c>
      <c r="B258" s="334"/>
      <c r="C258" s="4" t="s">
        <v>3</v>
      </c>
      <c r="D258" s="398">
        <f>D257/D256</f>
        <v>5</v>
      </c>
      <c r="E258" s="398">
        <f t="shared" ref="E258:P258" si="91">E257/E256</f>
        <v>1</v>
      </c>
      <c r="F258" s="398">
        <f t="shared" si="91"/>
        <v>0.625</v>
      </c>
      <c r="G258" s="398" t="e">
        <f t="shared" si="91"/>
        <v>#DIV/0!</v>
      </c>
      <c r="H258" s="398" t="e">
        <f t="shared" si="91"/>
        <v>#DIV/0!</v>
      </c>
      <c r="I258" s="398" t="e">
        <f t="shared" si="91"/>
        <v>#DIV/0!</v>
      </c>
      <c r="J258" s="398" t="e">
        <f t="shared" si="91"/>
        <v>#DIV/0!</v>
      </c>
      <c r="K258" s="398" t="e">
        <f t="shared" si="91"/>
        <v>#DIV/0!</v>
      </c>
      <c r="L258" s="398" t="e">
        <f t="shared" si="91"/>
        <v>#DIV/0!</v>
      </c>
      <c r="M258" s="398" t="e">
        <f t="shared" si="91"/>
        <v>#DIV/0!</v>
      </c>
      <c r="N258" s="398" t="e">
        <f t="shared" si="91"/>
        <v>#DIV/0!</v>
      </c>
      <c r="O258" s="398" t="e">
        <f t="shared" si="91"/>
        <v>#DIV/0!</v>
      </c>
      <c r="P258" s="320">
        <f t="shared" si="91"/>
        <v>1.0714285714285714</v>
      </c>
    </row>
    <row r="259" spans="1:16" ht="15.75" x14ac:dyDescent="0.25">
      <c r="A259" s="333" t="s">
        <v>7</v>
      </c>
      <c r="B259" s="334"/>
      <c r="C259" s="4" t="s">
        <v>6</v>
      </c>
      <c r="D259" s="1">
        <f>D92/D255*100</f>
        <v>0</v>
      </c>
      <c r="E259" s="1">
        <f t="shared" ref="E259:P259" si="92">E92/E255*100</f>
        <v>75</v>
      </c>
      <c r="F259" s="1">
        <f t="shared" si="92"/>
        <v>300</v>
      </c>
      <c r="G259" s="1" t="e">
        <f t="shared" si="92"/>
        <v>#DIV/0!</v>
      </c>
      <c r="H259" s="1">
        <f t="shared" si="92"/>
        <v>0</v>
      </c>
      <c r="I259" s="1">
        <f t="shared" si="92"/>
        <v>0</v>
      </c>
      <c r="J259" s="1">
        <f t="shared" si="92"/>
        <v>0</v>
      </c>
      <c r="K259" s="1">
        <f t="shared" si="92"/>
        <v>0</v>
      </c>
      <c r="L259" s="1">
        <f t="shared" si="92"/>
        <v>0</v>
      </c>
      <c r="M259" s="1">
        <f t="shared" si="92"/>
        <v>0</v>
      </c>
      <c r="N259" s="1">
        <f t="shared" si="92"/>
        <v>0</v>
      </c>
      <c r="O259" s="1" t="e">
        <f t="shared" si="92"/>
        <v>#DIV/0!</v>
      </c>
      <c r="P259" s="321">
        <f t="shared" si="92"/>
        <v>41.379310344827587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3</v>
      </c>
      <c r="E261" s="3">
        <v>4</v>
      </c>
      <c r="F261" s="3">
        <v>6</v>
      </c>
      <c r="G261" s="3"/>
      <c r="H261" s="3"/>
      <c r="I261" s="3"/>
      <c r="J261" s="3"/>
      <c r="K261" s="3"/>
      <c r="L261" s="3"/>
      <c r="M261" s="417"/>
      <c r="N261" s="3"/>
      <c r="O261" s="3"/>
      <c r="P261" s="280">
        <f>SUM(D261:O261)</f>
        <v>13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1</v>
      </c>
      <c r="E262" s="3">
        <v>1</v>
      </c>
      <c r="F262" s="3">
        <v>2</v>
      </c>
      <c r="G262" s="3"/>
      <c r="H262" s="3"/>
      <c r="I262" s="3"/>
      <c r="J262" s="3"/>
      <c r="K262" s="3"/>
      <c r="L262" s="3"/>
      <c r="M262" s="417"/>
      <c r="N262" s="3"/>
      <c r="O262" s="3"/>
      <c r="P262" s="280">
        <f>SUM(D262:O262)</f>
        <v>4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3</v>
      </c>
      <c r="E263" s="418">
        <f t="shared" ref="E263" si="93">E261/E262</f>
        <v>4</v>
      </c>
      <c r="F263" s="106">
        <f t="shared" ref="F263:P263" si="94">F261/F262</f>
        <v>3</v>
      </c>
      <c r="G263" s="106" t="e">
        <f t="shared" si="94"/>
        <v>#DIV/0!</v>
      </c>
      <c r="H263" s="106" t="e">
        <f t="shared" si="94"/>
        <v>#DIV/0!</v>
      </c>
      <c r="I263" s="106" t="e">
        <f t="shared" si="94"/>
        <v>#DIV/0!</v>
      </c>
      <c r="J263" s="106" t="e">
        <f t="shared" si="94"/>
        <v>#DIV/0!</v>
      </c>
      <c r="K263" s="106" t="e">
        <f t="shared" si="94"/>
        <v>#DIV/0!</v>
      </c>
      <c r="L263" s="106" t="e">
        <f t="shared" si="94"/>
        <v>#DIV/0!</v>
      </c>
      <c r="M263" s="106" t="e">
        <f t="shared" si="94"/>
        <v>#DIV/0!</v>
      </c>
      <c r="N263" s="106" t="e">
        <f t="shared" si="94"/>
        <v>#DIV/0!</v>
      </c>
      <c r="O263" s="106" t="e">
        <f t="shared" si="94"/>
        <v>#DIV/0!</v>
      </c>
      <c r="P263" s="167">
        <f t="shared" si="94"/>
        <v>3.25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263"/>
  <sheetViews>
    <sheetView zoomScale="75" zoomScaleNormal="75" workbookViewId="0">
      <pane xSplit="3" topLeftCell="D1" activePane="topRight" state="frozen"/>
      <selection pane="topRight" activeCell="F9" sqref="F9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8721</v>
      </c>
      <c r="E9" s="52">
        <v>8182</v>
      </c>
      <c r="F9" s="52">
        <v>9627</v>
      </c>
      <c r="G9" s="52"/>
      <c r="H9" s="400"/>
      <c r="I9" s="52"/>
      <c r="J9" s="52"/>
      <c r="K9" s="160"/>
      <c r="L9" s="160"/>
      <c r="M9" s="160"/>
      <c r="N9" s="255"/>
      <c r="O9" s="255"/>
      <c r="P9" s="256">
        <f>SUM(D9:O9)</f>
        <v>26530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>
        <v>2418</v>
      </c>
      <c r="E11" s="22">
        <v>2324</v>
      </c>
      <c r="F11" s="22">
        <v>2959</v>
      </c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7701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>
        <v>4</v>
      </c>
      <c r="E14" s="22">
        <v>5</v>
      </c>
      <c r="F14" s="22">
        <v>4</v>
      </c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13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2422</v>
      </c>
      <c r="E15" s="258">
        <f t="shared" si="0"/>
        <v>2329</v>
      </c>
      <c r="F15" s="258">
        <f t="shared" si="0"/>
        <v>2963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7714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3726.4999999999991</v>
      </c>
      <c r="E17" s="22">
        <v>3179</v>
      </c>
      <c r="F17" s="22">
        <v>2942</v>
      </c>
      <c r="G17" s="339"/>
      <c r="H17" s="339"/>
      <c r="I17" s="339"/>
      <c r="J17" s="339"/>
      <c r="K17" s="437"/>
      <c r="L17" s="22"/>
      <c r="M17" s="437"/>
      <c r="N17" s="339"/>
      <c r="O17" s="339"/>
      <c r="P17" s="257">
        <f>SUM(D17:O17)</f>
        <v>9847.5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40.4</v>
      </c>
      <c r="E18" s="22">
        <v>50</v>
      </c>
      <c r="F18" s="22">
        <v>50</v>
      </c>
      <c r="G18" s="339"/>
      <c r="H18" s="339"/>
      <c r="I18" s="339"/>
      <c r="J18" s="339"/>
      <c r="K18" s="437"/>
      <c r="L18" s="22"/>
      <c r="M18" s="437"/>
      <c r="N18" s="339"/>
      <c r="O18" s="339"/>
      <c r="P18" s="257">
        <f>SUM(D18:O18)</f>
        <v>140.4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157.6</v>
      </c>
      <c r="E19" s="22">
        <v>66</v>
      </c>
      <c r="F19" s="22">
        <v>744.3</v>
      </c>
      <c r="G19" s="339"/>
      <c r="H19" s="339"/>
      <c r="I19" s="339"/>
      <c r="J19" s="339"/>
      <c r="K19" s="437"/>
      <c r="L19" s="22"/>
      <c r="M19" s="437"/>
      <c r="N19" s="339"/>
      <c r="O19" s="339"/>
      <c r="P19" s="257">
        <f>SUM(D19:O19)</f>
        <v>967.9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111</v>
      </c>
      <c r="E20" s="22">
        <v>77</v>
      </c>
      <c r="F20" s="22">
        <v>159.9</v>
      </c>
      <c r="G20" s="22"/>
      <c r="H20" s="332"/>
      <c r="I20" s="332"/>
      <c r="J20" s="332"/>
      <c r="K20" s="437"/>
      <c r="L20" s="22"/>
      <c r="M20" s="437"/>
      <c r="N20" s="332"/>
      <c r="O20" s="332"/>
      <c r="P20" s="257">
        <f>SUM(D20:O20)</f>
        <v>347.9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4035.4999999999991</v>
      </c>
      <c r="E21" s="258">
        <f t="shared" ref="E21:P21" si="1">SUM(E17:E20)</f>
        <v>3372</v>
      </c>
      <c r="F21" s="258">
        <f t="shared" si="1"/>
        <v>3896.2000000000003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11303.699999999999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6457.4999999999991</v>
      </c>
      <c r="E22" s="258">
        <f t="shared" ref="E22:P22" si="2">E21+E15</f>
        <v>5701</v>
      </c>
      <c r="F22" s="258">
        <f t="shared" si="2"/>
        <v>6859.2000000000007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19017.699999999997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2263.5000000000009</v>
      </c>
      <c r="E24" s="261">
        <f t="shared" ref="E24:P24" si="3">E9-E22</f>
        <v>2481</v>
      </c>
      <c r="F24" s="261">
        <f t="shared" si="3"/>
        <v>2767.7999999999993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7512.3000000000029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0.25954592363261103</v>
      </c>
      <c r="E25" s="265">
        <f t="shared" si="4"/>
        <v>0.30322659496455634</v>
      </c>
      <c r="F25" s="265">
        <f t="shared" si="4"/>
        <v>0.28750389529448417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0.28316245759517539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8">
        <v>24</v>
      </c>
      <c r="E29" s="38">
        <v>24</v>
      </c>
      <c r="F29" s="38">
        <v>24</v>
      </c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72</v>
      </c>
    </row>
    <row r="30" spans="1:18" ht="15.75" x14ac:dyDescent="0.25">
      <c r="A30" s="187"/>
      <c r="B30" s="441"/>
      <c r="C30" s="37" t="s">
        <v>141</v>
      </c>
      <c r="D30" s="13">
        <f t="shared" ref="D30:P30" si="5">D29/(D9/1000)</f>
        <v>2.7519779841761265</v>
      </c>
      <c r="E30" s="13">
        <f t="shared" si="5"/>
        <v>2.9332681495966755</v>
      </c>
      <c r="F30" s="13">
        <f t="shared" si="5"/>
        <v>2.4929884699283265</v>
      </c>
      <c r="G30" s="275" t="e">
        <f t="shared" si="5"/>
        <v>#DIV/0!</v>
      </c>
      <c r="H30" s="275" t="e">
        <f t="shared" si="5"/>
        <v>#DIV/0!</v>
      </c>
      <c r="I30" s="275" t="e">
        <f>I29/(I9/1000)</f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2.7139087825103654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1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122680.08</v>
      </c>
      <c r="E41" s="278">
        <f t="shared" ref="E41:O41" si="10">(E29*$B29)+(E31*$B31)+(E33*$B33)+(E35*$B35)+(E37*$B37)+(E39*$B39)</f>
        <v>122680.08</v>
      </c>
      <c r="F41" s="278">
        <f t="shared" si="10"/>
        <v>122680.08</v>
      </c>
      <c r="G41" s="278">
        <f t="shared" si="10"/>
        <v>0</v>
      </c>
      <c r="H41" s="278">
        <f t="shared" si="10"/>
        <v>0</v>
      </c>
      <c r="I41" s="278">
        <f>(I29*$B29)+(I31*$B31)+(I33*$B33)+(I35*$B35)+(I37*$B37)+(I39*$B39)</f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368040.24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14.067203302373581</v>
      </c>
      <c r="E42" s="275">
        <f t="shared" si="11"/>
        <v>14.99389880224884</v>
      </c>
      <c r="F42" s="275">
        <f t="shared" si="11"/>
        <v>12.743334372078529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13.872606106294761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50</v>
      </c>
      <c r="E44" s="3">
        <v>60</v>
      </c>
      <c r="F44" s="38">
        <v>55</v>
      </c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165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5.7332874670335968E-3</v>
      </c>
      <c r="E45" s="13">
        <f t="shared" si="12"/>
        <v>7.3331703739916891E-3</v>
      </c>
      <c r="F45" s="13">
        <f t="shared" si="12"/>
        <v>5.7130985769190817E-3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6.2193742932529208E-3</v>
      </c>
    </row>
    <row r="46" spans="1:16" ht="15.75" x14ac:dyDescent="0.25">
      <c r="A46" s="331" t="s">
        <v>133</v>
      </c>
      <c r="B46" s="332"/>
      <c r="C46" s="4" t="s">
        <v>31</v>
      </c>
      <c r="D46" s="403">
        <f>295.56*D44</f>
        <v>14778</v>
      </c>
      <c r="E46" s="403">
        <f>295.56*E44</f>
        <v>17733.599999999999</v>
      </c>
      <c r="F46" s="403">
        <f t="shared" ref="F46:O46" si="13">295.56*F44</f>
        <v>16255.8</v>
      </c>
      <c r="G46" s="403">
        <f t="shared" si="13"/>
        <v>0</v>
      </c>
      <c r="H46" s="403">
        <f t="shared" si="13"/>
        <v>0</v>
      </c>
      <c r="I46" s="403">
        <f t="shared" si="13"/>
        <v>0</v>
      </c>
      <c r="J46" s="403">
        <f t="shared" si="13"/>
        <v>0</v>
      </c>
      <c r="K46" s="403">
        <f t="shared" si="13"/>
        <v>0</v>
      </c>
      <c r="L46" s="403">
        <f t="shared" si="13"/>
        <v>0</v>
      </c>
      <c r="M46" s="403">
        <f t="shared" si="13"/>
        <v>0</v>
      </c>
      <c r="N46" s="403">
        <f t="shared" si="13"/>
        <v>0</v>
      </c>
      <c r="O46" s="403">
        <f t="shared" si="13"/>
        <v>0</v>
      </c>
      <c r="P46" s="34">
        <f>SUM(D46:O46)</f>
        <v>48767.399999999994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4">D46/D9</f>
        <v>1.6945304437564499</v>
      </c>
      <c r="E47" s="13">
        <f t="shared" si="14"/>
        <v>2.1673918357369835</v>
      </c>
      <c r="F47" s="13">
        <f t="shared" si="14"/>
        <v>1.6885634153942037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1.8381982661138332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>
        <f>D49*2530</f>
        <v>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5094517.1400000006</v>
      </c>
      <c r="E54" s="11">
        <v>5070264.99</v>
      </c>
      <c r="F54" s="11">
        <v>5070264.99</v>
      </c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15235047.120000001</v>
      </c>
    </row>
    <row r="55" spans="1:16" ht="15.75" x14ac:dyDescent="0.25">
      <c r="A55" s="281" t="s">
        <v>123</v>
      </c>
      <c r="B55" s="260"/>
      <c r="C55" s="4" t="s">
        <v>18</v>
      </c>
      <c r="D55" s="11">
        <v>1357285.49</v>
      </c>
      <c r="E55" s="11">
        <v>1292850.6425000001</v>
      </c>
      <c r="F55" s="11">
        <v>1725879.0079999994</v>
      </c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4376015.1404999997</v>
      </c>
    </row>
    <row r="56" spans="1:16" ht="15.75" x14ac:dyDescent="0.25">
      <c r="A56" s="331" t="s">
        <v>122</v>
      </c>
      <c r="B56" s="332"/>
      <c r="C56" s="4" t="s">
        <v>18</v>
      </c>
      <c r="D56" s="11">
        <v>2661609.5499999998</v>
      </c>
      <c r="E56" s="11">
        <v>3242091.53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5903701.0800000001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9250870.2600000016</v>
      </c>
      <c r="E58" s="11">
        <f t="shared" ref="E58:N58" si="15">E41+E46+E51+E52+E54+E55+E56</f>
        <v>9745620.8424999993</v>
      </c>
      <c r="F58" s="11">
        <f t="shared" si="15"/>
        <v>6935079.8779999996</v>
      </c>
      <c r="G58" s="277">
        <f t="shared" si="15"/>
        <v>0</v>
      </c>
      <c r="H58" s="277">
        <f t="shared" si="15"/>
        <v>0</v>
      </c>
      <c r="I58" s="277">
        <f t="shared" si="15"/>
        <v>0</v>
      </c>
      <c r="J58" s="404">
        <f t="shared" si="15"/>
        <v>0</v>
      </c>
      <c r="K58" s="404">
        <f t="shared" si="15"/>
        <v>0</v>
      </c>
      <c r="L58" s="404">
        <f t="shared" si="15"/>
        <v>0</v>
      </c>
      <c r="M58" s="404">
        <f t="shared" si="15"/>
        <v>0</v>
      </c>
      <c r="N58" s="404">
        <f t="shared" si="15"/>
        <v>0</v>
      </c>
      <c r="O58" s="404"/>
      <c r="P58" s="59">
        <f>SUM(D58:O58)</f>
        <v>25931570.980499998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6">D58/D9</f>
        <v>1060.757970416237</v>
      </c>
      <c r="E59" s="13">
        <f t="shared" si="16"/>
        <v>1191.1049673062821</v>
      </c>
      <c r="F59" s="13">
        <f t="shared" si="16"/>
        <v>720.37809057858101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977.4433087259705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1432.5776631823467</v>
      </c>
      <c r="E60" s="13">
        <f t="shared" ref="E60:N60" si="17">E58/E22</f>
        <v>1709.4581376074373</v>
      </c>
      <c r="F60" s="13">
        <f t="shared" si="17"/>
        <v>1011.0624967926287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1363.5492714944501</v>
      </c>
    </row>
    <row r="61" spans="1:16" ht="15.75" x14ac:dyDescent="0.25">
      <c r="A61" s="331" t="s">
        <v>116</v>
      </c>
      <c r="B61" s="332"/>
      <c r="C61" s="4" t="s">
        <v>3</v>
      </c>
      <c r="D61" s="3">
        <v>4</v>
      </c>
      <c r="E61" s="3">
        <v>4</v>
      </c>
      <c r="F61" s="3">
        <v>4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8">(D61*1000*31)/D9</f>
        <v>14.21855291824332</v>
      </c>
      <c r="E62" s="13">
        <f t="shared" si="18"/>
        <v>15.155218772916157</v>
      </c>
      <c r="F62" s="13">
        <f t="shared" si="18"/>
        <v>12.88044042796302</v>
      </c>
      <c r="G62" s="275" t="e">
        <f>(G61*1000*31)/G9</f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12</v>
      </c>
      <c r="E63" s="3">
        <v>12</v>
      </c>
      <c r="F63" s="3">
        <v>12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36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38</v>
      </c>
      <c r="E66" s="3">
        <f>D71</f>
        <v>35</v>
      </c>
      <c r="F66" s="3">
        <f>E71</f>
        <v>42</v>
      </c>
      <c r="G66" s="3">
        <f t="shared" ref="G66:O66" si="19">F71</f>
        <v>40</v>
      </c>
      <c r="H66" s="3">
        <f t="shared" si="19"/>
        <v>40</v>
      </c>
      <c r="I66" s="3">
        <f t="shared" si="19"/>
        <v>40</v>
      </c>
      <c r="J66" s="3">
        <f t="shared" si="19"/>
        <v>40</v>
      </c>
      <c r="K66" s="3">
        <f t="shared" si="19"/>
        <v>40</v>
      </c>
      <c r="L66" s="3">
        <f t="shared" si="19"/>
        <v>40</v>
      </c>
      <c r="M66" s="3">
        <f t="shared" si="19"/>
        <v>40</v>
      </c>
      <c r="N66" s="3">
        <f t="shared" si="19"/>
        <v>40</v>
      </c>
      <c r="O66" s="3">
        <f t="shared" si="19"/>
        <v>40</v>
      </c>
      <c r="P66" s="31">
        <f>D66</f>
        <v>38</v>
      </c>
    </row>
    <row r="67" spans="1:16" ht="15.75" x14ac:dyDescent="0.25">
      <c r="A67" s="325"/>
      <c r="B67" s="4" t="s">
        <v>106</v>
      </c>
      <c r="C67" s="4" t="s">
        <v>3</v>
      </c>
      <c r="D67" s="3">
        <v>3</v>
      </c>
      <c r="E67" s="3">
        <v>7</v>
      </c>
      <c r="F67" s="3">
        <v>6</v>
      </c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16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0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>
        <v>6</v>
      </c>
      <c r="E69" s="3"/>
      <c r="F69" s="3">
        <v>8</v>
      </c>
      <c r="G69" s="3"/>
      <c r="H69" s="3"/>
      <c r="I69" s="3"/>
      <c r="J69" s="3"/>
      <c r="K69" s="120"/>
      <c r="L69" s="3"/>
      <c r="M69" s="3"/>
      <c r="N69" s="3"/>
      <c r="O69" s="3"/>
      <c r="P69" s="31">
        <f t="shared" si="20"/>
        <v>14</v>
      </c>
    </row>
    <row r="70" spans="1:16" ht="15.75" x14ac:dyDescent="0.25">
      <c r="A70" s="325"/>
      <c r="B70" s="4" t="s">
        <v>190</v>
      </c>
      <c r="C70" s="4" t="s">
        <v>3</v>
      </c>
      <c r="D70" s="3">
        <v>6</v>
      </c>
      <c r="E70" s="3">
        <f t="shared" ref="E70:N70" si="21">E68+E69</f>
        <v>0</v>
      </c>
      <c r="F70" s="3">
        <f t="shared" si="21"/>
        <v>8</v>
      </c>
      <c r="G70" s="3">
        <f t="shared" si="21"/>
        <v>0</v>
      </c>
      <c r="H70" s="3"/>
      <c r="I70" s="3">
        <f t="shared" si="21"/>
        <v>0</v>
      </c>
      <c r="J70" s="3">
        <f t="shared" si="21"/>
        <v>0</v>
      </c>
      <c r="K70" s="3">
        <f t="shared" si="21"/>
        <v>0</v>
      </c>
      <c r="L70" s="3">
        <f t="shared" si="21"/>
        <v>0</v>
      </c>
      <c r="M70" s="3">
        <f t="shared" si="21"/>
        <v>0</v>
      </c>
      <c r="N70" s="3">
        <f t="shared" si="21"/>
        <v>0</v>
      </c>
      <c r="O70" s="3"/>
      <c r="P70" s="285">
        <f t="shared" ref="P70" si="22">P68+P69</f>
        <v>14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35</v>
      </c>
      <c r="E71" s="22">
        <f t="shared" ref="E71:N71" si="23">E66+E67-E70</f>
        <v>42</v>
      </c>
      <c r="F71" s="22">
        <f>F66+F67-F70</f>
        <v>40</v>
      </c>
      <c r="G71" s="22">
        <f>G66+G67-G70</f>
        <v>40</v>
      </c>
      <c r="H71" s="22">
        <f>H66+H67-H70</f>
        <v>40</v>
      </c>
      <c r="I71" s="22">
        <f>I66+I67-I70</f>
        <v>40</v>
      </c>
      <c r="J71" s="402">
        <f>J66+J67-J70</f>
        <v>40</v>
      </c>
      <c r="K71" s="22">
        <f t="shared" si="23"/>
        <v>40</v>
      </c>
      <c r="L71" s="22">
        <f t="shared" si="23"/>
        <v>40</v>
      </c>
      <c r="M71" s="22">
        <f t="shared" si="23"/>
        <v>40</v>
      </c>
      <c r="N71" s="22">
        <f t="shared" si="23"/>
        <v>40</v>
      </c>
      <c r="O71" s="22"/>
      <c r="P71" s="287">
        <f>P66+P67-P70</f>
        <v>40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H72" si="24">E77</f>
        <v>0</v>
      </c>
      <c r="G72" s="3">
        <f t="shared" si="24"/>
        <v>0</v>
      </c>
      <c r="H72" s="3">
        <f t="shared" si="24"/>
        <v>0</v>
      </c>
      <c r="I72" s="3"/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/>
      <c r="F78" s="3">
        <f t="shared" ref="F78" si="29">E83</f>
        <v>0</v>
      </c>
      <c r="G78" s="3"/>
      <c r="H78" s="3">
        <f t="shared" ref="H78:N78" si="30">G83</f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/>
      <c r="M82" s="284">
        <f t="shared" ref="M82:P82" si="33">M81+M80</f>
        <v>0</v>
      </c>
      <c r="N82" s="284">
        <f t="shared" si="33"/>
        <v>0</v>
      </c>
      <c r="O82" s="284"/>
      <c r="P82" s="288">
        <f t="shared" si="33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/>
      <c r="P83" s="289">
        <f t="shared" si="34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6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6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/>
      <c r="P88" s="31">
        <f t="shared" si="36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/>
      <c r="P89" s="289">
        <f t="shared" ref="P89" si="39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0">D66+D72+D78+D84</f>
        <v>38</v>
      </c>
      <c r="E90" s="122">
        <f t="shared" si="40"/>
        <v>35</v>
      </c>
      <c r="F90" s="122">
        <f>F66+F72+F78+F84</f>
        <v>42</v>
      </c>
      <c r="G90" s="122">
        <f>G66+G72+G78+G84</f>
        <v>40</v>
      </c>
      <c r="H90" s="122">
        <f>H66+H72+H78+H84</f>
        <v>40</v>
      </c>
      <c r="I90" s="122">
        <f t="shared" si="40"/>
        <v>40</v>
      </c>
      <c r="J90" s="122">
        <f t="shared" si="40"/>
        <v>40</v>
      </c>
      <c r="K90" s="122">
        <f t="shared" si="40"/>
        <v>40</v>
      </c>
      <c r="L90" s="122">
        <f t="shared" si="40"/>
        <v>40</v>
      </c>
      <c r="M90" s="122">
        <f t="shared" si="40"/>
        <v>40</v>
      </c>
      <c r="N90" s="122">
        <f t="shared" si="40"/>
        <v>40</v>
      </c>
      <c r="O90" s="122"/>
      <c r="P90" s="31">
        <f>D90</f>
        <v>38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0"/>
        <v>3</v>
      </c>
      <c r="E91" s="122">
        <f t="shared" si="40"/>
        <v>7</v>
      </c>
      <c r="F91" s="122">
        <f t="shared" si="40"/>
        <v>6</v>
      </c>
      <c r="G91" s="122">
        <f>G67+G73+G79+G85</f>
        <v>0</v>
      </c>
      <c r="H91" s="122">
        <f>H67+H73+H79+H85</f>
        <v>0</v>
      </c>
      <c r="I91" s="122">
        <f>I67+I73+I79+I85</f>
        <v>0</v>
      </c>
      <c r="J91" s="122">
        <f>J67+J73+J79+J85</f>
        <v>0</v>
      </c>
      <c r="K91" s="122">
        <f t="shared" si="40"/>
        <v>0</v>
      </c>
      <c r="L91" s="122">
        <f t="shared" si="40"/>
        <v>0</v>
      </c>
      <c r="M91" s="122">
        <f t="shared" si="40"/>
        <v>0</v>
      </c>
      <c r="N91" s="122">
        <f t="shared" si="40"/>
        <v>0</v>
      </c>
      <c r="O91" s="122"/>
      <c r="P91" s="31">
        <f>SUM(D91:O91)</f>
        <v>16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0"/>
        <v>0</v>
      </c>
      <c r="E92" s="122">
        <f t="shared" si="40"/>
        <v>0</v>
      </c>
      <c r="F92" s="122">
        <f t="shared" si="40"/>
        <v>0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/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40"/>
        <v>6</v>
      </c>
      <c r="E93" s="122">
        <f t="shared" si="40"/>
        <v>0</v>
      </c>
      <c r="F93" s="122">
        <f t="shared" si="40"/>
        <v>8</v>
      </c>
      <c r="G93" s="122">
        <f t="shared" si="40"/>
        <v>0</v>
      </c>
      <c r="H93" s="122">
        <f t="shared" si="40"/>
        <v>0</v>
      </c>
      <c r="I93" s="122">
        <f t="shared" si="40"/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122">
        <f t="shared" si="40"/>
        <v>0</v>
      </c>
      <c r="O93" s="122"/>
      <c r="P93" s="31">
        <f>SUM(D93:O93)</f>
        <v>14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6</v>
      </c>
      <c r="E94" s="123">
        <f t="shared" ref="E94:P94" si="41">E93+E92</f>
        <v>0</v>
      </c>
      <c r="F94" s="123">
        <f t="shared" si="41"/>
        <v>8</v>
      </c>
      <c r="G94" s="123">
        <f t="shared" si="41"/>
        <v>0</v>
      </c>
      <c r="H94" s="123">
        <f t="shared" si="41"/>
        <v>0</v>
      </c>
      <c r="I94" s="123">
        <f t="shared" si="41"/>
        <v>0</v>
      </c>
      <c r="J94" s="123">
        <f t="shared" si="41"/>
        <v>0</v>
      </c>
      <c r="K94" s="123">
        <f t="shared" si="41"/>
        <v>0</v>
      </c>
      <c r="L94" s="123">
        <f t="shared" si="41"/>
        <v>0</v>
      </c>
      <c r="M94" s="123">
        <f t="shared" si="41"/>
        <v>0</v>
      </c>
      <c r="N94" s="123">
        <f t="shared" si="41"/>
        <v>0</v>
      </c>
      <c r="O94" s="123"/>
      <c r="P94" s="130">
        <f t="shared" si="41"/>
        <v>14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35</v>
      </c>
      <c r="E95" s="124">
        <f t="shared" ref="E95:P95" si="42">E90+E91-E94</f>
        <v>42</v>
      </c>
      <c r="F95" s="124">
        <f t="shared" si="42"/>
        <v>40</v>
      </c>
      <c r="G95" s="124">
        <f t="shared" si="42"/>
        <v>40</v>
      </c>
      <c r="H95" s="124">
        <f t="shared" si="42"/>
        <v>40</v>
      </c>
      <c r="I95" s="124">
        <f t="shared" si="42"/>
        <v>40</v>
      </c>
      <c r="J95" s="124">
        <f t="shared" si="42"/>
        <v>40</v>
      </c>
      <c r="K95" s="124">
        <f t="shared" si="42"/>
        <v>40</v>
      </c>
      <c r="L95" s="124">
        <f t="shared" si="42"/>
        <v>40</v>
      </c>
      <c r="M95" s="124">
        <f t="shared" si="42"/>
        <v>40</v>
      </c>
      <c r="N95" s="124">
        <f t="shared" si="42"/>
        <v>40</v>
      </c>
      <c r="O95" s="124">
        <f t="shared" si="42"/>
        <v>0</v>
      </c>
      <c r="P95" s="131">
        <f t="shared" si="42"/>
        <v>40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>
        <v>6</v>
      </c>
      <c r="E98" s="395">
        <v>4</v>
      </c>
      <c r="F98" s="395">
        <v>16</v>
      </c>
      <c r="G98" s="395"/>
      <c r="H98" s="395"/>
      <c r="I98" s="395"/>
      <c r="J98" s="395"/>
      <c r="K98" s="395"/>
      <c r="L98" s="395"/>
      <c r="M98" s="294"/>
      <c r="N98" s="294"/>
      <c r="O98" s="294"/>
      <c r="P98" s="97"/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219</v>
      </c>
      <c r="E101" s="3">
        <v>199</v>
      </c>
      <c r="F101" s="3">
        <v>196</v>
      </c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3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14</v>
      </c>
      <c r="E102" s="3">
        <v>13</v>
      </c>
      <c r="F102" s="3">
        <v>13</v>
      </c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3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25</v>
      </c>
      <c r="E103" s="3">
        <v>25</v>
      </c>
      <c r="F103" s="3">
        <v>25</v>
      </c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3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3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258</v>
      </c>
      <c r="E105" s="296">
        <f t="shared" ref="E105:O105" si="44">SUM(E101:E104)</f>
        <v>237</v>
      </c>
      <c r="F105" s="296">
        <f t="shared" si="44"/>
        <v>234</v>
      </c>
      <c r="G105" s="296">
        <f t="shared" si="44"/>
        <v>0</v>
      </c>
      <c r="H105" s="296">
        <f t="shared" si="44"/>
        <v>0</v>
      </c>
      <c r="I105" s="296">
        <f t="shared" si="44"/>
        <v>0</v>
      </c>
      <c r="J105" s="296">
        <f t="shared" si="44"/>
        <v>0</v>
      </c>
      <c r="K105" s="296">
        <f t="shared" si="44"/>
        <v>0</v>
      </c>
      <c r="L105" s="296">
        <f t="shared" si="44"/>
        <v>0</v>
      </c>
      <c r="M105" s="296">
        <f t="shared" si="44"/>
        <v>0</v>
      </c>
      <c r="N105" s="296">
        <f t="shared" si="44"/>
        <v>0</v>
      </c>
      <c r="O105" s="296">
        <f t="shared" si="44"/>
        <v>0</v>
      </c>
      <c r="P105" s="295">
        <f t="shared" si="43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>
        <v>326</v>
      </c>
      <c r="E107" s="3">
        <v>326</v>
      </c>
      <c r="F107" s="3">
        <v>324</v>
      </c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3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3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>
        <v>1</v>
      </c>
      <c r="E109" s="3">
        <v>1</v>
      </c>
      <c r="F109" s="3">
        <v>1</v>
      </c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3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/>
      <c r="E110" s="3"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3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327</v>
      </c>
      <c r="E111" s="296">
        <f t="shared" ref="E111:O111" si="45">SUM(E107:E110)</f>
        <v>327</v>
      </c>
      <c r="F111" s="296">
        <f t="shared" si="45"/>
        <v>325</v>
      </c>
      <c r="G111" s="296">
        <f t="shared" si="45"/>
        <v>0</v>
      </c>
      <c r="H111" s="296">
        <f t="shared" si="45"/>
        <v>0</v>
      </c>
      <c r="I111" s="296">
        <f t="shared" si="45"/>
        <v>0</v>
      </c>
      <c r="J111" s="296">
        <f t="shared" si="45"/>
        <v>0</v>
      </c>
      <c r="K111" s="296">
        <f t="shared" si="45"/>
        <v>0</v>
      </c>
      <c r="L111" s="296">
        <f t="shared" si="45"/>
        <v>0</v>
      </c>
      <c r="M111" s="296">
        <f t="shared" si="45"/>
        <v>0</v>
      </c>
      <c r="N111" s="296">
        <f t="shared" si="45"/>
        <v>0</v>
      </c>
      <c r="O111" s="296">
        <f t="shared" si="45"/>
        <v>0</v>
      </c>
      <c r="P111" s="295">
        <f t="shared" si="43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412">
        <v>465</v>
      </c>
      <c r="E113" s="412">
        <v>474</v>
      </c>
      <c r="F113" s="412">
        <v>485</v>
      </c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3"/>
        <v>0</v>
      </c>
    </row>
    <row r="114" spans="1:18" ht="15.75" x14ac:dyDescent="0.25">
      <c r="A114" s="331" t="s">
        <v>200</v>
      </c>
      <c r="B114" s="332"/>
      <c r="C114" s="4" t="s">
        <v>3</v>
      </c>
      <c r="D114" s="412">
        <v>25</v>
      </c>
      <c r="E114" s="412">
        <v>26</v>
      </c>
      <c r="F114" s="412">
        <v>26</v>
      </c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3"/>
        <v>0</v>
      </c>
    </row>
    <row r="115" spans="1:18" ht="15.75" x14ac:dyDescent="0.25">
      <c r="A115" s="331" t="s">
        <v>201</v>
      </c>
      <c r="B115" s="332"/>
      <c r="C115" s="4" t="s">
        <v>3</v>
      </c>
      <c r="D115" s="412">
        <v>23</v>
      </c>
      <c r="E115" s="412">
        <v>23</v>
      </c>
      <c r="F115" s="412">
        <v>25</v>
      </c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3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>
        <v>2</v>
      </c>
      <c r="E116" s="3">
        <v>2</v>
      </c>
      <c r="F116" s="3">
        <v>2</v>
      </c>
      <c r="G116" s="3"/>
      <c r="H116" s="3"/>
      <c r="I116" s="3"/>
      <c r="J116" s="3"/>
      <c r="K116" s="412"/>
      <c r="L116" s="29"/>
      <c r="M116" s="3"/>
      <c r="N116" s="3"/>
      <c r="O116" s="3"/>
      <c r="P116" s="295">
        <f t="shared" si="43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515</v>
      </c>
      <c r="E117" s="296">
        <f t="shared" ref="E117:P117" si="46">SUM(E113:E116)</f>
        <v>525</v>
      </c>
      <c r="F117" s="296">
        <f t="shared" si="46"/>
        <v>538</v>
      </c>
      <c r="G117" s="296">
        <f t="shared" si="46"/>
        <v>0</v>
      </c>
      <c r="H117" s="296">
        <f t="shared" si="46"/>
        <v>0</v>
      </c>
      <c r="I117" s="296">
        <f t="shared" si="46"/>
        <v>0</v>
      </c>
      <c r="J117" s="296">
        <f t="shared" si="46"/>
        <v>0</v>
      </c>
      <c r="K117" s="296">
        <f t="shared" si="46"/>
        <v>0</v>
      </c>
      <c r="L117" s="296">
        <f t="shared" si="46"/>
        <v>0</v>
      </c>
      <c r="M117" s="296">
        <f t="shared" si="46"/>
        <v>0</v>
      </c>
      <c r="N117" s="296">
        <f t="shared" si="46"/>
        <v>0</v>
      </c>
      <c r="O117" s="296">
        <f t="shared" si="46"/>
        <v>0</v>
      </c>
      <c r="P117" s="257">
        <f t="shared" si="46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7">D111+D117</f>
        <v>842</v>
      </c>
      <c r="E118" s="296">
        <f t="shared" si="47"/>
        <v>852</v>
      </c>
      <c r="F118" s="296">
        <f t="shared" si="47"/>
        <v>863</v>
      </c>
      <c r="G118" s="296">
        <f t="shared" si="47"/>
        <v>0</v>
      </c>
      <c r="H118" s="296">
        <f t="shared" si="47"/>
        <v>0</v>
      </c>
      <c r="I118" s="296">
        <f t="shared" si="47"/>
        <v>0</v>
      </c>
      <c r="J118" s="296">
        <f t="shared" si="47"/>
        <v>0</v>
      </c>
      <c r="K118" s="296">
        <f t="shared" si="47"/>
        <v>0</v>
      </c>
      <c r="L118" s="296">
        <f t="shared" si="47"/>
        <v>0</v>
      </c>
      <c r="M118" s="296">
        <f t="shared" si="47"/>
        <v>0</v>
      </c>
      <c r="N118" s="296">
        <f t="shared" si="47"/>
        <v>0</v>
      </c>
      <c r="O118" s="296">
        <f t="shared" si="47"/>
        <v>0</v>
      </c>
      <c r="P118" s="296">
        <f t="shared" si="47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48">D105+D118</f>
        <v>1100</v>
      </c>
      <c r="E119" s="296">
        <f t="shared" si="48"/>
        <v>1089</v>
      </c>
      <c r="F119" s="296">
        <f t="shared" si="48"/>
        <v>1097</v>
      </c>
      <c r="G119" s="296">
        <f t="shared" si="48"/>
        <v>0</v>
      </c>
      <c r="H119" s="296">
        <f t="shared" si="48"/>
        <v>0</v>
      </c>
      <c r="I119" s="296">
        <f t="shared" si="48"/>
        <v>0</v>
      </c>
      <c r="J119" s="296">
        <f t="shared" si="48"/>
        <v>0</v>
      </c>
      <c r="K119" s="296">
        <f t="shared" si="48"/>
        <v>0</v>
      </c>
      <c r="L119" s="296">
        <f t="shared" si="48"/>
        <v>0</v>
      </c>
      <c r="M119" s="296">
        <f t="shared" si="48"/>
        <v>0</v>
      </c>
      <c r="N119" s="296">
        <f t="shared" si="48"/>
        <v>0</v>
      </c>
      <c r="O119" s="296">
        <f t="shared" si="48"/>
        <v>0</v>
      </c>
      <c r="P119" s="296">
        <f t="shared" si="48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6">
        <v>10013</v>
      </c>
      <c r="E121" s="3">
        <v>10013</v>
      </c>
      <c r="F121" s="3">
        <v>10013</v>
      </c>
      <c r="G121" s="416"/>
      <c r="H121" s="3"/>
      <c r="I121" s="3"/>
      <c r="J121" s="416"/>
      <c r="K121" s="3"/>
      <c r="L121" s="3"/>
      <c r="M121" s="3"/>
      <c r="N121" s="3"/>
      <c r="O121" s="117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6">
        <v>7445</v>
      </c>
      <c r="E122" s="3">
        <v>7460</v>
      </c>
      <c r="F122" s="3">
        <v>7475</v>
      </c>
      <c r="G122" s="416"/>
      <c r="H122" s="3"/>
      <c r="I122" s="3"/>
      <c r="J122" s="416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49">D122/D121</f>
        <v>0.74353340657145706</v>
      </c>
      <c r="E123" s="25">
        <f t="shared" si="49"/>
        <v>0.74503145910316593</v>
      </c>
      <c r="F123" s="25">
        <f t="shared" si="49"/>
        <v>0.74652951163487469</v>
      </c>
      <c r="G123" s="300" t="e">
        <f t="shared" si="49"/>
        <v>#DIV/0!</v>
      </c>
      <c r="H123" s="300" t="e">
        <f t="shared" si="49"/>
        <v>#DIV/0!</v>
      </c>
      <c r="I123" s="300" t="e">
        <f t="shared" si="49"/>
        <v>#DIV/0!</v>
      </c>
      <c r="J123" s="300" t="e">
        <f t="shared" si="49"/>
        <v>#DIV/0!</v>
      </c>
      <c r="K123" s="300" t="e">
        <f t="shared" si="49"/>
        <v>#DIV/0!</v>
      </c>
      <c r="L123" s="300" t="e">
        <f t="shared" si="49"/>
        <v>#DIV/0!</v>
      </c>
      <c r="M123" s="300" t="e">
        <f t="shared" si="49"/>
        <v>#DIV/0!</v>
      </c>
      <c r="N123" s="300" t="e">
        <f t="shared" si="49"/>
        <v>#DIV/0!</v>
      </c>
      <c r="O123" s="300" t="e">
        <f t="shared" si="49"/>
        <v>#DIV/0!</v>
      </c>
      <c r="P123" s="301" t="e">
        <f t="shared" si="49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0">F130</f>
        <v>0</v>
      </c>
      <c r="H125" s="399">
        <f t="shared" si="50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N129" si="51">D125+D126-D127-D128</f>
        <v>0</v>
      </c>
      <c r="E129" s="140">
        <f t="shared" si="51"/>
        <v>0</v>
      </c>
      <c r="F129" s="140">
        <f t="shared" si="51"/>
        <v>0</v>
      </c>
      <c r="G129" s="140">
        <f t="shared" si="51"/>
        <v>0</v>
      </c>
      <c r="H129" s="140">
        <f t="shared" si="51"/>
        <v>0</v>
      </c>
      <c r="I129" s="140">
        <f t="shared" si="51"/>
        <v>0</v>
      </c>
      <c r="J129" s="140">
        <f t="shared" si="51"/>
        <v>0</v>
      </c>
      <c r="K129" s="140">
        <f t="shared" si="51"/>
        <v>0</v>
      </c>
      <c r="L129" s="140">
        <f t="shared" si="51"/>
        <v>0</v>
      </c>
      <c r="M129" s="140">
        <f t="shared" si="51"/>
        <v>0</v>
      </c>
      <c r="N129" s="140">
        <f t="shared" si="51"/>
        <v>0</v>
      </c>
      <c r="O129" s="140"/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2">E134</f>
        <v>0</v>
      </c>
      <c r="G130" s="399">
        <f t="shared" si="52"/>
        <v>0</v>
      </c>
      <c r="H130" s="399">
        <f t="shared" si="52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N134" si="53">D130+D131-D132-D133</f>
        <v>0</v>
      </c>
      <c r="E134" s="140">
        <f t="shared" si="53"/>
        <v>0</v>
      </c>
      <c r="F134" s="140">
        <f t="shared" si="53"/>
        <v>0</v>
      </c>
      <c r="G134" s="140">
        <f t="shared" si="53"/>
        <v>0</v>
      </c>
      <c r="H134" s="140">
        <f t="shared" si="53"/>
        <v>0</v>
      </c>
      <c r="I134" s="140">
        <f t="shared" si="53"/>
        <v>0</v>
      </c>
      <c r="J134" s="140">
        <f t="shared" si="53"/>
        <v>0</v>
      </c>
      <c r="K134" s="140">
        <f t="shared" si="53"/>
        <v>0</v>
      </c>
      <c r="L134" s="140">
        <f t="shared" si="53"/>
        <v>0</v>
      </c>
      <c r="M134" s="140">
        <f t="shared" si="53"/>
        <v>0</v>
      </c>
      <c r="N134" s="140">
        <f t="shared" si="53"/>
        <v>0</v>
      </c>
      <c r="O134" s="140"/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4">F139</f>
        <v>0</v>
      </c>
      <c r="H135" s="399">
        <f t="shared" si="54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N139" si="55">D135+D136-D137-D138</f>
        <v>0</v>
      </c>
      <c r="E139" s="140">
        <f t="shared" si="55"/>
        <v>0</v>
      </c>
      <c r="F139" s="140">
        <f t="shared" si="55"/>
        <v>0</v>
      </c>
      <c r="G139" s="140">
        <f t="shared" si="55"/>
        <v>0</v>
      </c>
      <c r="H139" s="140">
        <f t="shared" si="55"/>
        <v>0</v>
      </c>
      <c r="I139" s="140">
        <f t="shared" si="55"/>
        <v>0</v>
      </c>
      <c r="J139" s="140">
        <f t="shared" si="55"/>
        <v>0</v>
      </c>
      <c r="K139" s="140">
        <f t="shared" si="55"/>
        <v>0</v>
      </c>
      <c r="L139" s="140">
        <f t="shared" si="55"/>
        <v>0</v>
      </c>
      <c r="M139" s="140">
        <f t="shared" si="55"/>
        <v>0</v>
      </c>
      <c r="N139" s="140">
        <f t="shared" si="55"/>
        <v>0</v>
      </c>
      <c r="O139" s="140"/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>
        <v>15</v>
      </c>
      <c r="E140" s="411">
        <f>D144</f>
        <v>14</v>
      </c>
      <c r="F140" s="411">
        <f>E144</f>
        <v>26</v>
      </c>
      <c r="G140" s="411">
        <f t="shared" ref="G140:O140" si="56">F144</f>
        <v>26</v>
      </c>
      <c r="H140" s="411">
        <f t="shared" si="56"/>
        <v>26</v>
      </c>
      <c r="I140" s="411">
        <f t="shared" si="56"/>
        <v>26</v>
      </c>
      <c r="J140" s="411">
        <f t="shared" si="56"/>
        <v>26</v>
      </c>
      <c r="K140" s="411">
        <f t="shared" si="56"/>
        <v>26</v>
      </c>
      <c r="L140" s="411">
        <f t="shared" si="56"/>
        <v>26</v>
      </c>
      <c r="M140" s="411">
        <f t="shared" si="56"/>
        <v>26</v>
      </c>
      <c r="N140" s="411">
        <f t="shared" si="56"/>
        <v>26</v>
      </c>
      <c r="O140" s="411">
        <f t="shared" si="56"/>
        <v>26</v>
      </c>
      <c r="P140" s="406">
        <f>D140</f>
        <v>15</v>
      </c>
    </row>
    <row r="141" spans="1:18" ht="15.75" x14ac:dyDescent="0.25">
      <c r="A141" s="325"/>
      <c r="B141" s="4" t="s">
        <v>84</v>
      </c>
      <c r="C141" s="4" t="s">
        <v>3</v>
      </c>
      <c r="D141" s="120">
        <v>5</v>
      </c>
      <c r="E141" s="120">
        <v>12</v>
      </c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17</v>
      </c>
    </row>
    <row r="142" spans="1:18" ht="15.75" x14ac:dyDescent="0.25">
      <c r="A142" s="325"/>
      <c r="B142" s="4" t="s">
        <v>83</v>
      </c>
      <c r="C142" s="4" t="s">
        <v>3</v>
      </c>
      <c r="D142" s="120">
        <v>3</v>
      </c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3</v>
      </c>
    </row>
    <row r="143" spans="1:18" ht="15.75" x14ac:dyDescent="0.25">
      <c r="A143" s="325"/>
      <c r="B143" s="4" t="s">
        <v>82</v>
      </c>
      <c r="C143" s="4" t="s">
        <v>3</v>
      </c>
      <c r="D143" s="120">
        <v>3</v>
      </c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3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N144" si="57">D140+D141-D142-D143</f>
        <v>14</v>
      </c>
      <c r="E144" s="140">
        <f t="shared" si="57"/>
        <v>26</v>
      </c>
      <c r="F144" s="140">
        <f t="shared" si="57"/>
        <v>26</v>
      </c>
      <c r="G144" s="140">
        <f t="shared" si="57"/>
        <v>26</v>
      </c>
      <c r="H144" s="140">
        <f t="shared" si="57"/>
        <v>26</v>
      </c>
      <c r="I144" s="140">
        <f t="shared" si="57"/>
        <v>26</v>
      </c>
      <c r="J144" s="140">
        <f t="shared" si="57"/>
        <v>26</v>
      </c>
      <c r="K144" s="140">
        <f t="shared" si="57"/>
        <v>26</v>
      </c>
      <c r="L144" s="120">
        <f t="shared" si="57"/>
        <v>26</v>
      </c>
      <c r="M144" s="120">
        <f t="shared" si="57"/>
        <v>26</v>
      </c>
      <c r="N144" s="140">
        <f t="shared" si="57"/>
        <v>26</v>
      </c>
      <c r="O144" s="140"/>
      <c r="P144" s="16">
        <f>P140+P141-P142-P143</f>
        <v>26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58">D125+D130+D135+D140</f>
        <v>15</v>
      </c>
      <c r="E145" s="141">
        <f t="shared" si="58"/>
        <v>14</v>
      </c>
      <c r="F145" s="141">
        <f t="shared" si="58"/>
        <v>26</v>
      </c>
      <c r="G145" s="141">
        <f t="shared" si="58"/>
        <v>26</v>
      </c>
      <c r="H145" s="141">
        <f t="shared" si="58"/>
        <v>26</v>
      </c>
      <c r="I145" s="141">
        <f t="shared" si="58"/>
        <v>26</v>
      </c>
      <c r="J145" s="141">
        <f t="shared" si="58"/>
        <v>26</v>
      </c>
      <c r="K145" s="141">
        <f t="shared" si="58"/>
        <v>26</v>
      </c>
      <c r="L145" s="141">
        <f t="shared" si="58"/>
        <v>26</v>
      </c>
      <c r="M145" s="141">
        <f t="shared" si="58"/>
        <v>26</v>
      </c>
      <c r="N145" s="141">
        <f t="shared" si="58"/>
        <v>26</v>
      </c>
      <c r="O145" s="141"/>
      <c r="P145" s="99">
        <f t="shared" si="58"/>
        <v>15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58"/>
        <v>5</v>
      </c>
      <c r="E146" s="141">
        <f t="shared" si="58"/>
        <v>12</v>
      </c>
      <c r="F146" s="141">
        <f t="shared" si="58"/>
        <v>0</v>
      </c>
      <c r="G146" s="141">
        <f t="shared" si="58"/>
        <v>0</v>
      </c>
      <c r="H146" s="141">
        <f t="shared" si="58"/>
        <v>0</v>
      </c>
      <c r="I146" s="141">
        <f t="shared" si="58"/>
        <v>0</v>
      </c>
      <c r="J146" s="141">
        <f t="shared" si="58"/>
        <v>0</v>
      </c>
      <c r="K146" s="141">
        <f t="shared" si="58"/>
        <v>0</v>
      </c>
      <c r="L146" s="141">
        <f t="shared" si="58"/>
        <v>0</v>
      </c>
      <c r="M146" s="141">
        <f t="shared" si="58"/>
        <v>0</v>
      </c>
      <c r="N146" s="141">
        <f t="shared" si="58"/>
        <v>0</v>
      </c>
      <c r="O146" s="141"/>
      <c r="P146" s="99">
        <f t="shared" si="58"/>
        <v>17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58"/>
        <v>3</v>
      </c>
      <c r="E147" s="141">
        <f t="shared" si="58"/>
        <v>0</v>
      </c>
      <c r="F147" s="141">
        <f t="shared" si="58"/>
        <v>0</v>
      </c>
      <c r="G147" s="141">
        <f t="shared" si="58"/>
        <v>0</v>
      </c>
      <c r="H147" s="141">
        <f t="shared" si="58"/>
        <v>0</v>
      </c>
      <c r="I147" s="141">
        <f t="shared" si="58"/>
        <v>0</v>
      </c>
      <c r="J147" s="141">
        <f t="shared" si="58"/>
        <v>0</v>
      </c>
      <c r="K147" s="141">
        <f t="shared" si="58"/>
        <v>0</v>
      </c>
      <c r="L147" s="141">
        <f t="shared" si="58"/>
        <v>0</v>
      </c>
      <c r="M147" s="141">
        <f t="shared" si="58"/>
        <v>0</v>
      </c>
      <c r="N147" s="141">
        <f t="shared" si="58"/>
        <v>0</v>
      </c>
      <c r="O147" s="141"/>
      <c r="P147" s="99">
        <f t="shared" si="58"/>
        <v>3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58"/>
        <v>3</v>
      </c>
      <c r="E148" s="141">
        <f t="shared" si="58"/>
        <v>0</v>
      </c>
      <c r="F148" s="141">
        <f t="shared" si="58"/>
        <v>0</v>
      </c>
      <c r="G148" s="141">
        <f t="shared" si="58"/>
        <v>0</v>
      </c>
      <c r="H148" s="141">
        <f t="shared" si="58"/>
        <v>0</v>
      </c>
      <c r="I148" s="141">
        <f t="shared" si="58"/>
        <v>0</v>
      </c>
      <c r="J148" s="141">
        <f t="shared" si="58"/>
        <v>0</v>
      </c>
      <c r="K148" s="141">
        <f t="shared" si="58"/>
        <v>0</v>
      </c>
      <c r="L148" s="141">
        <f t="shared" si="58"/>
        <v>0</v>
      </c>
      <c r="M148" s="141">
        <f t="shared" si="58"/>
        <v>0</v>
      </c>
      <c r="N148" s="141">
        <f t="shared" si="58"/>
        <v>0</v>
      </c>
      <c r="O148" s="141"/>
      <c r="P148" s="99">
        <f t="shared" si="58"/>
        <v>3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59">D145+D146-D147-D148</f>
        <v>14</v>
      </c>
      <c r="E149" s="140">
        <f t="shared" si="59"/>
        <v>26</v>
      </c>
      <c r="F149" s="140">
        <f t="shared" si="59"/>
        <v>26</v>
      </c>
      <c r="G149" s="140">
        <f t="shared" si="59"/>
        <v>26</v>
      </c>
      <c r="H149" s="140">
        <f t="shared" si="59"/>
        <v>26</v>
      </c>
      <c r="I149" s="140">
        <f t="shared" si="59"/>
        <v>26</v>
      </c>
      <c r="J149" s="140">
        <f t="shared" si="59"/>
        <v>26</v>
      </c>
      <c r="K149" s="140">
        <f t="shared" si="59"/>
        <v>26</v>
      </c>
      <c r="L149" s="140">
        <f t="shared" si="59"/>
        <v>26</v>
      </c>
      <c r="M149" s="140">
        <f t="shared" si="59"/>
        <v>26</v>
      </c>
      <c r="N149" s="140">
        <f t="shared" si="59"/>
        <v>26</v>
      </c>
      <c r="O149" s="140">
        <f t="shared" si="59"/>
        <v>0</v>
      </c>
      <c r="P149" s="99">
        <f t="shared" si="58"/>
        <v>26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3">
        <v>6</v>
      </c>
      <c r="E153" s="3">
        <v>6</v>
      </c>
      <c r="F153" s="3">
        <v>3</v>
      </c>
      <c r="G153" s="3"/>
      <c r="H153" s="3"/>
      <c r="I153" s="3"/>
      <c r="J153" s="3"/>
      <c r="K153" s="120"/>
      <c r="L153" s="120"/>
      <c r="M153" s="120"/>
      <c r="N153" s="3"/>
      <c r="O153" s="3"/>
      <c r="P153" s="16">
        <f t="shared" ref="P153:P165" si="60">SUM(D153:O153)</f>
        <v>15</v>
      </c>
    </row>
    <row r="154" spans="1:16" ht="15.75" x14ac:dyDescent="0.25">
      <c r="A154" s="357"/>
      <c r="B154" s="18" t="s">
        <v>72</v>
      </c>
      <c r="C154" s="4" t="s">
        <v>57</v>
      </c>
      <c r="D154" s="3">
        <v>4</v>
      </c>
      <c r="E154" s="3">
        <v>3</v>
      </c>
      <c r="F154" s="3">
        <v>3</v>
      </c>
      <c r="G154" s="3"/>
      <c r="H154" s="3"/>
      <c r="I154" s="3"/>
      <c r="J154" s="3"/>
      <c r="K154" s="120"/>
      <c r="L154" s="120"/>
      <c r="M154" s="120"/>
      <c r="N154" s="3"/>
      <c r="O154" s="3"/>
      <c r="P154" s="16">
        <f t="shared" si="60"/>
        <v>10</v>
      </c>
    </row>
    <row r="155" spans="1:16" ht="15.75" x14ac:dyDescent="0.25">
      <c r="A155" s="357"/>
      <c r="B155" s="18" t="s">
        <v>53</v>
      </c>
      <c r="C155" s="4" t="s">
        <v>57</v>
      </c>
      <c r="D155" s="3">
        <v>3</v>
      </c>
      <c r="E155" s="3">
        <v>5</v>
      </c>
      <c r="F155" s="3">
        <v>4</v>
      </c>
      <c r="G155" s="3"/>
      <c r="H155" s="3"/>
      <c r="I155" s="3"/>
      <c r="J155" s="3"/>
      <c r="K155" s="120"/>
      <c r="L155" s="120"/>
      <c r="M155" s="120"/>
      <c r="N155" s="3"/>
      <c r="O155" s="3"/>
      <c r="P155" s="16">
        <f t="shared" si="60"/>
        <v>12</v>
      </c>
    </row>
    <row r="156" spans="1:16" ht="15.75" x14ac:dyDescent="0.25">
      <c r="A156" s="357"/>
      <c r="B156" s="18" t="s">
        <v>71</v>
      </c>
      <c r="C156" s="4" t="s">
        <v>57</v>
      </c>
      <c r="D156" s="3">
        <v>3</v>
      </c>
      <c r="E156" s="3">
        <v>1</v>
      </c>
      <c r="F156" s="3">
        <v>1</v>
      </c>
      <c r="G156" s="3"/>
      <c r="H156" s="3"/>
      <c r="I156" s="3"/>
      <c r="J156" s="3"/>
      <c r="K156" s="120"/>
      <c r="L156" s="120"/>
      <c r="M156" s="120"/>
      <c r="N156" s="3"/>
      <c r="O156" s="3"/>
      <c r="P156" s="16">
        <f t="shared" si="60"/>
        <v>5</v>
      </c>
    </row>
    <row r="157" spans="1:16" ht="15.75" x14ac:dyDescent="0.25">
      <c r="A157" s="357"/>
      <c r="B157" s="18" t="s">
        <v>52</v>
      </c>
      <c r="C157" s="4" t="s">
        <v>57</v>
      </c>
      <c r="D157" s="3">
        <v>3</v>
      </c>
      <c r="E157" s="3">
        <v>3</v>
      </c>
      <c r="F157" s="3">
        <v>3</v>
      </c>
      <c r="G157" s="3"/>
      <c r="H157" s="3"/>
      <c r="I157" s="3"/>
      <c r="J157" s="3"/>
      <c r="K157" s="120"/>
      <c r="L157" s="120"/>
      <c r="M157" s="120"/>
      <c r="N157" s="3"/>
      <c r="O157" s="3"/>
      <c r="P157" s="16">
        <f t="shared" si="60"/>
        <v>9</v>
      </c>
    </row>
    <row r="158" spans="1:16" ht="15.75" x14ac:dyDescent="0.25">
      <c r="A158" s="357"/>
      <c r="B158" s="18" t="s">
        <v>51</v>
      </c>
      <c r="C158" s="4" t="s">
        <v>57</v>
      </c>
      <c r="D158" s="3">
        <v>3</v>
      </c>
      <c r="E158" s="3">
        <v>3</v>
      </c>
      <c r="F158" s="3">
        <v>3</v>
      </c>
      <c r="G158" s="3"/>
      <c r="H158" s="3"/>
      <c r="I158" s="3"/>
      <c r="J158" s="3"/>
      <c r="K158" s="120"/>
      <c r="L158" s="120"/>
      <c r="M158" s="120"/>
      <c r="N158" s="3"/>
      <c r="O158" s="3"/>
      <c r="P158" s="16">
        <f t="shared" si="60"/>
        <v>9</v>
      </c>
    </row>
    <row r="159" spans="1:16" ht="15.75" x14ac:dyDescent="0.25">
      <c r="A159" s="357"/>
      <c r="B159" s="18" t="s">
        <v>62</v>
      </c>
      <c r="C159" s="4" t="s">
        <v>57</v>
      </c>
      <c r="D159" s="3">
        <v>1</v>
      </c>
      <c r="E159" s="3"/>
      <c r="F159" s="3">
        <v>2</v>
      </c>
      <c r="G159" s="3"/>
      <c r="H159" s="3"/>
      <c r="I159" s="3"/>
      <c r="J159" s="3"/>
      <c r="K159" s="120"/>
      <c r="L159" s="120"/>
      <c r="M159" s="120"/>
      <c r="N159" s="3"/>
      <c r="O159" s="3"/>
      <c r="P159" s="16">
        <f t="shared" si="60"/>
        <v>3</v>
      </c>
    </row>
    <row r="160" spans="1:16" ht="15.75" x14ac:dyDescent="0.25">
      <c r="A160" s="357"/>
      <c r="B160" s="18" t="s">
        <v>50</v>
      </c>
      <c r="C160" s="4" t="s">
        <v>57</v>
      </c>
      <c r="D160" s="3">
        <v>1</v>
      </c>
      <c r="E160" s="3">
        <v>1</v>
      </c>
      <c r="F160" s="3">
        <v>2</v>
      </c>
      <c r="G160" s="3"/>
      <c r="H160" s="3"/>
      <c r="I160" s="3"/>
      <c r="J160" s="3"/>
      <c r="K160" s="120"/>
      <c r="L160" s="120"/>
      <c r="M160" s="120"/>
      <c r="N160" s="3"/>
      <c r="O160" s="3"/>
      <c r="P160" s="16">
        <f t="shared" si="60"/>
        <v>4</v>
      </c>
    </row>
    <row r="161" spans="1:16" ht="15.75" x14ac:dyDescent="0.25">
      <c r="A161" s="357"/>
      <c r="B161" s="18" t="s">
        <v>49</v>
      </c>
      <c r="C161" s="4" t="s">
        <v>57</v>
      </c>
      <c r="D161" s="3">
        <v>1</v>
      </c>
      <c r="E161" s="3">
        <v>1</v>
      </c>
      <c r="F161" s="3">
        <v>1</v>
      </c>
      <c r="G161" s="3"/>
      <c r="H161" s="3"/>
      <c r="I161" s="3"/>
      <c r="J161" s="3"/>
      <c r="K161" s="120"/>
      <c r="L161" s="120"/>
      <c r="M161" s="120"/>
      <c r="N161" s="3"/>
      <c r="O161" s="3"/>
      <c r="P161" s="16">
        <f t="shared" si="60"/>
        <v>3</v>
      </c>
    </row>
    <row r="162" spans="1:16" ht="15.75" x14ac:dyDescent="0.25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0"/>
        <v>0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0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0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0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3"/>
      <c r="E167" s="3"/>
      <c r="F167" s="3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1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1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1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1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1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1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1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1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1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2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2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2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2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2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2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25</v>
      </c>
      <c r="E193" s="141">
        <f t="shared" ref="E193:P193" si="63">SUM(E153:E192)</f>
        <v>23</v>
      </c>
      <c r="F193" s="141">
        <f t="shared" si="63"/>
        <v>22</v>
      </c>
      <c r="G193" s="141">
        <f t="shared" si="63"/>
        <v>0</v>
      </c>
      <c r="H193" s="141">
        <f t="shared" si="63"/>
        <v>0</v>
      </c>
      <c r="I193" s="141">
        <f t="shared" si="63"/>
        <v>0</v>
      </c>
      <c r="J193" s="141">
        <f t="shared" si="63"/>
        <v>0</v>
      </c>
      <c r="K193" s="141">
        <f t="shared" si="63"/>
        <v>0</v>
      </c>
      <c r="L193" s="141">
        <f t="shared" si="63"/>
        <v>0</v>
      </c>
      <c r="M193" s="141">
        <f t="shared" si="63"/>
        <v>0</v>
      </c>
      <c r="N193" s="141">
        <f t="shared" si="63"/>
        <v>0</v>
      </c>
      <c r="O193" s="141">
        <f t="shared" si="63"/>
        <v>0</v>
      </c>
      <c r="P193" s="92">
        <f t="shared" si="63"/>
        <v>70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6</v>
      </c>
    </row>
    <row r="197" spans="1:16" ht="15.75" x14ac:dyDescent="0.25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4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4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4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4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4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5">SUM(D199:D203)</f>
        <v>0</v>
      </c>
      <c r="E204" s="13">
        <f t="shared" si="65"/>
        <v>0</v>
      </c>
      <c r="F204" s="13">
        <f t="shared" si="65"/>
        <v>0</v>
      </c>
      <c r="G204" s="13">
        <f t="shared" ref="G204:O204" si="66">SUM(G199:G203)</f>
        <v>0</v>
      </c>
      <c r="H204" s="13">
        <f t="shared" si="66"/>
        <v>0</v>
      </c>
      <c r="I204" s="275">
        <f t="shared" si="66"/>
        <v>0</v>
      </c>
      <c r="J204" s="275">
        <f t="shared" si="66"/>
        <v>0</v>
      </c>
      <c r="K204" s="275">
        <f t="shared" si="66"/>
        <v>0</v>
      </c>
      <c r="L204" s="275">
        <f t="shared" si="66"/>
        <v>0</v>
      </c>
      <c r="M204" s="275">
        <f t="shared" si="66"/>
        <v>0</v>
      </c>
      <c r="N204" s="275">
        <f t="shared" si="66"/>
        <v>0</v>
      </c>
      <c r="O204" s="275">
        <f t="shared" si="66"/>
        <v>0</v>
      </c>
      <c r="P204" s="100">
        <f t="shared" si="64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>
        <v>3589228</v>
      </c>
      <c r="E206" s="11">
        <v>3505667.23</v>
      </c>
      <c r="F206" s="11">
        <v>3387667.22</v>
      </c>
      <c r="G206" s="11"/>
      <c r="H206" s="396"/>
      <c r="I206" s="396"/>
      <c r="J206" s="396"/>
      <c r="K206" s="11"/>
      <c r="L206" s="433"/>
      <c r="M206" s="11"/>
      <c r="N206" s="11"/>
      <c r="O206" s="404"/>
      <c r="P206" s="408">
        <f>SUM(D206:O206)</f>
        <v>10482562.450000001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7">SUM(D206:D209)</f>
        <v>3589228</v>
      </c>
      <c r="E210" s="309">
        <f t="shared" si="67"/>
        <v>3505667.23</v>
      </c>
      <c r="F210" s="309">
        <f t="shared" si="67"/>
        <v>3387667.22</v>
      </c>
      <c r="G210" s="309">
        <f t="shared" si="67"/>
        <v>0</v>
      </c>
      <c r="H210" s="309">
        <f t="shared" si="67"/>
        <v>0</v>
      </c>
      <c r="I210" s="309">
        <f t="shared" si="67"/>
        <v>0</v>
      </c>
      <c r="J210" s="309">
        <f t="shared" si="67"/>
        <v>0</v>
      </c>
      <c r="K210" s="309">
        <f t="shared" si="67"/>
        <v>0</v>
      </c>
      <c r="L210" s="309">
        <f t="shared" si="67"/>
        <v>0</v>
      </c>
      <c r="M210" s="309">
        <f t="shared" si="67"/>
        <v>0</v>
      </c>
      <c r="N210" s="309">
        <f t="shared" si="67"/>
        <v>0</v>
      </c>
      <c r="O210" s="309">
        <f t="shared" si="67"/>
        <v>0</v>
      </c>
      <c r="P210" s="8">
        <f>SUM(D210:O210)</f>
        <v>10482562.450000001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3702903.91</v>
      </c>
      <c r="E212" s="11">
        <v>4241039</v>
      </c>
      <c r="F212" s="11">
        <v>4083396</v>
      </c>
      <c r="G212" s="11"/>
      <c r="H212" s="11"/>
      <c r="I212" s="11"/>
      <c r="J212" s="11"/>
      <c r="K212" s="396"/>
      <c r="L212" s="11"/>
      <c r="M212" s="396"/>
      <c r="N212" s="11"/>
      <c r="O212" s="11"/>
      <c r="P212" s="8">
        <f>SUM(D212:O212)</f>
        <v>12027338.91</v>
      </c>
    </row>
    <row r="213" spans="1:16" ht="15.75" x14ac:dyDescent="0.25">
      <c r="A213" s="331" t="s">
        <v>42</v>
      </c>
      <c r="B213" s="332"/>
      <c r="C213" s="4" t="s">
        <v>31</v>
      </c>
      <c r="D213" s="11">
        <v>8600</v>
      </c>
      <c r="E213" s="11">
        <v>10600</v>
      </c>
      <c r="F213" s="11">
        <v>10700</v>
      </c>
      <c r="G213" s="11"/>
      <c r="H213" s="11"/>
      <c r="I213" s="11"/>
      <c r="J213" s="11"/>
      <c r="K213" s="396"/>
      <c r="L213" s="11"/>
      <c r="M213" s="396"/>
      <c r="N213" s="11"/>
      <c r="O213" s="11"/>
      <c r="P213" s="8">
        <f>SUM(D213:O213)</f>
        <v>29900</v>
      </c>
    </row>
    <row r="214" spans="1:16" ht="15.75" x14ac:dyDescent="0.25">
      <c r="A214" s="338" t="s">
        <v>41</v>
      </c>
      <c r="B214" s="339"/>
      <c r="C214" s="4" t="s">
        <v>31</v>
      </c>
      <c r="D214" s="11">
        <v>540700</v>
      </c>
      <c r="E214" s="11">
        <v>379100</v>
      </c>
      <c r="F214" s="11">
        <v>767510</v>
      </c>
      <c r="G214" s="11"/>
      <c r="H214" s="11"/>
      <c r="I214" s="11"/>
      <c r="J214" s="11"/>
      <c r="K214" s="396"/>
      <c r="L214" s="11"/>
      <c r="M214" s="396"/>
      <c r="N214" s="11"/>
      <c r="O214" s="11"/>
      <c r="P214" s="8">
        <f>SUM(D214:O214)</f>
        <v>1687310</v>
      </c>
    </row>
    <row r="215" spans="1:16" ht="15.75" x14ac:dyDescent="0.25">
      <c r="A215" s="331" t="s">
        <v>40</v>
      </c>
      <c r="B215" s="332"/>
      <c r="C215" s="4" t="s">
        <v>31</v>
      </c>
      <c r="D215" s="396">
        <v>4562497</v>
      </c>
      <c r="E215" s="11">
        <v>204000</v>
      </c>
      <c r="F215" s="11">
        <v>4064143</v>
      </c>
      <c r="G215" s="11"/>
      <c r="H215" s="11"/>
      <c r="I215" s="11"/>
      <c r="J215" s="11"/>
      <c r="K215" s="396"/>
      <c r="L215" s="11"/>
      <c r="M215" s="396"/>
      <c r="N215" s="11"/>
      <c r="O215" s="11"/>
      <c r="P215" s="8">
        <f>SUM(D215:O215)</f>
        <v>8830640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68">SUM(D212:D215)</f>
        <v>8814700.9100000001</v>
      </c>
      <c r="E216" s="309">
        <f t="shared" si="68"/>
        <v>4834739</v>
      </c>
      <c r="F216" s="309">
        <f t="shared" si="68"/>
        <v>8925749</v>
      </c>
      <c r="G216" s="309">
        <f t="shared" si="68"/>
        <v>0</v>
      </c>
      <c r="H216" s="309">
        <f t="shared" si="68"/>
        <v>0</v>
      </c>
      <c r="I216" s="309">
        <f t="shared" si="68"/>
        <v>0</v>
      </c>
      <c r="J216" s="309">
        <f t="shared" si="68"/>
        <v>0</v>
      </c>
      <c r="K216" s="309">
        <f t="shared" si="68"/>
        <v>0</v>
      </c>
      <c r="L216" s="309">
        <f t="shared" si="68"/>
        <v>0</v>
      </c>
      <c r="M216" s="309">
        <f t="shared" si="68"/>
        <v>0</v>
      </c>
      <c r="N216" s="309">
        <f t="shared" si="68"/>
        <v>0</v>
      </c>
      <c r="O216" s="309">
        <f t="shared" si="68"/>
        <v>0</v>
      </c>
      <c r="P216" s="8">
        <f>SUM(D216:O216)</f>
        <v>22575188.91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12403928.91</v>
      </c>
      <c r="E217" s="309">
        <f t="shared" ref="E217:P217" si="69">E210+E216</f>
        <v>8340406.2300000004</v>
      </c>
      <c r="F217" s="309">
        <f t="shared" si="69"/>
        <v>12313416.220000001</v>
      </c>
      <c r="G217" s="309">
        <f t="shared" si="69"/>
        <v>0</v>
      </c>
      <c r="H217" s="309">
        <f t="shared" si="69"/>
        <v>0</v>
      </c>
      <c r="I217" s="309">
        <f t="shared" si="69"/>
        <v>0</v>
      </c>
      <c r="J217" s="309">
        <f t="shared" si="69"/>
        <v>0</v>
      </c>
      <c r="K217" s="309">
        <f t="shared" si="69"/>
        <v>0</v>
      </c>
      <c r="L217" s="309">
        <f t="shared" si="69"/>
        <v>0</v>
      </c>
      <c r="M217" s="309">
        <f t="shared" si="69"/>
        <v>0</v>
      </c>
      <c r="N217" s="309">
        <f t="shared" si="69"/>
        <v>0</v>
      </c>
      <c r="O217" s="309">
        <f t="shared" si="69"/>
        <v>0</v>
      </c>
      <c r="P217" s="280">
        <f t="shared" si="69"/>
        <v>33057751.359999999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>
        <v>2148315.7999999998</v>
      </c>
      <c r="E219" s="11">
        <v>2059684.68</v>
      </c>
      <c r="F219" s="11">
        <v>2621369.96</v>
      </c>
      <c r="G219" s="11"/>
      <c r="H219" s="277"/>
      <c r="I219" s="277"/>
      <c r="J219" s="277"/>
      <c r="K219" s="11"/>
      <c r="L219" s="11"/>
      <c r="M219" s="11"/>
      <c r="N219" s="277"/>
      <c r="O219" s="277"/>
      <c r="P219" s="8">
        <f>SUM(D219:O219)</f>
        <v>6829370.4399999995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>
        <v>8410.99</v>
      </c>
      <c r="E222" s="11">
        <v>11796.63</v>
      </c>
      <c r="F222" s="11">
        <v>8410.99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28618.61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2156726.79</v>
      </c>
      <c r="E223" s="396">
        <f t="shared" ref="E223" si="70">SUM(E219:E222)</f>
        <v>2071481.3099999998</v>
      </c>
      <c r="F223" s="396">
        <f>SUM(F219:F222)</f>
        <v>2629780.9500000002</v>
      </c>
      <c r="G223" s="309">
        <f>SUM(G219:G222)</f>
        <v>0</v>
      </c>
      <c r="H223" s="309">
        <f t="shared" ref="H223:O223" si="71">SUM(H219:H222)</f>
        <v>0</v>
      </c>
      <c r="I223" s="309">
        <f t="shared" si="71"/>
        <v>0</v>
      </c>
      <c r="J223" s="315">
        <f t="shared" si="71"/>
        <v>0</v>
      </c>
      <c r="K223" s="315">
        <f t="shared" si="71"/>
        <v>0</v>
      </c>
      <c r="L223" s="315">
        <f t="shared" si="71"/>
        <v>0</v>
      </c>
      <c r="M223" s="315">
        <f t="shared" si="71"/>
        <v>0</v>
      </c>
      <c r="N223" s="315">
        <f t="shared" si="71"/>
        <v>0</v>
      </c>
      <c r="O223" s="315">
        <f t="shared" si="71"/>
        <v>0</v>
      </c>
      <c r="P223" s="8">
        <f>SUM(D223:O223)</f>
        <v>6857989.0499999998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2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2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2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2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396">
        <v>6859308.3499999996</v>
      </c>
      <c r="E229" s="396">
        <v>4537115.6399999997</v>
      </c>
      <c r="F229" s="11">
        <v>6698894.8899999997</v>
      </c>
      <c r="G229" s="11"/>
      <c r="H229" s="10"/>
      <c r="I229" s="10"/>
      <c r="J229" s="10"/>
      <c r="K229" s="432"/>
      <c r="L229" s="427"/>
      <c r="M229" s="432"/>
      <c r="N229" s="432"/>
      <c r="O229" s="10"/>
      <c r="P229" s="8">
        <f t="shared" si="72"/>
        <v>18095318.879999999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9016035.1400000006</v>
      </c>
      <c r="E230" s="314">
        <f t="shared" ref="E230:O230" si="73">E223+E229</f>
        <v>6608596.9499999993</v>
      </c>
      <c r="F230" s="314">
        <f t="shared" si="73"/>
        <v>9328675.8399999999</v>
      </c>
      <c r="G230" s="314">
        <f t="shared" si="73"/>
        <v>0</v>
      </c>
      <c r="H230" s="314">
        <f t="shared" si="73"/>
        <v>0</v>
      </c>
      <c r="I230" s="314">
        <f t="shared" si="73"/>
        <v>0</v>
      </c>
      <c r="J230" s="314">
        <f t="shared" si="73"/>
        <v>0</v>
      </c>
      <c r="K230" s="314">
        <f t="shared" si="73"/>
        <v>0</v>
      </c>
      <c r="L230" s="314">
        <f t="shared" si="73"/>
        <v>0</v>
      </c>
      <c r="M230" s="314">
        <f t="shared" si="73"/>
        <v>0</v>
      </c>
      <c r="N230" s="314">
        <f t="shared" si="73"/>
        <v>0</v>
      </c>
      <c r="O230" s="314">
        <f t="shared" si="73"/>
        <v>0</v>
      </c>
      <c r="P230" s="8">
        <f t="shared" si="72"/>
        <v>24953307.93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>
        <v>184168.12</v>
      </c>
      <c r="E232" s="11">
        <v>183779.41</v>
      </c>
      <c r="F232" s="11">
        <v>182464.69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550412.22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>
        <v>4637.34</v>
      </c>
      <c r="E235" s="11">
        <v>4637.34</v>
      </c>
      <c r="F235" s="11">
        <v>4637.34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13912.02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4">SUM(D232:D235)</f>
        <v>188805.46</v>
      </c>
      <c r="E236" s="314">
        <f t="shared" si="74"/>
        <v>188416.75</v>
      </c>
      <c r="F236" s="314">
        <f t="shared" si="74"/>
        <v>187102.03</v>
      </c>
      <c r="G236" s="314">
        <f t="shared" si="74"/>
        <v>0</v>
      </c>
      <c r="H236" s="314">
        <f t="shared" si="74"/>
        <v>0</v>
      </c>
      <c r="I236" s="314">
        <f t="shared" si="74"/>
        <v>0</v>
      </c>
      <c r="J236" s="314">
        <f t="shared" si="74"/>
        <v>0</v>
      </c>
      <c r="K236" s="314">
        <f t="shared" si="74"/>
        <v>0</v>
      </c>
      <c r="L236" s="314">
        <f t="shared" si="74"/>
        <v>0</v>
      </c>
      <c r="M236" s="314">
        <f t="shared" si="74"/>
        <v>0</v>
      </c>
      <c r="N236" s="314">
        <f t="shared" si="74"/>
        <v>0</v>
      </c>
      <c r="O236" s="314">
        <f t="shared" si="74"/>
        <v>0</v>
      </c>
      <c r="P236" s="280">
        <f t="shared" si="74"/>
        <v>564324.24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>
        <v>291118</v>
      </c>
      <c r="E238" s="11">
        <v>291118</v>
      </c>
      <c r="F238" s="11">
        <v>289332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871568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3">
        <v>893</v>
      </c>
      <c r="E241" s="13">
        <v>893</v>
      </c>
      <c r="F241" s="13">
        <v>893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2679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5">SUM(D238:D241)</f>
        <v>292011</v>
      </c>
      <c r="E242" s="314">
        <f t="shared" ref="E242:P242" si="76">SUM(E238:E241)</f>
        <v>292011</v>
      </c>
      <c r="F242" s="314">
        <f t="shared" si="76"/>
        <v>290225</v>
      </c>
      <c r="G242" s="314">
        <f t="shared" si="76"/>
        <v>0</v>
      </c>
      <c r="H242" s="314">
        <f t="shared" si="76"/>
        <v>0</v>
      </c>
      <c r="I242" s="309">
        <f t="shared" si="76"/>
        <v>0</v>
      </c>
      <c r="J242" s="314">
        <f t="shared" si="76"/>
        <v>0</v>
      </c>
      <c r="K242" s="314">
        <f t="shared" si="76"/>
        <v>0</v>
      </c>
      <c r="L242" s="314">
        <f t="shared" si="76"/>
        <v>0</v>
      </c>
      <c r="M242" s="314">
        <f t="shared" si="76"/>
        <v>0</v>
      </c>
      <c r="N242" s="314">
        <f t="shared" si="76"/>
        <v>0</v>
      </c>
      <c r="O242" s="314">
        <f t="shared" si="76"/>
        <v>0</v>
      </c>
      <c r="P242" s="280">
        <f t="shared" si="76"/>
        <v>874247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9496851.6000000015</v>
      </c>
      <c r="E243" s="309">
        <f t="shared" ref="E243:O243" si="77">E230+E236+E242</f>
        <v>7089024.6999999993</v>
      </c>
      <c r="F243" s="309">
        <f t="shared" si="77"/>
        <v>9806002.8699999992</v>
      </c>
      <c r="G243" s="309">
        <f t="shared" si="77"/>
        <v>0</v>
      </c>
      <c r="H243" s="309">
        <f t="shared" si="77"/>
        <v>0</v>
      </c>
      <c r="I243" s="309">
        <f t="shared" si="77"/>
        <v>0</v>
      </c>
      <c r="J243" s="309">
        <f t="shared" si="77"/>
        <v>0</v>
      </c>
      <c r="K243" s="309">
        <f t="shared" si="77"/>
        <v>0</v>
      </c>
      <c r="L243" s="309">
        <f t="shared" si="77"/>
        <v>0</v>
      </c>
      <c r="M243" s="309">
        <f t="shared" si="77"/>
        <v>0</v>
      </c>
      <c r="N243" s="309">
        <f t="shared" si="77"/>
        <v>0</v>
      </c>
      <c r="O243" s="309">
        <f t="shared" si="77"/>
        <v>0</v>
      </c>
      <c r="P243" s="280">
        <f>P216+P223+P236+P242</f>
        <v>30871749.199999999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22791713.829999998</v>
      </c>
      <c r="E245" s="139">
        <v>18775436.219999999</v>
      </c>
      <c r="F245" s="397">
        <v>25944706.829999998</v>
      </c>
      <c r="G245" s="139"/>
      <c r="H245" s="397"/>
      <c r="I245" s="139"/>
      <c r="J245" s="397"/>
      <c r="K245" s="139"/>
      <c r="L245" s="139"/>
      <c r="M245" s="139"/>
      <c r="N245" s="397"/>
      <c r="O245" s="139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>
        <v>458783.83</v>
      </c>
      <c r="E246" s="139">
        <v>458783.83</v>
      </c>
      <c r="F246" s="397">
        <v>458783.83</v>
      </c>
      <c r="G246" s="139"/>
      <c r="H246" s="397"/>
      <c r="I246" s="139"/>
      <c r="J246" s="397"/>
      <c r="K246" s="139"/>
      <c r="L246" s="139"/>
      <c r="M246" s="139"/>
      <c r="N246" s="397"/>
      <c r="O246" s="139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23250497.659999996</v>
      </c>
      <c r="E247" s="129">
        <f t="shared" ref="E247:P247" si="78">E245+E246</f>
        <v>19234220.049999997</v>
      </c>
      <c r="F247" s="129">
        <f t="shared" si="78"/>
        <v>26403490.659999996</v>
      </c>
      <c r="G247" s="129">
        <f t="shared" si="78"/>
        <v>0</v>
      </c>
      <c r="H247" s="129">
        <f t="shared" si="78"/>
        <v>0</v>
      </c>
      <c r="I247" s="129">
        <f t="shared" si="78"/>
        <v>0</v>
      </c>
      <c r="J247" s="129">
        <f t="shared" si="78"/>
        <v>0</v>
      </c>
      <c r="K247" s="129">
        <f t="shared" si="78"/>
        <v>0</v>
      </c>
      <c r="L247" s="129">
        <f t="shared" si="78"/>
        <v>0</v>
      </c>
      <c r="M247" s="129">
        <f t="shared" si="78"/>
        <v>0</v>
      </c>
      <c r="N247" s="129">
        <f t="shared" si="78"/>
        <v>0</v>
      </c>
      <c r="O247" s="129">
        <f t="shared" si="78"/>
        <v>0</v>
      </c>
      <c r="P247" s="317">
        <f t="shared" si="78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97.409864338619343</v>
      </c>
      <c r="E249" s="7">
        <f t="shared" ref="E249:P249" si="79">E58/E243%</f>
        <v>137.47477621992206</v>
      </c>
      <c r="F249" s="7">
        <f t="shared" si="79"/>
        <v>70.722800818433782</v>
      </c>
      <c r="G249" s="7" t="e">
        <f t="shared" si="79"/>
        <v>#DIV/0!</v>
      </c>
      <c r="H249" s="7" t="e">
        <f t="shared" si="79"/>
        <v>#DIV/0!</v>
      </c>
      <c r="I249" s="7" t="e">
        <f t="shared" si="79"/>
        <v>#DIV/0!</v>
      </c>
      <c r="J249" s="7" t="e">
        <f t="shared" si="79"/>
        <v>#DIV/0!</v>
      </c>
      <c r="K249" s="7" t="e">
        <f t="shared" si="79"/>
        <v>#DIV/0!</v>
      </c>
      <c r="L249" s="7" t="e">
        <f t="shared" si="79"/>
        <v>#DIV/0!</v>
      </c>
      <c r="M249" s="7" t="e">
        <f t="shared" si="79"/>
        <v>#DIV/0!</v>
      </c>
      <c r="N249" s="7" t="e">
        <f t="shared" si="79"/>
        <v>#DIV/0!</v>
      </c>
      <c r="O249" s="7" t="e">
        <f t="shared" si="79"/>
        <v>#DIV/0!</v>
      </c>
      <c r="P249" s="318">
        <f t="shared" si="79"/>
        <v>83.997737907575384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14.386582531024741</v>
      </c>
      <c r="E250" s="25">
        <f t="shared" ref="E250:P250" si="80">E210/(E223+E245)%</f>
        <v>16.816237820076417</v>
      </c>
      <c r="F250" s="25">
        <f t="shared" si="80"/>
        <v>11.855565867294789</v>
      </c>
      <c r="G250" s="25" t="e">
        <f t="shared" si="80"/>
        <v>#DIV/0!</v>
      </c>
      <c r="H250" s="25" t="e">
        <f t="shared" si="80"/>
        <v>#DIV/0!</v>
      </c>
      <c r="I250" s="25" t="e">
        <f t="shared" si="80"/>
        <v>#DIV/0!</v>
      </c>
      <c r="J250" s="25" t="e">
        <f t="shared" si="80"/>
        <v>#DIV/0!</v>
      </c>
      <c r="K250" s="25" t="e">
        <f t="shared" si="80"/>
        <v>#DIV/0!</v>
      </c>
      <c r="L250" s="25" t="e">
        <f t="shared" si="80"/>
        <v>#DIV/0!</v>
      </c>
      <c r="M250" s="25" t="e">
        <f t="shared" si="80"/>
        <v>#DIV/0!</v>
      </c>
      <c r="N250" s="25" t="e">
        <f t="shared" si="80"/>
        <v>#DIV/0!</v>
      </c>
      <c r="O250" s="25" t="e">
        <f t="shared" si="80"/>
        <v>#DIV/0!</v>
      </c>
      <c r="P250" s="301">
        <f t="shared" si="80"/>
        <v>152.85184000111522</v>
      </c>
    </row>
    <row r="251" spans="1:17" ht="16.5" thickBot="1" x14ac:dyDescent="0.3">
      <c r="A251" s="351" t="s">
        <v>15</v>
      </c>
      <c r="B251" s="352"/>
      <c r="C251" s="4" t="s">
        <v>6</v>
      </c>
      <c r="D251" s="6">
        <f>D210/D223%</f>
        <v>166.42015190064942</v>
      </c>
      <c r="E251" s="6">
        <f t="shared" ref="E251:P251" si="81">E210/E223%</f>
        <v>169.23479893719147</v>
      </c>
      <c r="F251" s="6">
        <f t="shared" si="81"/>
        <v>128.81936877670361</v>
      </c>
      <c r="G251" s="6" t="e">
        <f t="shared" si="81"/>
        <v>#DIV/0!</v>
      </c>
      <c r="H251" s="6" t="e">
        <f t="shared" si="81"/>
        <v>#DIV/0!</v>
      </c>
      <c r="I251" s="6" t="e">
        <f t="shared" si="81"/>
        <v>#DIV/0!</v>
      </c>
      <c r="J251" s="6" t="e">
        <f t="shared" si="81"/>
        <v>#DIV/0!</v>
      </c>
      <c r="K251" s="6" t="e">
        <f t="shared" si="81"/>
        <v>#DIV/0!</v>
      </c>
      <c r="L251" s="6" t="e">
        <f t="shared" si="81"/>
        <v>#DIV/0!</v>
      </c>
      <c r="M251" s="6" t="e">
        <f t="shared" si="81"/>
        <v>#DIV/0!</v>
      </c>
      <c r="N251" s="6" t="e">
        <f t="shared" si="81"/>
        <v>#DIV/0!</v>
      </c>
      <c r="O251" s="6" t="e">
        <f t="shared" si="81"/>
        <v>#DIV/0!</v>
      </c>
      <c r="P251" s="319">
        <f t="shared" si="81"/>
        <v>152.85184000111522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>
        <v>3</v>
      </c>
      <c r="E253" s="3">
        <v>7</v>
      </c>
      <c r="F253" s="3">
        <f>F91</f>
        <v>6</v>
      </c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16</v>
      </c>
    </row>
    <row r="254" spans="1:17" ht="15.75" x14ac:dyDescent="0.25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3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v>35</v>
      </c>
      <c r="E255" s="409">
        <f t="shared" ref="E255:N255" si="82">E95</f>
        <v>42</v>
      </c>
      <c r="F255" s="409">
        <f t="shared" si="82"/>
        <v>40</v>
      </c>
      <c r="G255" s="409">
        <f t="shared" si="82"/>
        <v>40</v>
      </c>
      <c r="H255" s="409">
        <f t="shared" si="82"/>
        <v>40</v>
      </c>
      <c r="I255" s="409">
        <f t="shared" si="82"/>
        <v>40</v>
      </c>
      <c r="J255" s="409">
        <f t="shared" si="82"/>
        <v>40</v>
      </c>
      <c r="K255" s="409">
        <f t="shared" si="82"/>
        <v>40</v>
      </c>
      <c r="L255" s="409">
        <f t="shared" si="82"/>
        <v>40</v>
      </c>
      <c r="M255" s="409">
        <f t="shared" si="82"/>
        <v>40</v>
      </c>
      <c r="N255" s="409">
        <f t="shared" si="82"/>
        <v>40</v>
      </c>
      <c r="O255" s="409"/>
      <c r="P255" s="410">
        <f>SUM(D255:O255)</f>
        <v>437</v>
      </c>
    </row>
    <row r="256" spans="1:17" ht="15.75" x14ac:dyDescent="0.25">
      <c r="A256" s="331" t="s">
        <v>10</v>
      </c>
      <c r="B256" s="332"/>
      <c r="C256" s="4" t="s">
        <v>3</v>
      </c>
      <c r="D256" s="3">
        <v>3</v>
      </c>
      <c r="E256" s="3">
        <f t="shared" ref="E256:N256" si="83">E91</f>
        <v>7</v>
      </c>
      <c r="F256" s="3">
        <f t="shared" si="83"/>
        <v>6</v>
      </c>
      <c r="G256" s="3">
        <f t="shared" si="83"/>
        <v>0</v>
      </c>
      <c r="H256" s="3">
        <f t="shared" si="83"/>
        <v>0</v>
      </c>
      <c r="I256" s="3">
        <f t="shared" si="83"/>
        <v>0</v>
      </c>
      <c r="J256" s="3">
        <f t="shared" si="83"/>
        <v>0</v>
      </c>
      <c r="K256" s="3">
        <f t="shared" si="83"/>
        <v>0</v>
      </c>
      <c r="L256" s="3">
        <f t="shared" si="83"/>
        <v>0</v>
      </c>
      <c r="M256" s="3">
        <f t="shared" si="83"/>
        <v>0</v>
      </c>
      <c r="N256" s="3">
        <f t="shared" si="83"/>
        <v>0</v>
      </c>
      <c r="O256" s="3"/>
      <c r="P256" s="320">
        <f>SUM(D256:O256)</f>
        <v>16</v>
      </c>
    </row>
    <row r="257" spans="1:19" ht="15.6" customHeight="1" x14ac:dyDescent="0.25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>
        <v>30</v>
      </c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90</v>
      </c>
      <c r="S257">
        <v>0</v>
      </c>
    </row>
    <row r="258" spans="1:19" ht="15.75" x14ac:dyDescent="0.25">
      <c r="A258" s="333" t="s">
        <v>8</v>
      </c>
      <c r="B258" s="334"/>
      <c r="C258" s="4" t="s">
        <v>3</v>
      </c>
      <c r="D258" s="398">
        <v>10</v>
      </c>
      <c r="E258" s="398">
        <f t="shared" ref="E258:P258" si="84">E257/E256</f>
        <v>4.2857142857142856</v>
      </c>
      <c r="F258" s="398">
        <f t="shared" si="84"/>
        <v>5</v>
      </c>
      <c r="G258" s="398" t="e">
        <f t="shared" si="84"/>
        <v>#DIV/0!</v>
      </c>
      <c r="H258" s="398" t="e">
        <f t="shared" si="84"/>
        <v>#DIV/0!</v>
      </c>
      <c r="I258" s="398" t="e">
        <f t="shared" si="84"/>
        <v>#DIV/0!</v>
      </c>
      <c r="J258" s="398" t="e">
        <f t="shared" si="84"/>
        <v>#DIV/0!</v>
      </c>
      <c r="K258" s="398" t="e">
        <f t="shared" si="84"/>
        <v>#DIV/0!</v>
      </c>
      <c r="L258" s="398" t="e">
        <f t="shared" si="84"/>
        <v>#DIV/0!</v>
      </c>
      <c r="M258" s="398" t="e">
        <f t="shared" si="84"/>
        <v>#DIV/0!</v>
      </c>
      <c r="N258" s="398" t="e">
        <f t="shared" si="84"/>
        <v>#DIV/0!</v>
      </c>
      <c r="O258" s="398"/>
      <c r="P258" s="320">
        <f t="shared" si="84"/>
        <v>5.625</v>
      </c>
    </row>
    <row r="259" spans="1:19" ht="15.75" x14ac:dyDescent="0.25">
      <c r="A259" s="333" t="s">
        <v>7</v>
      </c>
      <c r="B259" s="334"/>
      <c r="C259" s="4" t="s">
        <v>6</v>
      </c>
      <c r="D259" s="1">
        <v>17.100000000000001</v>
      </c>
      <c r="E259" s="1">
        <f t="shared" ref="E259:P259" si="85">E92/E255*100</f>
        <v>0</v>
      </c>
      <c r="F259" s="1">
        <f t="shared" si="85"/>
        <v>0</v>
      </c>
      <c r="G259" s="1">
        <f t="shared" si="85"/>
        <v>0</v>
      </c>
      <c r="H259" s="1">
        <f t="shared" si="85"/>
        <v>0</v>
      </c>
      <c r="I259" s="1">
        <f t="shared" si="85"/>
        <v>0</v>
      </c>
      <c r="J259" s="1">
        <f t="shared" si="85"/>
        <v>0</v>
      </c>
      <c r="K259" s="1">
        <f t="shared" si="85"/>
        <v>0</v>
      </c>
      <c r="L259" s="1">
        <f t="shared" si="85"/>
        <v>0</v>
      </c>
      <c r="M259" s="1">
        <f t="shared" si="85"/>
        <v>0</v>
      </c>
      <c r="N259" s="1">
        <f t="shared" si="85"/>
        <v>0</v>
      </c>
      <c r="O259" s="1" t="e">
        <f t="shared" si="85"/>
        <v>#DIV/0!</v>
      </c>
      <c r="P259" s="321">
        <f t="shared" si="85"/>
        <v>0</v>
      </c>
    </row>
    <row r="260" spans="1:19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9" ht="15" customHeight="1" x14ac:dyDescent="0.25">
      <c r="A261" s="331" t="s">
        <v>4</v>
      </c>
      <c r="B261" s="332"/>
      <c r="C261" s="4" t="s">
        <v>3</v>
      </c>
      <c r="D261" s="3">
        <v>12</v>
      </c>
      <c r="E261" s="3">
        <v>10</v>
      </c>
      <c r="F261" s="3">
        <v>8</v>
      </c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30</v>
      </c>
    </row>
    <row r="262" spans="1:19" ht="15.75" customHeight="1" x14ac:dyDescent="0.25">
      <c r="A262" s="331" t="s">
        <v>2</v>
      </c>
      <c r="B262" s="332"/>
      <c r="C262" s="4" t="s">
        <v>0</v>
      </c>
      <c r="D262" s="3">
        <v>4</v>
      </c>
      <c r="E262" s="3">
        <v>2</v>
      </c>
      <c r="F262" s="3">
        <v>1</v>
      </c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7</v>
      </c>
    </row>
    <row r="263" spans="1:19" ht="16.5" thickBot="1" x14ac:dyDescent="0.3">
      <c r="A263" s="340" t="s">
        <v>1</v>
      </c>
      <c r="B263" s="341"/>
      <c r="C263" s="105" t="s">
        <v>0</v>
      </c>
      <c r="D263" s="106">
        <f>D261/D262</f>
        <v>3</v>
      </c>
      <c r="E263" s="106">
        <f t="shared" ref="E263:P263" si="86">E261/E262</f>
        <v>5</v>
      </c>
      <c r="F263" s="106">
        <f t="shared" si="86"/>
        <v>8</v>
      </c>
      <c r="G263" s="106" t="e">
        <f t="shared" si="86"/>
        <v>#DIV/0!</v>
      </c>
      <c r="H263" s="106" t="e">
        <f t="shared" si="86"/>
        <v>#DIV/0!</v>
      </c>
      <c r="I263" s="106" t="e">
        <f t="shared" si="86"/>
        <v>#DIV/0!</v>
      </c>
      <c r="J263" s="106" t="e">
        <f t="shared" si="86"/>
        <v>#DIV/0!</v>
      </c>
      <c r="K263" s="106" t="e">
        <f t="shared" si="86"/>
        <v>#DIV/0!</v>
      </c>
      <c r="L263" s="106" t="e">
        <f t="shared" si="86"/>
        <v>#DIV/0!</v>
      </c>
      <c r="M263" s="106" t="e">
        <f t="shared" si="86"/>
        <v>#DIV/0!</v>
      </c>
      <c r="N263" s="106" t="e">
        <f t="shared" si="86"/>
        <v>#DIV/0!</v>
      </c>
      <c r="O263" s="106" t="e">
        <f t="shared" si="86"/>
        <v>#DIV/0!</v>
      </c>
      <c r="P263" s="167">
        <f t="shared" si="86"/>
        <v>4.2857142857142856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263"/>
  <sheetViews>
    <sheetView zoomScale="77" zoomScaleNormal="77" workbookViewId="0">
      <pane xSplit="3" topLeftCell="D1" activePane="topRight" state="frozen"/>
      <selection pane="topRight" activeCell="G261" sqref="G261:G262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802</v>
      </c>
      <c r="E9" s="52">
        <v>981</v>
      </c>
      <c r="F9" s="52">
        <v>607</v>
      </c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2390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0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271</v>
      </c>
      <c r="E17" s="22">
        <v>212</v>
      </c>
      <c r="F17" s="22">
        <v>201</v>
      </c>
      <c r="G17" s="22"/>
      <c r="H17" s="339"/>
      <c r="I17" s="339"/>
      <c r="J17" s="339"/>
      <c r="K17" s="22"/>
      <c r="L17" s="22"/>
      <c r="M17" s="437"/>
      <c r="N17" s="339"/>
      <c r="O17" s="339"/>
      <c r="P17" s="257">
        <f>SUM(D17:O17)</f>
        <v>684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22"/>
      <c r="H18" s="339"/>
      <c r="I18" s="339"/>
      <c r="J18" s="339"/>
      <c r="K18" s="22"/>
      <c r="L18" s="22"/>
      <c r="M18" s="437"/>
      <c r="N18" s="339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401</v>
      </c>
      <c r="E19" s="22">
        <v>577</v>
      </c>
      <c r="F19" s="22">
        <v>274</v>
      </c>
      <c r="G19" s="22"/>
      <c r="H19" s="339"/>
      <c r="I19" s="339"/>
      <c r="J19" s="339"/>
      <c r="K19" s="22"/>
      <c r="L19" s="22"/>
      <c r="M19" s="437"/>
      <c r="N19" s="339"/>
      <c r="O19" s="339"/>
      <c r="P19" s="257">
        <f>SUM(D19:O19)</f>
        <v>1252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5</v>
      </c>
      <c r="E20" s="22">
        <v>10</v>
      </c>
      <c r="F20" s="22"/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15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677</v>
      </c>
      <c r="E21" s="258">
        <f t="shared" ref="E21:P21" si="1">SUM(E17:E20)</f>
        <v>799</v>
      </c>
      <c r="F21" s="258">
        <f t="shared" si="1"/>
        <v>475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1951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677</v>
      </c>
      <c r="E22" s="258">
        <f t="shared" ref="E22:P22" si="2">E21+E15</f>
        <v>799</v>
      </c>
      <c r="F22" s="258">
        <f t="shared" si="2"/>
        <v>475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1951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125</v>
      </c>
      <c r="E24" s="261">
        <f t="shared" ref="E24:P24" si="3">E9-E22</f>
        <v>182</v>
      </c>
      <c r="F24" s="261">
        <f t="shared" si="3"/>
        <v>132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439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0.15586034912718205</v>
      </c>
      <c r="E25" s="265">
        <f t="shared" si="4"/>
        <v>0.18552497451580022</v>
      </c>
      <c r="F25" s="265">
        <f t="shared" si="4"/>
        <v>0.21746293245469522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0.18368200836820084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8">
        <v>5</v>
      </c>
      <c r="E29" s="414">
        <v>5</v>
      </c>
      <c r="F29" s="38">
        <v>4</v>
      </c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14</v>
      </c>
    </row>
    <row r="30" spans="1:18" ht="15.75" x14ac:dyDescent="0.25">
      <c r="A30" s="187"/>
      <c r="B30" s="441"/>
      <c r="C30" s="37" t="s">
        <v>141</v>
      </c>
      <c r="D30" s="13">
        <f t="shared" ref="D30:P30" si="5">D29/(D9/1000)</f>
        <v>6.2344139650872812</v>
      </c>
      <c r="E30" s="13">
        <f t="shared" si="5"/>
        <v>5.0968399592252807</v>
      </c>
      <c r="F30" s="13">
        <f t="shared" si="5"/>
        <v>6.5897858319604614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275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5.8577405857740583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1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25558.35</v>
      </c>
      <c r="E41" s="278">
        <f t="shared" ref="E41:O41" si="10">(E29*$B29)+(E31*$B31)+(E33*$B33)+(E35*$B35)+(E37*$B37)+(E39*$B39)</f>
        <v>25558.35</v>
      </c>
      <c r="F41" s="278">
        <f t="shared" si="10"/>
        <v>20446.68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71563.38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31.868266832917705</v>
      </c>
      <c r="E42" s="275">
        <f t="shared" si="11"/>
        <v>26.053363914373087</v>
      </c>
      <c r="F42" s="275">
        <f t="shared" si="11"/>
        <v>33.684810543657335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29.942836820083684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386</v>
      </c>
      <c r="E44" s="415">
        <v>685</v>
      </c>
      <c r="F44" s="3">
        <v>422</v>
      </c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1493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0.48129675810473815</v>
      </c>
      <c r="E45" s="13">
        <f t="shared" si="12"/>
        <v>0.69826707441386338</v>
      </c>
      <c r="F45" s="13">
        <f t="shared" si="12"/>
        <v>0.69522240527182866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0.62468619246861923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128873.82</v>
      </c>
      <c r="E46" s="403">
        <f>333.87*E44</f>
        <v>228700.95</v>
      </c>
      <c r="F46" s="403">
        <f t="shared" ref="F46:O46" si="13">333.87*F44</f>
        <v>140893.14000000001</v>
      </c>
      <c r="G46" s="403">
        <f t="shared" si="13"/>
        <v>0</v>
      </c>
      <c r="H46" s="403">
        <f t="shared" si="13"/>
        <v>0</v>
      </c>
      <c r="I46" s="403">
        <f t="shared" si="13"/>
        <v>0</v>
      </c>
      <c r="J46" s="403">
        <f t="shared" si="13"/>
        <v>0</v>
      </c>
      <c r="K46" s="403">
        <f t="shared" si="13"/>
        <v>0</v>
      </c>
      <c r="L46" s="403">
        <f t="shared" si="13"/>
        <v>0</v>
      </c>
      <c r="M46" s="403">
        <f t="shared" si="13"/>
        <v>0</v>
      </c>
      <c r="N46" s="403">
        <f t="shared" si="13"/>
        <v>0</v>
      </c>
      <c r="O46" s="403">
        <f t="shared" si="13"/>
        <v>0</v>
      </c>
      <c r="P46" s="34">
        <f>SUM(D46:O46)</f>
        <v>498467.91000000003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4">D46/D9</f>
        <v>160.69054862842893</v>
      </c>
      <c r="E47" s="13">
        <f t="shared" si="14"/>
        <v>233.13042813455658</v>
      </c>
      <c r="F47" s="13">
        <f>F46/F9</f>
        <v>232.11390444810547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/>
      <c r="P47" s="276">
        <f t="shared" si="14"/>
        <v>208.56397907949793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>
        <v>962553.49</v>
      </c>
      <c r="E54" s="11">
        <v>1097996.57</v>
      </c>
      <c r="F54" s="11">
        <v>1097996.57</v>
      </c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3158546.63</v>
      </c>
    </row>
    <row r="55" spans="1:16" ht="15.75" x14ac:dyDescent="0.25">
      <c r="A55" s="281" t="s">
        <v>123</v>
      </c>
      <c r="B55" s="260"/>
      <c r="C55" s="4" t="s">
        <v>18</v>
      </c>
      <c r="D55" s="11"/>
      <c r="E55" s="11">
        <v>423499.96</v>
      </c>
      <c r="F55" s="11">
        <v>454462.07999999996</v>
      </c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877962.04</v>
      </c>
    </row>
    <row r="56" spans="1:16" ht="15.75" x14ac:dyDescent="0.25">
      <c r="A56" s="331" t="s">
        <v>122</v>
      </c>
      <c r="B56" s="332"/>
      <c r="C56" s="4" t="s">
        <v>18</v>
      </c>
      <c r="D56" s="11"/>
      <c r="E56" s="11">
        <v>250000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250000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1116985.6599999999</v>
      </c>
      <c r="E58" s="11">
        <f t="shared" ref="E58:N58" si="15">E41+E46+E51+E52+E54+E55+E56</f>
        <v>2025755.83</v>
      </c>
      <c r="F58" s="11">
        <f t="shared" si="15"/>
        <v>1713798.4700000002</v>
      </c>
      <c r="G58" s="277">
        <f t="shared" si="15"/>
        <v>0</v>
      </c>
      <c r="H58" s="277">
        <f t="shared" si="15"/>
        <v>0</v>
      </c>
      <c r="I58" s="277">
        <f t="shared" si="15"/>
        <v>0</v>
      </c>
      <c r="J58" s="404">
        <f t="shared" si="15"/>
        <v>0</v>
      </c>
      <c r="K58" s="404">
        <f t="shared" si="15"/>
        <v>0</v>
      </c>
      <c r="L58" s="404">
        <f t="shared" si="15"/>
        <v>0</v>
      </c>
      <c r="M58" s="404">
        <f t="shared" si="15"/>
        <v>0</v>
      </c>
      <c r="N58" s="404">
        <f t="shared" si="15"/>
        <v>0</v>
      </c>
      <c r="O58" s="404"/>
      <c r="P58" s="59">
        <f>SUM(D58:O58)</f>
        <v>4856539.9600000009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6">D58/D9</f>
        <v>1392.7501995012467</v>
      </c>
      <c r="E59" s="13">
        <f t="shared" si="16"/>
        <v>2064.9906523955146</v>
      </c>
      <c r="F59" s="13">
        <f t="shared" si="16"/>
        <v>2823.3912191103791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2032.0250878661091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1649.904963072378</v>
      </c>
      <c r="E60" s="13">
        <f t="shared" ref="E60:N60" si="17">E58/E22</f>
        <v>2535.3639924906133</v>
      </c>
      <c r="F60" s="13">
        <f t="shared" si="17"/>
        <v>3607.996778947369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2489.256770886725</v>
      </c>
    </row>
    <row r="61" spans="1:16" ht="15.75" x14ac:dyDescent="0.25">
      <c r="A61" s="331" t="s">
        <v>116</v>
      </c>
      <c r="B61" s="332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>
        <f t="shared" si="18"/>
        <v>0</v>
      </c>
      <c r="F62" s="13">
        <f t="shared" si="18"/>
        <v>0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4</v>
      </c>
      <c r="E63" s="3">
        <v>4</v>
      </c>
      <c r="F63" s="3">
        <v>4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12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/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75" x14ac:dyDescent="0.25">
      <c r="A67" s="325"/>
      <c r="B67" s="4" t="s">
        <v>106</v>
      </c>
      <c r="C67" s="4" t="s">
        <v>3</v>
      </c>
      <c r="D67" s="3"/>
      <c r="E67" s="3"/>
      <c r="F67" s="3"/>
      <c r="G67" s="3"/>
      <c r="H67" s="3"/>
      <c r="I67" s="3"/>
      <c r="J67" s="3"/>
      <c r="K67" s="3"/>
      <c r="L67" s="284"/>
      <c r="M67" s="284"/>
      <c r="N67" s="284"/>
      <c r="O67" s="284"/>
      <c r="P67" s="31">
        <f>SUM(D67:O67)</f>
        <v>0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284"/>
      <c r="N68" s="284"/>
      <c r="O68" s="284"/>
      <c r="P68" s="31">
        <f t="shared" ref="P68:P69" si="20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/>
      <c r="E69" s="3"/>
      <c r="F69" s="3"/>
      <c r="G69" s="3"/>
      <c r="H69" s="3"/>
      <c r="I69" s="3"/>
      <c r="J69" s="284"/>
      <c r="K69" s="3"/>
      <c r="L69" s="284"/>
      <c r="M69" s="284"/>
      <c r="N69" s="284"/>
      <c r="O69" s="284"/>
      <c r="P69" s="31">
        <f t="shared" si="20"/>
        <v>0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/>
      <c r="M70" s="284"/>
      <c r="N70" s="284"/>
      <c r="O70" s="284"/>
      <c r="P70" s="285">
        <f t="shared" ref="P70" si="22">P68+P69</f>
        <v>0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/>
      <c r="M82" s="284">
        <f t="shared" ref="M82:P82" si="32">M81+M80</f>
        <v>0</v>
      </c>
      <c r="N82" s="284">
        <f t="shared" si="32"/>
        <v>0</v>
      </c>
      <c r="O82" s="284"/>
      <c r="P82" s="288">
        <f t="shared" si="32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5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5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14</v>
      </c>
      <c r="E101" s="3">
        <v>14</v>
      </c>
      <c r="F101" s="3">
        <v>14</v>
      </c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2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2</v>
      </c>
      <c r="E103" s="3">
        <v>2</v>
      </c>
      <c r="F103" s="3">
        <v>2</v>
      </c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2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2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16</v>
      </c>
      <c r="E105" s="296">
        <f t="shared" ref="E105:O105" si="43">SUM(E101:E104)</f>
        <v>16</v>
      </c>
      <c r="F105" s="296">
        <f t="shared" si="43"/>
        <v>16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120">
        <v>42</v>
      </c>
      <c r="E107" s="120">
        <v>42</v>
      </c>
      <c r="F107" s="120"/>
      <c r="G107" s="120"/>
      <c r="H107" s="120"/>
      <c r="I107" s="120"/>
      <c r="J107" s="120"/>
      <c r="K107" s="120"/>
      <c r="L107" s="120"/>
      <c r="M107" s="3"/>
      <c r="N107" s="3"/>
      <c r="O107" s="3"/>
      <c r="P107" s="295">
        <f t="shared" si="42"/>
        <v>0</v>
      </c>
    </row>
    <row r="108" spans="1:21" ht="15.75" x14ac:dyDescent="0.25">
      <c r="A108" s="331" t="s">
        <v>196</v>
      </c>
      <c r="B108" s="332"/>
      <c r="C108" s="4" t="s">
        <v>3</v>
      </c>
      <c r="D108" s="120">
        <v>8</v>
      </c>
      <c r="E108" s="120">
        <v>8</v>
      </c>
      <c r="F108" s="120"/>
      <c r="G108" s="120"/>
      <c r="H108" s="120"/>
      <c r="I108" s="120"/>
      <c r="J108" s="120"/>
      <c r="K108" s="120"/>
      <c r="L108" s="120"/>
      <c r="M108" s="3"/>
      <c r="N108" s="3"/>
      <c r="O108" s="3"/>
      <c r="P108" s="295">
        <f t="shared" si="42"/>
        <v>0</v>
      </c>
    </row>
    <row r="109" spans="1:21" ht="15.75" x14ac:dyDescent="0.25">
      <c r="A109" s="331" t="s">
        <v>197</v>
      </c>
      <c r="B109" s="332"/>
      <c r="C109" s="4" t="s">
        <v>3</v>
      </c>
      <c r="D109" s="120"/>
      <c r="E109" s="120"/>
      <c r="F109" s="120"/>
      <c r="G109" s="120"/>
      <c r="H109" s="120"/>
      <c r="I109" s="120"/>
      <c r="J109" s="120"/>
      <c r="K109" s="120"/>
      <c r="L109" s="120"/>
      <c r="M109" s="3"/>
      <c r="N109" s="3"/>
      <c r="O109" s="3"/>
      <c r="P109" s="295">
        <f t="shared" si="42"/>
        <v>0</v>
      </c>
    </row>
    <row r="110" spans="1:21" ht="15.75" x14ac:dyDescent="0.25">
      <c r="A110" s="331" t="s">
        <v>198</v>
      </c>
      <c r="B110" s="332"/>
      <c r="C110" s="4" t="s">
        <v>3</v>
      </c>
      <c r="D110" s="120"/>
      <c r="E110" s="120"/>
      <c r="F110" s="120"/>
      <c r="G110" s="120"/>
      <c r="H110" s="120"/>
      <c r="I110" s="120"/>
      <c r="J110" s="120"/>
      <c r="K110" s="120"/>
      <c r="L110" s="120"/>
      <c r="M110" s="3"/>
      <c r="N110" s="3"/>
      <c r="O110" s="3"/>
      <c r="P110" s="295">
        <f t="shared" si="42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50</v>
      </c>
      <c r="E111" s="296">
        <f t="shared" ref="E111:O111" si="44">SUM(E107:E110)</f>
        <v>50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3"/>
      <c r="E113" s="3"/>
      <c r="F113" s="3">
        <v>42</v>
      </c>
      <c r="G113" s="3"/>
      <c r="H113" s="3"/>
      <c r="I113" s="3"/>
      <c r="J113" s="3"/>
      <c r="K113" s="121"/>
      <c r="L113" s="121"/>
      <c r="M113" s="121"/>
      <c r="N113" s="3"/>
      <c r="O113" s="3"/>
      <c r="P113" s="295">
        <f t="shared" si="42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/>
      <c r="E114" s="3"/>
      <c r="F114" s="3">
        <v>8</v>
      </c>
      <c r="G114" s="3"/>
      <c r="H114" s="3"/>
      <c r="I114" s="3"/>
      <c r="J114" s="3"/>
      <c r="K114" s="121"/>
      <c r="L114" s="121"/>
      <c r="M114" s="121"/>
      <c r="N114" s="3"/>
      <c r="O114" s="3"/>
      <c r="P114" s="295">
        <f t="shared" si="42"/>
        <v>0</v>
      </c>
    </row>
    <row r="115" spans="1:18" ht="15.75" x14ac:dyDescent="0.25">
      <c r="A115" s="331" t="s">
        <v>201</v>
      </c>
      <c r="B115" s="332"/>
      <c r="C115" s="4" t="s">
        <v>3</v>
      </c>
      <c r="D115" s="3"/>
      <c r="E115" s="3"/>
      <c r="F115" s="3"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295">
        <f t="shared" si="42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/>
      <c r="E116" s="3"/>
      <c r="F116" s="3"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295">
        <f t="shared" si="42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0</v>
      </c>
      <c r="E117" s="296">
        <f t="shared" ref="E117:P117" si="45">SUM(E113:E116)</f>
        <v>0</v>
      </c>
      <c r="F117" s="296">
        <f t="shared" si="45"/>
        <v>50</v>
      </c>
      <c r="G117" s="296">
        <f t="shared" si="45"/>
        <v>0</v>
      </c>
      <c r="H117" s="296">
        <f t="shared" si="45"/>
        <v>0</v>
      </c>
      <c r="I117" s="296">
        <f t="shared" si="45"/>
        <v>0</v>
      </c>
      <c r="J117" s="296">
        <f t="shared" si="45"/>
        <v>0</v>
      </c>
      <c r="K117" s="296">
        <f t="shared" si="45"/>
        <v>0</v>
      </c>
      <c r="L117" s="296">
        <f t="shared" si="45"/>
        <v>0</v>
      </c>
      <c r="M117" s="296">
        <f t="shared" si="45"/>
        <v>0</v>
      </c>
      <c r="N117" s="296">
        <f t="shared" si="45"/>
        <v>0</v>
      </c>
      <c r="O117" s="296">
        <f t="shared" si="45"/>
        <v>0</v>
      </c>
      <c r="P117" s="257">
        <f t="shared" si="45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6">D111+D117</f>
        <v>50</v>
      </c>
      <c r="E118" s="296">
        <f t="shared" si="46"/>
        <v>50</v>
      </c>
      <c r="F118" s="296">
        <f t="shared" si="46"/>
        <v>50</v>
      </c>
      <c r="G118" s="296">
        <f t="shared" si="46"/>
        <v>0</v>
      </c>
      <c r="H118" s="296">
        <f t="shared" si="46"/>
        <v>0</v>
      </c>
      <c r="I118" s="296">
        <f t="shared" si="46"/>
        <v>0</v>
      </c>
      <c r="J118" s="296">
        <f t="shared" si="46"/>
        <v>0</v>
      </c>
      <c r="K118" s="296">
        <f t="shared" si="46"/>
        <v>0</v>
      </c>
      <c r="L118" s="296">
        <f t="shared" si="46"/>
        <v>0</v>
      </c>
      <c r="M118" s="296">
        <f t="shared" si="46"/>
        <v>0</v>
      </c>
      <c r="N118" s="296">
        <f t="shared" si="46"/>
        <v>0</v>
      </c>
      <c r="O118" s="296">
        <f t="shared" si="46"/>
        <v>0</v>
      </c>
      <c r="P118" s="296">
        <f t="shared" si="46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47">D105+D118</f>
        <v>66</v>
      </c>
      <c r="E119" s="296">
        <f t="shared" si="47"/>
        <v>66</v>
      </c>
      <c r="F119" s="296">
        <f t="shared" si="47"/>
        <v>66</v>
      </c>
      <c r="G119" s="296">
        <f t="shared" si="47"/>
        <v>0</v>
      </c>
      <c r="H119" s="296">
        <f t="shared" si="47"/>
        <v>0</v>
      </c>
      <c r="I119" s="296">
        <f t="shared" si="47"/>
        <v>0</v>
      </c>
      <c r="J119" s="296">
        <f t="shared" si="47"/>
        <v>0</v>
      </c>
      <c r="K119" s="296">
        <f t="shared" si="47"/>
        <v>0</v>
      </c>
      <c r="L119" s="296">
        <f t="shared" si="47"/>
        <v>0</v>
      </c>
      <c r="M119" s="296">
        <f t="shared" si="47"/>
        <v>0</v>
      </c>
      <c r="N119" s="296">
        <f t="shared" si="47"/>
        <v>0</v>
      </c>
      <c r="O119" s="296">
        <f t="shared" si="47"/>
        <v>0</v>
      </c>
      <c r="P119" s="296">
        <f t="shared" si="47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6">
        <v>1258</v>
      </c>
      <c r="E121" s="416">
        <v>1258</v>
      </c>
      <c r="F121" s="416">
        <v>1258</v>
      </c>
      <c r="G121" s="416"/>
      <c r="H121" s="416"/>
      <c r="I121" s="416"/>
      <c r="J121" s="416"/>
      <c r="K121" s="3"/>
      <c r="L121" s="3"/>
      <c r="M121" s="3"/>
      <c r="N121" s="3"/>
      <c r="O121" s="117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6">
        <v>1032</v>
      </c>
      <c r="E122" s="416">
        <v>1032</v>
      </c>
      <c r="F122" s="416">
        <v>1032</v>
      </c>
      <c r="G122" s="416"/>
      <c r="H122" s="416"/>
      <c r="I122" s="416"/>
      <c r="J122" s="416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48">D122/D121</f>
        <v>0.82034976152623207</v>
      </c>
      <c r="E123" s="25">
        <f t="shared" si="48"/>
        <v>0.82034976152623207</v>
      </c>
      <c r="F123" s="25">
        <f t="shared" si="48"/>
        <v>0.82034976152623207</v>
      </c>
      <c r="G123" s="300" t="e">
        <f t="shared" si="48"/>
        <v>#DIV/0!</v>
      </c>
      <c r="H123" s="300" t="e">
        <f t="shared" si="48"/>
        <v>#DIV/0!</v>
      </c>
      <c r="I123" s="300" t="e">
        <f t="shared" si="48"/>
        <v>#DIV/0!</v>
      </c>
      <c r="J123" s="300" t="e">
        <f t="shared" si="48"/>
        <v>#DIV/0!</v>
      </c>
      <c r="K123" s="300" t="e">
        <f t="shared" si="48"/>
        <v>#DIV/0!</v>
      </c>
      <c r="L123" s="300" t="e">
        <f t="shared" si="48"/>
        <v>#DIV/0!</v>
      </c>
      <c r="M123" s="300" t="e">
        <f t="shared" si="48"/>
        <v>#DIV/0!</v>
      </c>
      <c r="N123" s="300" t="e">
        <f t="shared" si="48"/>
        <v>#DIV/0!</v>
      </c>
      <c r="O123" s="300" t="e">
        <f t="shared" si="48"/>
        <v>#DIV/0!</v>
      </c>
      <c r="P123" s="301" t="e">
        <f t="shared" si="48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399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75" x14ac:dyDescent="0.25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>
        <v>1</v>
      </c>
      <c r="E153" s="419">
        <v>3</v>
      </c>
      <c r="F153" s="120">
        <v>4</v>
      </c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58">SUM(D153:O153)</f>
        <v>8</v>
      </c>
    </row>
    <row r="154" spans="1:16" ht="15.75" x14ac:dyDescent="0.25">
      <c r="A154" s="357"/>
      <c r="B154" s="18" t="s">
        <v>72</v>
      </c>
      <c r="C154" s="4" t="s">
        <v>57</v>
      </c>
      <c r="D154" s="120">
        <v>1</v>
      </c>
      <c r="E154" s="419">
        <v>1</v>
      </c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58"/>
        <v>2</v>
      </c>
    </row>
    <row r="155" spans="1:16" ht="15.75" x14ac:dyDescent="0.25">
      <c r="A155" s="357"/>
      <c r="B155" s="18" t="s">
        <v>53</v>
      </c>
      <c r="C155" s="4" t="s">
        <v>57</v>
      </c>
      <c r="D155" s="120"/>
      <c r="E155" s="419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8"/>
        <v>0</v>
      </c>
    </row>
    <row r="156" spans="1:16" ht="15.75" x14ac:dyDescent="0.25">
      <c r="A156" s="357"/>
      <c r="B156" s="18" t="s">
        <v>71</v>
      </c>
      <c r="C156" s="4" t="s">
        <v>57</v>
      </c>
      <c r="D156" s="120"/>
      <c r="E156" s="419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8"/>
        <v>0</v>
      </c>
    </row>
    <row r="157" spans="1:16" ht="15.75" x14ac:dyDescent="0.25">
      <c r="A157" s="357"/>
      <c r="B157" s="18" t="s">
        <v>52</v>
      </c>
      <c r="C157" s="4" t="s">
        <v>57</v>
      </c>
      <c r="D157" s="120">
        <v>1</v>
      </c>
      <c r="E157" s="419"/>
      <c r="F157" s="120">
        <v>1</v>
      </c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8"/>
        <v>2</v>
      </c>
    </row>
    <row r="158" spans="1:16" ht="15.75" x14ac:dyDescent="0.25">
      <c r="A158" s="357"/>
      <c r="B158" s="18" t="s">
        <v>51</v>
      </c>
      <c r="C158" s="4" t="s">
        <v>57</v>
      </c>
      <c r="D158" s="120">
        <v>1</v>
      </c>
      <c r="E158" s="419"/>
      <c r="F158" s="120">
        <v>2</v>
      </c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8"/>
        <v>3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8"/>
        <v>0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8"/>
        <v>0</v>
      </c>
    </row>
    <row r="161" spans="1:16" ht="15.75" x14ac:dyDescent="0.25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8"/>
        <v>0</v>
      </c>
    </row>
    <row r="162" spans="1:16" ht="15.75" x14ac:dyDescent="0.25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8"/>
        <v>0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8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8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8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9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9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4</v>
      </c>
      <c r="E193" s="141">
        <f t="shared" ref="E193:O193" si="61">SUM(E153:E192)</f>
        <v>4</v>
      </c>
      <c r="F193" s="141">
        <f t="shared" si="61"/>
        <v>7</v>
      </c>
      <c r="G193" s="141">
        <f t="shared" si="61"/>
        <v>0</v>
      </c>
      <c r="H193" s="141">
        <f t="shared" si="61"/>
        <v>0</v>
      </c>
      <c r="I193" s="141">
        <f t="shared" si="61"/>
        <v>0</v>
      </c>
      <c r="J193" s="141">
        <f t="shared" si="61"/>
        <v>0</v>
      </c>
      <c r="K193" s="141">
        <f t="shared" si="61"/>
        <v>0</v>
      </c>
      <c r="L193" s="141">
        <f t="shared" si="61"/>
        <v>0</v>
      </c>
      <c r="M193" s="141">
        <f t="shared" si="61"/>
        <v>0</v>
      </c>
      <c r="N193" s="141">
        <f t="shared" si="61"/>
        <v>0</v>
      </c>
      <c r="O193" s="141">
        <f t="shared" si="61"/>
        <v>0</v>
      </c>
      <c r="P193" s="92">
        <f>SUM(P153:P192)</f>
        <v>15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415"/>
      <c r="F194" s="3"/>
      <c r="G194" s="3"/>
      <c r="H194" s="3"/>
      <c r="I194" s="279"/>
      <c r="J194" s="279"/>
      <c r="K194" s="3"/>
      <c r="L194" s="3"/>
      <c r="M194" s="3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415"/>
      <c r="F195" s="3"/>
      <c r="G195" s="3"/>
      <c r="H195" s="3"/>
      <c r="I195" s="279"/>
      <c r="J195" s="279"/>
      <c r="K195" s="3"/>
      <c r="L195" s="3"/>
      <c r="M195" s="3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6</v>
      </c>
    </row>
    <row r="197" spans="1:16" ht="15.75" x14ac:dyDescent="0.25">
      <c r="A197" s="331" t="s">
        <v>56</v>
      </c>
      <c r="B197" s="332"/>
      <c r="C197" s="14" t="s">
        <v>55</v>
      </c>
      <c r="D197" s="3">
        <v>32</v>
      </c>
      <c r="E197" s="3">
        <v>28</v>
      </c>
      <c r="F197" s="3">
        <v>36</v>
      </c>
      <c r="G197" s="3"/>
      <c r="H197" s="3"/>
      <c r="I197" s="279"/>
      <c r="J197" s="279"/>
      <c r="K197" s="3"/>
      <c r="L197" s="3"/>
      <c r="M197" s="3"/>
      <c r="N197" s="279"/>
      <c r="O197" s="279"/>
      <c r="P197" s="8">
        <f>SUM(D197:O197)</f>
        <v>96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2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2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2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2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2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3">SUM(D199:D203)</f>
        <v>0</v>
      </c>
      <c r="E204" s="13">
        <f t="shared" si="63"/>
        <v>0</v>
      </c>
      <c r="F204" s="13">
        <f t="shared" si="63"/>
        <v>0</v>
      </c>
      <c r="G204" s="13">
        <f t="shared" ref="G204:O204" si="64">SUM(G199:G203)</f>
        <v>0</v>
      </c>
      <c r="H204" s="13">
        <f t="shared" si="64"/>
        <v>0</v>
      </c>
      <c r="I204" s="275">
        <f t="shared" si="64"/>
        <v>0</v>
      </c>
      <c r="J204" s="275">
        <f t="shared" si="64"/>
        <v>0</v>
      </c>
      <c r="K204" s="275">
        <f t="shared" si="64"/>
        <v>0</v>
      </c>
      <c r="L204" s="275">
        <f t="shared" si="64"/>
        <v>0</v>
      </c>
      <c r="M204" s="275">
        <f t="shared" si="64"/>
        <v>0</v>
      </c>
      <c r="N204" s="275">
        <f t="shared" si="64"/>
        <v>0</v>
      </c>
      <c r="O204" s="275">
        <f t="shared" si="64"/>
        <v>0</v>
      </c>
      <c r="P204" s="100">
        <f t="shared" si="62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11"/>
      <c r="E206" s="11"/>
      <c r="F206" s="11"/>
      <c r="G206" s="11"/>
      <c r="H206" s="396"/>
      <c r="I206" s="396"/>
      <c r="J206" s="396"/>
      <c r="K206" s="396"/>
      <c r="L206" s="11"/>
      <c r="M206" s="11"/>
      <c r="N206" s="404"/>
      <c r="O206" s="404"/>
      <c r="P206" s="408">
        <f>SUM(D206:O206)</f>
        <v>0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5">SUM(D206:D209)</f>
        <v>0</v>
      </c>
      <c r="E210" s="309">
        <f t="shared" si="65"/>
        <v>0</v>
      </c>
      <c r="F210" s="309">
        <f t="shared" si="65"/>
        <v>0</v>
      </c>
      <c r="G210" s="309">
        <f t="shared" si="65"/>
        <v>0</v>
      </c>
      <c r="H210" s="309">
        <f t="shared" si="65"/>
        <v>0</v>
      </c>
      <c r="I210" s="309">
        <f t="shared" si="65"/>
        <v>0</v>
      </c>
      <c r="J210" s="309">
        <f t="shared" si="65"/>
        <v>0</v>
      </c>
      <c r="K210" s="309">
        <f t="shared" si="65"/>
        <v>0</v>
      </c>
      <c r="L210" s="309">
        <f t="shared" si="65"/>
        <v>0</v>
      </c>
      <c r="M210" s="309">
        <f t="shared" si="65"/>
        <v>0</v>
      </c>
      <c r="N210" s="309">
        <f t="shared" si="65"/>
        <v>0</v>
      </c>
      <c r="O210" s="309">
        <f t="shared" si="65"/>
        <v>0</v>
      </c>
      <c r="P210" s="8">
        <f>SUM(D210:O210)</f>
        <v>0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168200</v>
      </c>
      <c r="E212" s="11">
        <v>1638400</v>
      </c>
      <c r="F212" s="11">
        <v>149600</v>
      </c>
      <c r="G212" s="11"/>
      <c r="H212" s="11"/>
      <c r="I212" s="11"/>
      <c r="J212" s="11"/>
      <c r="K212" s="11"/>
      <c r="L212" s="11"/>
      <c r="M212" s="396"/>
      <c r="N212" s="11"/>
      <c r="O212" s="11"/>
      <c r="P212" s="8">
        <f>SUM(D212:O212)</f>
        <v>1956200</v>
      </c>
    </row>
    <row r="213" spans="1:16" ht="15.75" x14ac:dyDescent="0.25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75" x14ac:dyDescent="0.25">
      <c r="A214" s="338" t="s">
        <v>41</v>
      </c>
      <c r="B214" s="339"/>
      <c r="C214" s="4" t="s">
        <v>31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396"/>
      <c r="N214" s="11"/>
      <c r="O214" s="11"/>
      <c r="P214" s="8">
        <f>SUM(D214:O214)</f>
        <v>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19500</v>
      </c>
      <c r="E215" s="11">
        <v>2176800</v>
      </c>
      <c r="F215" s="11"/>
      <c r="G215" s="11"/>
      <c r="H215" s="11"/>
      <c r="I215" s="11"/>
      <c r="J215" s="11"/>
      <c r="K215" s="11"/>
      <c r="L215" s="11"/>
      <c r="M215" s="396"/>
      <c r="N215" s="11"/>
      <c r="O215" s="11"/>
      <c r="P215" s="8">
        <f>SUM(D215:O215)</f>
        <v>2196300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66">SUM(D212:D215)</f>
        <v>187700</v>
      </c>
      <c r="E216" s="309">
        <f t="shared" si="66"/>
        <v>3815200</v>
      </c>
      <c r="F216" s="309">
        <f t="shared" si="66"/>
        <v>149600</v>
      </c>
      <c r="G216" s="309">
        <f t="shared" si="66"/>
        <v>0</v>
      </c>
      <c r="H216" s="309">
        <f t="shared" si="66"/>
        <v>0</v>
      </c>
      <c r="I216" s="309">
        <f t="shared" si="66"/>
        <v>0</v>
      </c>
      <c r="J216" s="309">
        <f t="shared" si="66"/>
        <v>0</v>
      </c>
      <c r="K216" s="309">
        <f t="shared" si="66"/>
        <v>0</v>
      </c>
      <c r="L216" s="309">
        <f t="shared" si="66"/>
        <v>0</v>
      </c>
      <c r="M216" s="309">
        <f t="shared" si="66"/>
        <v>0</v>
      </c>
      <c r="N216" s="309">
        <f t="shared" si="66"/>
        <v>0</v>
      </c>
      <c r="O216" s="309">
        <f t="shared" si="66"/>
        <v>0</v>
      </c>
      <c r="P216" s="8">
        <f>SUM(D216:O216)</f>
        <v>4152500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187700</v>
      </c>
      <c r="E217" s="309">
        <f t="shared" ref="E217:P217" si="67">E210+E216</f>
        <v>3815200</v>
      </c>
      <c r="F217" s="309">
        <f t="shared" si="67"/>
        <v>149600</v>
      </c>
      <c r="G217" s="309">
        <f t="shared" si="67"/>
        <v>0</v>
      </c>
      <c r="H217" s="309">
        <f t="shared" si="67"/>
        <v>0</v>
      </c>
      <c r="I217" s="309">
        <f t="shared" si="67"/>
        <v>0</v>
      </c>
      <c r="J217" s="309">
        <f t="shared" si="67"/>
        <v>0</v>
      </c>
      <c r="K217" s="309">
        <f t="shared" si="67"/>
        <v>0</v>
      </c>
      <c r="L217" s="309">
        <f t="shared" si="67"/>
        <v>0</v>
      </c>
      <c r="M217" s="309">
        <f t="shared" si="67"/>
        <v>0</v>
      </c>
      <c r="N217" s="309">
        <f t="shared" si="67"/>
        <v>0</v>
      </c>
      <c r="O217" s="309">
        <f t="shared" si="67"/>
        <v>0</v>
      </c>
      <c r="P217" s="280">
        <f t="shared" si="67"/>
        <v>4152500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E219" s="11"/>
      <c r="F219" s="11"/>
      <c r="G219" s="11"/>
      <c r="H219" s="11"/>
      <c r="I219" s="11"/>
      <c r="J219" s="11"/>
      <c r="K219" s="11"/>
      <c r="L219" s="11"/>
      <c r="M219" s="277"/>
      <c r="N219" s="11"/>
      <c r="O219" s="277"/>
      <c r="P219" s="8">
        <f>SUM(D219:O219)</f>
        <v>0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8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69">SUM(H219:H222)</f>
        <v>0</v>
      </c>
      <c r="I223" s="309">
        <f t="shared" si="69"/>
        <v>0</v>
      </c>
      <c r="J223" s="315">
        <f t="shared" si="69"/>
        <v>0</v>
      </c>
      <c r="K223" s="315">
        <f t="shared" si="69"/>
        <v>0</v>
      </c>
      <c r="L223" s="315">
        <f t="shared" si="69"/>
        <v>0</v>
      </c>
      <c r="M223" s="315">
        <f>SUM(M219:M222)</f>
        <v>0</v>
      </c>
      <c r="N223" s="315">
        <f t="shared" si="69"/>
        <v>0</v>
      </c>
      <c r="O223" s="315">
        <f t="shared" si="69"/>
        <v>0</v>
      </c>
      <c r="P223" s="8">
        <f>SUM(D223:O223)</f>
        <v>0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0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0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0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0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11">
        <v>162140</v>
      </c>
      <c r="E229" s="11">
        <v>3776320</v>
      </c>
      <c r="F229" s="11">
        <v>112940</v>
      </c>
      <c r="G229" s="11"/>
      <c r="H229" s="10"/>
      <c r="I229" s="10"/>
      <c r="J229" s="10"/>
      <c r="K229" s="10">
        <f t="shared" ref="K229" si="71">SUM(K225:K228)</f>
        <v>0</v>
      </c>
      <c r="L229" s="432"/>
      <c r="M229" s="432"/>
      <c r="N229" s="427"/>
      <c r="O229" s="10"/>
      <c r="P229" s="8">
        <f t="shared" si="70"/>
        <v>4051400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162140</v>
      </c>
      <c r="E230" s="314">
        <f t="shared" ref="E230:O230" si="72">E223+E229</f>
        <v>3776320</v>
      </c>
      <c r="F230" s="314">
        <f t="shared" si="72"/>
        <v>112940</v>
      </c>
      <c r="G230" s="314">
        <f t="shared" si="72"/>
        <v>0</v>
      </c>
      <c r="H230" s="314">
        <f t="shared" si="72"/>
        <v>0</v>
      </c>
      <c r="I230" s="314">
        <f t="shared" si="72"/>
        <v>0</v>
      </c>
      <c r="J230" s="314">
        <f t="shared" si="72"/>
        <v>0</v>
      </c>
      <c r="K230" s="314">
        <f t="shared" si="72"/>
        <v>0</v>
      </c>
      <c r="L230" s="314">
        <f t="shared" si="72"/>
        <v>0</v>
      </c>
      <c r="M230" s="314">
        <f t="shared" si="72"/>
        <v>0</v>
      </c>
      <c r="N230" s="314">
        <f t="shared" si="72"/>
        <v>0</v>
      </c>
      <c r="O230" s="314">
        <f t="shared" si="72"/>
        <v>0</v>
      </c>
      <c r="P230" s="8">
        <f t="shared" si="70"/>
        <v>4051400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277"/>
      <c r="N232" s="277"/>
      <c r="O232" s="277"/>
      <c r="P232" s="8">
        <f>SUM(D232:O232)</f>
        <v>0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277"/>
      <c r="N238" s="277"/>
      <c r="O238" s="277"/>
      <c r="P238" s="8">
        <f>SUM(D238:O238)</f>
        <v>0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162140</v>
      </c>
      <c r="E243" s="309">
        <f t="shared" ref="E243:O243" si="76">E230+E236+E242</f>
        <v>3776320</v>
      </c>
      <c r="F243" s="309">
        <f t="shared" si="76"/>
        <v>112940</v>
      </c>
      <c r="G243" s="309">
        <f t="shared" si="76"/>
        <v>0</v>
      </c>
      <c r="H243" s="309">
        <f t="shared" si="76"/>
        <v>0</v>
      </c>
      <c r="I243" s="309">
        <f t="shared" si="76"/>
        <v>0</v>
      </c>
      <c r="J243" s="309">
        <f t="shared" si="76"/>
        <v>0</v>
      </c>
      <c r="K243" s="309">
        <f t="shared" si="76"/>
        <v>0</v>
      </c>
      <c r="L243" s="309">
        <f t="shared" si="76"/>
        <v>0</v>
      </c>
      <c r="M243" s="309">
        <f t="shared" si="76"/>
        <v>0</v>
      </c>
      <c r="N243" s="309">
        <f t="shared" si="76"/>
        <v>0</v>
      </c>
      <c r="O243" s="309">
        <f t="shared" si="76"/>
        <v>0</v>
      </c>
      <c r="P243" s="280">
        <f>P216+P223+P236+P242</f>
        <v>4152500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397">
        <v>1817416.41</v>
      </c>
      <c r="E245" s="139">
        <v>1817416.41</v>
      </c>
      <c r="F245" s="139">
        <v>1817416.41</v>
      </c>
      <c r="G245" s="139"/>
      <c r="H245" s="397"/>
      <c r="I245" s="397"/>
      <c r="J245" s="397"/>
      <c r="K245" s="139"/>
      <c r="L245" s="139"/>
      <c r="M245" s="139"/>
      <c r="N245" s="139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397"/>
      <c r="E246" s="397"/>
      <c r="F246" s="397"/>
      <c r="G246" s="397"/>
      <c r="H246" s="397"/>
      <c r="I246" s="397"/>
      <c r="J246" s="397"/>
      <c r="K246" s="397"/>
      <c r="L246" s="397"/>
      <c r="M246" s="397"/>
      <c r="N246" s="397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1817416.41</v>
      </c>
      <c r="E247" s="129">
        <f t="shared" ref="E247:P247" si="77">E245+E246</f>
        <v>1817416.41</v>
      </c>
      <c r="F247" s="129">
        <f t="shared" si="77"/>
        <v>1817416.41</v>
      </c>
      <c r="G247" s="129">
        <f t="shared" si="77"/>
        <v>0</v>
      </c>
      <c r="H247" s="129">
        <f t="shared" si="77"/>
        <v>0</v>
      </c>
      <c r="I247" s="129">
        <f t="shared" si="77"/>
        <v>0</v>
      </c>
      <c r="J247" s="129">
        <f t="shared" si="77"/>
        <v>0</v>
      </c>
      <c r="K247" s="129">
        <f t="shared" si="77"/>
        <v>0</v>
      </c>
      <c r="L247" s="129">
        <f t="shared" si="77"/>
        <v>0</v>
      </c>
      <c r="M247" s="129">
        <f t="shared" si="77"/>
        <v>0</v>
      </c>
      <c r="N247" s="129">
        <f t="shared" si="77"/>
        <v>0</v>
      </c>
      <c r="O247" s="129">
        <f t="shared" si="77"/>
        <v>0</v>
      </c>
      <c r="P247" s="317">
        <f t="shared" si="77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688.90197360305899</v>
      </c>
      <c r="E249" s="7">
        <f t="shared" ref="E249:P249" si="78">E58/E243%</f>
        <v>53.643648578510302</v>
      </c>
      <c r="F249" s="7">
        <f t="shared" si="78"/>
        <v>1517.441535328493</v>
      </c>
      <c r="G249" s="7" t="e">
        <f t="shared" si="78"/>
        <v>#DIV/0!</v>
      </c>
      <c r="H249" s="7" t="e">
        <f t="shared" si="78"/>
        <v>#DIV/0!</v>
      </c>
      <c r="I249" s="7" t="e">
        <f t="shared" si="78"/>
        <v>#DIV/0!</v>
      </c>
      <c r="J249" s="7" t="e">
        <f t="shared" si="78"/>
        <v>#DIV/0!</v>
      </c>
      <c r="K249" s="7" t="e">
        <f t="shared" si="78"/>
        <v>#DIV/0!</v>
      </c>
      <c r="L249" s="7" t="e">
        <f t="shared" si="78"/>
        <v>#DIV/0!</v>
      </c>
      <c r="M249" s="7" t="e">
        <f t="shared" si="78"/>
        <v>#DIV/0!</v>
      </c>
      <c r="N249" s="7" t="e">
        <f t="shared" si="78"/>
        <v>#DIV/0!</v>
      </c>
      <c r="O249" s="7" t="e">
        <f t="shared" si="78"/>
        <v>#DIV/0!</v>
      </c>
      <c r="P249" s="318">
        <f t="shared" si="78"/>
        <v>116.95460469596631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0</v>
      </c>
      <c r="E250" s="25">
        <f t="shared" ref="E250:P250" si="79">E210/(E223+E245)%</f>
        <v>0</v>
      </c>
      <c r="F250" s="25">
        <f t="shared" si="79"/>
        <v>0</v>
      </c>
      <c r="G250" s="25" t="e">
        <f t="shared" si="79"/>
        <v>#DIV/0!</v>
      </c>
      <c r="H250" s="25" t="e">
        <f t="shared" si="79"/>
        <v>#DIV/0!</v>
      </c>
      <c r="I250" s="25" t="e">
        <f t="shared" si="79"/>
        <v>#DIV/0!</v>
      </c>
      <c r="J250" s="25" t="e">
        <f t="shared" si="79"/>
        <v>#DIV/0!</v>
      </c>
      <c r="K250" s="25" t="e">
        <f t="shared" si="79"/>
        <v>#DIV/0!</v>
      </c>
      <c r="L250" s="25" t="e">
        <f t="shared" si="79"/>
        <v>#DIV/0!</v>
      </c>
      <c r="M250" s="25" t="e">
        <f t="shared" si="79"/>
        <v>#DIV/0!</v>
      </c>
      <c r="N250" s="25" t="e">
        <f t="shared" si="79"/>
        <v>#DIV/0!</v>
      </c>
      <c r="O250" s="25" t="e">
        <f t="shared" si="79"/>
        <v>#DIV/0!</v>
      </c>
      <c r="P250" s="301" t="e">
        <f t="shared" si="79"/>
        <v>#DIV/0!</v>
      </c>
    </row>
    <row r="251" spans="1:17" ht="16.5" thickBot="1" x14ac:dyDescent="0.3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 t="e">
        <f t="shared" si="80"/>
        <v>#DIV/0!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0</v>
      </c>
    </row>
    <row r="254" spans="1:17" ht="15.75" x14ac:dyDescent="0.25">
      <c r="A254" s="331" t="s">
        <v>12</v>
      </c>
      <c r="B254" s="332"/>
      <c r="C254" s="4" t="s">
        <v>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0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75" x14ac:dyDescent="0.25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25">
      <c r="A257" s="331" t="s">
        <v>9</v>
      </c>
      <c r="B257" s="332"/>
      <c r="C257" s="4" t="s">
        <v>3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0</v>
      </c>
    </row>
    <row r="258" spans="1:16" ht="15.75" x14ac:dyDescent="0.25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75" x14ac:dyDescent="0.25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1</v>
      </c>
      <c r="E261" s="3">
        <v>2</v>
      </c>
      <c r="F261" s="3"/>
      <c r="G261" s="3">
        <v>5</v>
      </c>
      <c r="H261" s="3"/>
      <c r="I261" s="3"/>
      <c r="J261" s="3"/>
      <c r="K261" s="3"/>
      <c r="L261" s="3"/>
      <c r="M261" s="3"/>
      <c r="N261" s="3"/>
      <c r="O261" s="3"/>
      <c r="P261" s="280">
        <f>SUM(D261:O261)</f>
        <v>8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1</v>
      </c>
      <c r="E262" s="3">
        <v>1</v>
      </c>
      <c r="F262" s="3"/>
      <c r="G262" s="3">
        <v>3</v>
      </c>
      <c r="H262" s="3"/>
      <c r="I262" s="3"/>
      <c r="J262" s="3"/>
      <c r="K262" s="3"/>
      <c r="L262" s="3"/>
      <c r="M262" s="3"/>
      <c r="N262" s="3"/>
      <c r="O262" s="3"/>
      <c r="P262" s="280">
        <f>SUM(D262:O262)</f>
        <v>5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1</v>
      </c>
      <c r="E263" s="106">
        <f t="shared" ref="E263:P263" si="85">E261/E262</f>
        <v>2</v>
      </c>
      <c r="F263" s="106" t="e">
        <f t="shared" si="85"/>
        <v>#DIV/0!</v>
      </c>
      <c r="G263" s="106">
        <f t="shared" si="85"/>
        <v>1.6666666666666667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1.6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263"/>
  <sheetViews>
    <sheetView zoomScale="79" zoomScaleNormal="79" workbookViewId="0">
      <pane xSplit="3" topLeftCell="D1" activePane="topRight" state="frozen"/>
      <selection pane="topRight" activeCell="F261" sqref="F261:F262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1150</v>
      </c>
      <c r="E9" s="52">
        <v>937</v>
      </c>
      <c r="F9" s="52">
        <v>889</v>
      </c>
      <c r="G9" s="52"/>
      <c r="H9" s="400"/>
      <c r="I9" s="52"/>
      <c r="J9" s="52"/>
      <c r="K9" s="52"/>
      <c r="L9" s="52"/>
      <c r="M9" s="400"/>
      <c r="N9" s="255"/>
      <c r="O9" s="255"/>
      <c r="P9" s="256">
        <f>SUM(D9:O9)</f>
        <v>2976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0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930</v>
      </c>
      <c r="E17" s="22">
        <v>801</v>
      </c>
      <c r="F17" s="22">
        <v>733</v>
      </c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2464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339"/>
      <c r="L18" s="22"/>
      <c r="M18" s="22"/>
      <c r="N18" s="339"/>
      <c r="O18" s="339"/>
      <c r="P18" s="257">
        <f>SUM(D18:O18)</f>
        <v>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/>
      <c r="E19" s="22"/>
      <c r="F19" s="22"/>
      <c r="G19" s="339"/>
      <c r="H19" s="339"/>
      <c r="I19" s="339"/>
      <c r="J19" s="339"/>
      <c r="K19" s="339"/>
      <c r="L19" s="22"/>
      <c r="M19" s="22"/>
      <c r="N19" s="339"/>
      <c r="O19" s="339"/>
      <c r="P19" s="257">
        <f>SUM(D19:O19)</f>
        <v>0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/>
      <c r="E20" s="22"/>
      <c r="F20" s="22"/>
      <c r="G20" s="22"/>
      <c r="H20" s="332"/>
      <c r="I20" s="332"/>
      <c r="J20" s="332"/>
      <c r="K20" s="332"/>
      <c r="L20" s="22"/>
      <c r="M20" s="22"/>
      <c r="N20" s="332"/>
      <c r="O20" s="332"/>
      <c r="P20" s="257">
        <f>SUM(D20:O20)</f>
        <v>0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930</v>
      </c>
      <c r="E21" s="258">
        <f t="shared" ref="E21:P21" si="1">SUM(E17:E20)</f>
        <v>801</v>
      </c>
      <c r="F21" s="258">
        <f t="shared" si="1"/>
        <v>733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2464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930</v>
      </c>
      <c r="E22" s="258">
        <f t="shared" ref="E22:P22" si="2">E21+E15</f>
        <v>801</v>
      </c>
      <c r="F22" s="258">
        <f t="shared" si="2"/>
        <v>733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2464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220</v>
      </c>
      <c r="E24" s="261">
        <f t="shared" ref="E24:P24" si="3">E9-E22</f>
        <v>136</v>
      </c>
      <c r="F24" s="261">
        <f t="shared" si="3"/>
        <v>156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512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0.19130434782608696</v>
      </c>
      <c r="E25" s="265">
        <f t="shared" si="4"/>
        <v>0.14514407684098185</v>
      </c>
      <c r="F25" s="265">
        <f t="shared" si="4"/>
        <v>0.17547806524184478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0.17204301075268819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">
        <v>1</v>
      </c>
      <c r="E29" s="420">
        <v>1</v>
      </c>
      <c r="F29" s="3">
        <v>1</v>
      </c>
      <c r="G29" s="430"/>
      <c r="H29" s="38"/>
      <c r="I29" s="38"/>
      <c r="J29" s="38"/>
      <c r="K29" s="38"/>
      <c r="L29" s="38"/>
      <c r="M29" s="38"/>
      <c r="N29" s="38"/>
      <c r="O29" s="38"/>
      <c r="P29" s="274">
        <f>SUM(D29:O29)</f>
        <v>3</v>
      </c>
    </row>
    <row r="30" spans="1:18" ht="15.75" x14ac:dyDescent="0.25">
      <c r="A30" s="187"/>
      <c r="B30" s="441"/>
      <c r="C30" s="37" t="s">
        <v>141</v>
      </c>
      <c r="D30" s="13">
        <f t="shared" ref="D30:P30" si="5">D29/(D9/1000)</f>
        <v>0.86956521739130443</v>
      </c>
      <c r="E30" s="13">
        <f t="shared" si="5"/>
        <v>1.0672358591248665</v>
      </c>
      <c r="F30" s="13">
        <f t="shared" si="5"/>
        <v>1.124859392575928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1.0080645161290323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1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5111.67</v>
      </c>
      <c r="F41" s="278">
        <f t="shared" si="10"/>
        <v>5111.67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15335.01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4.4449304347826084</v>
      </c>
      <c r="E42" s="275">
        <f t="shared" si="11"/>
        <v>5.4553575240128067</v>
      </c>
      <c r="F42" s="275">
        <f t="shared" si="11"/>
        <v>5.7499100112485939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5.1528931451612907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1000</v>
      </c>
      <c r="E44" s="415">
        <v>500</v>
      </c>
      <c r="F44" s="3">
        <v>433</v>
      </c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1933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0.86956521739130432</v>
      </c>
      <c r="E45" s="13">
        <f t="shared" si="12"/>
        <v>0.53361792956243326</v>
      </c>
      <c r="F45" s="13">
        <f t="shared" si="12"/>
        <v>0.48706411698537683</v>
      </c>
      <c r="G45" s="13" t="e">
        <f t="shared" si="12"/>
        <v>#DIV/0!</v>
      </c>
      <c r="H45" s="275" t="e">
        <f t="shared" si="12"/>
        <v>#DIV/0!</v>
      </c>
      <c r="I45" s="13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0.64952956989247312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333870</v>
      </c>
      <c r="E46" s="403">
        <f>333.87*E44</f>
        <v>166935</v>
      </c>
      <c r="F46" s="403">
        <f t="shared" ref="F46:O46" si="13">333.87*F44</f>
        <v>144565.71</v>
      </c>
      <c r="G46" s="403">
        <f t="shared" si="13"/>
        <v>0</v>
      </c>
      <c r="H46" s="403">
        <f t="shared" si="13"/>
        <v>0</v>
      </c>
      <c r="I46" s="403">
        <f t="shared" si="13"/>
        <v>0</v>
      </c>
      <c r="J46" s="403">
        <f t="shared" si="13"/>
        <v>0</v>
      </c>
      <c r="K46" s="403">
        <f t="shared" si="13"/>
        <v>0</v>
      </c>
      <c r="L46" s="403">
        <f t="shared" si="13"/>
        <v>0</v>
      </c>
      <c r="M46" s="403">
        <f t="shared" si="13"/>
        <v>0</v>
      </c>
      <c r="N46" s="403">
        <f t="shared" si="13"/>
        <v>0</v>
      </c>
      <c r="O46" s="403">
        <f t="shared" si="13"/>
        <v>0</v>
      </c>
      <c r="P46" s="34">
        <f>SUM(D46:O46)</f>
        <v>645370.71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4">D46/D9</f>
        <v>290.32173913043476</v>
      </c>
      <c r="E47" s="13">
        <f t="shared" si="14"/>
        <v>178.1590181430096</v>
      </c>
      <c r="F47" s="13">
        <f t="shared" si="14"/>
        <v>162.61609673790775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/>
      <c r="P47" s="276">
        <f t="shared" si="14"/>
        <v>216.85843749999998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0</v>
      </c>
    </row>
    <row r="55" spans="1:16" ht="15.75" x14ac:dyDescent="0.25">
      <c r="A55" s="281" t="s">
        <v>123</v>
      </c>
      <c r="B55" s="260"/>
      <c r="C55" s="4" t="s">
        <v>18</v>
      </c>
      <c r="D55" s="11"/>
      <c r="E55" s="11">
        <v>1285672.5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1285672.5</v>
      </c>
    </row>
    <row r="56" spans="1:16" ht="15.75" x14ac:dyDescent="0.25">
      <c r="A56" s="331" t="s">
        <v>122</v>
      </c>
      <c r="B56" s="332"/>
      <c r="C56" s="4" t="s">
        <v>18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0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338981.67</v>
      </c>
      <c r="E58" s="11">
        <f t="shared" ref="E58:N58" si="15">E41+E46+E51+E52+E54+E55+E56</f>
        <v>1457719.17</v>
      </c>
      <c r="F58" s="11">
        <f t="shared" si="15"/>
        <v>149677.38</v>
      </c>
      <c r="G58" s="277">
        <f t="shared" si="15"/>
        <v>0</v>
      </c>
      <c r="H58" s="277">
        <f t="shared" si="15"/>
        <v>0</v>
      </c>
      <c r="I58" s="277">
        <f t="shared" si="15"/>
        <v>0</v>
      </c>
      <c r="J58" s="404">
        <f t="shared" si="15"/>
        <v>0</v>
      </c>
      <c r="K58" s="404">
        <f t="shared" si="15"/>
        <v>0</v>
      </c>
      <c r="L58" s="404">
        <f t="shared" si="15"/>
        <v>0</v>
      </c>
      <c r="M58" s="404">
        <f t="shared" si="15"/>
        <v>0</v>
      </c>
      <c r="N58" s="404">
        <f t="shared" si="15"/>
        <v>0</v>
      </c>
      <c r="O58" s="404"/>
      <c r="P58" s="59">
        <f>SUM(D58:O58)</f>
        <v>1946378.2199999997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6">D58/D9</f>
        <v>294.7666695652174</v>
      </c>
      <c r="E59" s="13">
        <f t="shared" si="16"/>
        <v>1555.7301707577374</v>
      </c>
      <c r="F59" s="13">
        <f t="shared" si="16"/>
        <v>168.36600674915636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654.02493951612894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364.49641935483868</v>
      </c>
      <c r="E60" s="13">
        <f t="shared" ref="E60:N60" si="17">E58/E22</f>
        <v>1819.8741198501871</v>
      </c>
      <c r="F60" s="13">
        <f t="shared" si="17"/>
        <v>204.19833560709415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789.9262256493505</v>
      </c>
    </row>
    <row r="61" spans="1:16" ht="15.75" x14ac:dyDescent="0.25">
      <c r="A61" s="331" t="s">
        <v>116</v>
      </c>
      <c r="B61" s="332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>
        <f t="shared" si="18"/>
        <v>0</v>
      </c>
      <c r="F62" s="13">
        <f t="shared" si="18"/>
        <v>0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6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/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75" x14ac:dyDescent="0.25">
      <c r="A67" s="325"/>
      <c r="B67" s="4" t="s">
        <v>106</v>
      </c>
      <c r="C67" s="4" t="s">
        <v>3</v>
      </c>
      <c r="D67" s="3"/>
      <c r="E67" s="3"/>
      <c r="F67" s="3"/>
      <c r="G67" s="3"/>
      <c r="H67" s="3"/>
      <c r="I67" s="3"/>
      <c r="J67" s="3"/>
      <c r="K67" s="3"/>
      <c r="L67" s="284"/>
      <c r="M67" s="284"/>
      <c r="N67" s="284"/>
      <c r="O67" s="284"/>
      <c r="P67" s="31">
        <f>SUM(D67:O67)</f>
        <v>0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284"/>
      <c r="N68" s="284"/>
      <c r="O68" s="284"/>
      <c r="P68" s="31">
        <f t="shared" ref="P68:P69" si="20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/>
      <c r="E69" s="3"/>
      <c r="F69" s="3"/>
      <c r="G69" s="3"/>
      <c r="H69" s="3"/>
      <c r="I69" s="3"/>
      <c r="J69" s="284"/>
      <c r="K69" s="3"/>
      <c r="L69" s="284"/>
      <c r="M69" s="284"/>
      <c r="N69" s="284"/>
      <c r="O69" s="284"/>
      <c r="P69" s="31">
        <f t="shared" si="20"/>
        <v>0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/>
      <c r="M70" s="284"/>
      <c r="N70" s="284"/>
      <c r="O70" s="284"/>
      <c r="P70" s="285">
        <f t="shared" ref="P70" si="22">P68+P69</f>
        <v>0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/>
      <c r="M82" s="284">
        <f t="shared" ref="M82:P82" si="32">M81+M80</f>
        <v>0</v>
      </c>
      <c r="N82" s="284">
        <f t="shared" si="32"/>
        <v>0</v>
      </c>
      <c r="O82" s="284"/>
      <c r="P82" s="288">
        <f t="shared" si="32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5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5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2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2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2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0</v>
      </c>
      <c r="E105" s="296">
        <f t="shared" ref="E105:O105" si="43">SUM(E101:E104)</f>
        <v>0</v>
      </c>
      <c r="F105" s="296">
        <f t="shared" si="43"/>
        <v>0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2"/>
        <v>0</v>
      </c>
    </row>
    <row r="108" spans="1:21" ht="15.75" x14ac:dyDescent="0.25">
      <c r="A108" s="331" t="s">
        <v>196</v>
      </c>
      <c r="B108" s="332"/>
      <c r="C108" s="4" t="s">
        <v>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2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2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2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4">SUM(E107:E110)</f>
        <v>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3">
        <v>75</v>
      </c>
      <c r="E113" s="415">
        <v>75</v>
      </c>
      <c r="F113" s="412">
        <v>75</v>
      </c>
      <c r="G113" s="412"/>
      <c r="H113" s="3"/>
      <c r="I113" s="3"/>
      <c r="J113" s="3"/>
      <c r="K113" s="412"/>
      <c r="L113" s="412"/>
      <c r="M113" s="412"/>
      <c r="N113" s="3"/>
      <c r="O113" s="3"/>
      <c r="P113" s="295">
        <f t="shared" si="42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>
        <v>1</v>
      </c>
      <c r="E114" s="3">
        <v>1</v>
      </c>
      <c r="F114" s="412">
        <v>1</v>
      </c>
      <c r="G114" s="412"/>
      <c r="H114" s="3"/>
      <c r="I114" s="3"/>
      <c r="J114" s="3"/>
      <c r="K114" s="412"/>
      <c r="L114" s="412"/>
      <c r="M114" s="412"/>
      <c r="N114" s="3"/>
      <c r="O114" s="3"/>
      <c r="P114" s="295">
        <f t="shared" si="42"/>
        <v>0</v>
      </c>
    </row>
    <row r="115" spans="1:18" ht="15.75" x14ac:dyDescent="0.25">
      <c r="A115" s="331" t="s">
        <v>201</v>
      </c>
      <c r="B115" s="332"/>
      <c r="C115" s="4" t="s">
        <v>3</v>
      </c>
      <c r="D115" s="412"/>
      <c r="E115" s="29"/>
      <c r="F115" s="29"/>
      <c r="G115" s="3"/>
      <c r="H115" s="3"/>
      <c r="I115" s="3"/>
      <c r="J115" s="3"/>
      <c r="K115" s="3"/>
      <c r="L115" s="3"/>
      <c r="M115" s="3"/>
      <c r="N115" s="3"/>
      <c r="O115" s="3"/>
      <c r="P115" s="295">
        <f t="shared" si="42"/>
        <v>0</v>
      </c>
    </row>
    <row r="116" spans="1:18" ht="15.75" x14ac:dyDescent="0.25">
      <c r="A116" s="331" t="s">
        <v>202</v>
      </c>
      <c r="B116" s="332"/>
      <c r="C116" s="4" t="s">
        <v>3</v>
      </c>
      <c r="D116" s="412"/>
      <c r="E116" s="29"/>
      <c r="F116" s="29"/>
      <c r="G116" s="3"/>
      <c r="H116" s="3"/>
      <c r="I116" s="3"/>
      <c r="J116" s="3"/>
      <c r="K116" s="3"/>
      <c r="L116" s="3"/>
      <c r="M116" s="3"/>
      <c r="N116" s="3"/>
      <c r="O116" s="3"/>
      <c r="P116" s="295">
        <f t="shared" si="42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76</v>
      </c>
      <c r="E117" s="296">
        <f>SUM(E113:E116)</f>
        <v>76</v>
      </c>
      <c r="F117" s="296">
        <f t="shared" ref="F117:P117" si="45">SUM(F113:F116)</f>
        <v>76</v>
      </c>
      <c r="G117" s="296">
        <f t="shared" si="45"/>
        <v>0</v>
      </c>
      <c r="H117" s="296">
        <f t="shared" si="45"/>
        <v>0</v>
      </c>
      <c r="I117" s="296">
        <f t="shared" si="45"/>
        <v>0</v>
      </c>
      <c r="J117" s="296">
        <f t="shared" si="45"/>
        <v>0</v>
      </c>
      <c r="K117" s="296">
        <f t="shared" si="45"/>
        <v>0</v>
      </c>
      <c r="L117" s="296">
        <f t="shared" si="45"/>
        <v>0</v>
      </c>
      <c r="M117" s="296">
        <f t="shared" si="45"/>
        <v>0</v>
      </c>
      <c r="N117" s="296">
        <f t="shared" si="45"/>
        <v>0</v>
      </c>
      <c r="O117" s="296">
        <f t="shared" si="45"/>
        <v>0</v>
      </c>
      <c r="P117" s="257">
        <f t="shared" si="45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6">D111+D117</f>
        <v>76</v>
      </c>
      <c r="E118" s="296">
        <f t="shared" si="46"/>
        <v>76</v>
      </c>
      <c r="F118" s="296">
        <f t="shared" si="46"/>
        <v>76</v>
      </c>
      <c r="G118" s="296">
        <f t="shared" si="46"/>
        <v>0</v>
      </c>
      <c r="H118" s="296">
        <f t="shared" si="46"/>
        <v>0</v>
      </c>
      <c r="I118" s="296">
        <f t="shared" si="46"/>
        <v>0</v>
      </c>
      <c r="J118" s="296">
        <f t="shared" si="46"/>
        <v>0</v>
      </c>
      <c r="K118" s="296">
        <f t="shared" si="46"/>
        <v>0</v>
      </c>
      <c r="L118" s="296">
        <f t="shared" si="46"/>
        <v>0</v>
      </c>
      <c r="M118" s="296">
        <f t="shared" si="46"/>
        <v>0</v>
      </c>
      <c r="N118" s="296">
        <f t="shared" si="46"/>
        <v>0</v>
      </c>
      <c r="O118" s="296">
        <f t="shared" si="46"/>
        <v>0</v>
      </c>
      <c r="P118" s="296">
        <f t="shared" si="46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47">D105+D118</f>
        <v>76</v>
      </c>
      <c r="E119" s="296">
        <f t="shared" si="47"/>
        <v>76</v>
      </c>
      <c r="F119" s="296">
        <f t="shared" si="47"/>
        <v>76</v>
      </c>
      <c r="G119" s="296">
        <f t="shared" si="47"/>
        <v>0</v>
      </c>
      <c r="H119" s="296">
        <f t="shared" si="47"/>
        <v>0</v>
      </c>
      <c r="I119" s="296">
        <f t="shared" si="47"/>
        <v>0</v>
      </c>
      <c r="J119" s="296">
        <f t="shared" si="47"/>
        <v>0</v>
      </c>
      <c r="K119" s="296">
        <f t="shared" si="47"/>
        <v>0</v>
      </c>
      <c r="L119" s="296">
        <f t="shared" si="47"/>
        <v>0</v>
      </c>
      <c r="M119" s="296">
        <f t="shared" si="47"/>
        <v>0</v>
      </c>
      <c r="N119" s="296">
        <f t="shared" si="47"/>
        <v>0</v>
      </c>
      <c r="O119" s="296">
        <f t="shared" si="47"/>
        <v>0</v>
      </c>
      <c r="P119" s="296">
        <f t="shared" si="47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75" x14ac:dyDescent="0.25">
      <c r="A121" s="331" t="s">
        <v>95</v>
      </c>
      <c r="B121" s="332"/>
      <c r="C121" s="4" t="s">
        <v>3</v>
      </c>
      <c r="D121" s="3">
        <v>553</v>
      </c>
      <c r="E121" s="3">
        <v>553</v>
      </c>
      <c r="F121" s="3">
        <v>553</v>
      </c>
      <c r="G121" s="3"/>
      <c r="H121" s="117"/>
      <c r="I121" s="117"/>
      <c r="J121" s="117"/>
      <c r="K121" s="3"/>
      <c r="L121" s="3"/>
      <c r="M121" s="3"/>
      <c r="N121" s="3"/>
      <c r="O121" s="117"/>
      <c r="P121" s="27">
        <f>O121</f>
        <v>0</v>
      </c>
    </row>
    <row r="122" spans="1:18" ht="15.75" x14ac:dyDescent="0.25">
      <c r="A122" s="331" t="s">
        <v>94</v>
      </c>
      <c r="B122" s="332"/>
      <c r="C122" s="4" t="s">
        <v>3</v>
      </c>
      <c r="D122" s="3">
        <v>553</v>
      </c>
      <c r="E122" s="3">
        <v>553</v>
      </c>
      <c r="F122" s="3">
        <v>553</v>
      </c>
      <c r="G122" s="3"/>
      <c r="H122" s="117"/>
      <c r="I122" s="117"/>
      <c r="J122" s="117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48">D122/D121</f>
        <v>1</v>
      </c>
      <c r="E123" s="25">
        <f t="shared" si="48"/>
        <v>1</v>
      </c>
      <c r="F123" s="25">
        <f t="shared" si="48"/>
        <v>1</v>
      </c>
      <c r="G123" s="300" t="e">
        <f t="shared" si="48"/>
        <v>#DIV/0!</v>
      </c>
      <c r="H123" s="300" t="e">
        <f t="shared" si="48"/>
        <v>#DIV/0!</v>
      </c>
      <c r="I123" s="300" t="e">
        <f t="shared" si="48"/>
        <v>#DIV/0!</v>
      </c>
      <c r="J123" s="300" t="e">
        <f t="shared" si="48"/>
        <v>#DIV/0!</v>
      </c>
      <c r="K123" s="300" t="e">
        <f t="shared" si="48"/>
        <v>#DIV/0!</v>
      </c>
      <c r="L123" s="300" t="e">
        <f t="shared" si="48"/>
        <v>#DIV/0!</v>
      </c>
      <c r="M123" s="300" t="e">
        <f t="shared" si="48"/>
        <v>#DIV/0!</v>
      </c>
      <c r="N123" s="300" t="e">
        <f t="shared" si="48"/>
        <v>#DIV/0!</v>
      </c>
      <c r="O123" s="300" t="e">
        <f t="shared" si="48"/>
        <v>#DIV/0!</v>
      </c>
      <c r="P123" s="301" t="e">
        <f t="shared" si="48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399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75" x14ac:dyDescent="0.25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120"/>
      <c r="E153" s="120"/>
      <c r="F153" s="3">
        <v>1</v>
      </c>
      <c r="G153" s="3"/>
      <c r="H153" s="120"/>
      <c r="I153" s="120"/>
      <c r="J153" s="120"/>
      <c r="K153" s="3"/>
      <c r="L153" s="3"/>
      <c r="M153" s="3"/>
      <c r="N153" s="120"/>
      <c r="O153" s="120"/>
      <c r="P153" s="16">
        <f t="shared" ref="P153:P165" si="58">SUM(D153:O153)</f>
        <v>1</v>
      </c>
    </row>
    <row r="154" spans="1:16" ht="15.75" x14ac:dyDescent="0.25">
      <c r="A154" s="357"/>
      <c r="B154" s="18" t="s">
        <v>72</v>
      </c>
      <c r="C154" s="4" t="s">
        <v>57</v>
      </c>
      <c r="D154" s="120"/>
      <c r="E154" s="120"/>
      <c r="F154" s="120"/>
      <c r="G154" s="120"/>
      <c r="H154" s="120"/>
      <c r="I154" s="120"/>
      <c r="J154" s="120"/>
      <c r="K154" s="120"/>
      <c r="L154" s="120"/>
      <c r="M154" s="3"/>
      <c r="N154" s="120"/>
      <c r="O154" s="120"/>
      <c r="P154" s="16">
        <f t="shared" si="58"/>
        <v>0</v>
      </c>
    </row>
    <row r="155" spans="1:16" ht="15.75" x14ac:dyDescent="0.25">
      <c r="A155" s="357"/>
      <c r="B155" s="18" t="s">
        <v>53</v>
      </c>
      <c r="C155" s="4" t="s">
        <v>57</v>
      </c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8"/>
        <v>0</v>
      </c>
    </row>
    <row r="156" spans="1:16" ht="15.75" x14ac:dyDescent="0.25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8"/>
        <v>0</v>
      </c>
    </row>
    <row r="157" spans="1:16" ht="15.75" x14ac:dyDescent="0.25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8"/>
        <v>0</v>
      </c>
    </row>
    <row r="158" spans="1:16" ht="15.75" x14ac:dyDescent="0.25">
      <c r="A158" s="357"/>
      <c r="B158" s="18" t="s">
        <v>51</v>
      </c>
      <c r="C158" s="4" t="s">
        <v>57</v>
      </c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8"/>
        <v>0</v>
      </c>
    </row>
    <row r="159" spans="1:16" ht="15.75" x14ac:dyDescent="0.25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8"/>
        <v>0</v>
      </c>
    </row>
    <row r="160" spans="1:16" ht="15.75" x14ac:dyDescent="0.25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8"/>
        <v>0</v>
      </c>
    </row>
    <row r="161" spans="1:16" ht="15.75" x14ac:dyDescent="0.25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8"/>
        <v>0</v>
      </c>
    </row>
    <row r="162" spans="1:16" ht="15.75" x14ac:dyDescent="0.25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8"/>
        <v>0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8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8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8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120"/>
      <c r="E167" s="120"/>
      <c r="F167" s="3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9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9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3">
        <f>SUM(D158:D192)</f>
        <v>0</v>
      </c>
      <c r="E193" s="13">
        <f t="shared" ref="E193" si="61">SUM(E158:E192)</f>
        <v>0</v>
      </c>
      <c r="F193" s="13">
        <f>SUM(F153:F192)</f>
        <v>1</v>
      </c>
      <c r="G193" s="141">
        <f t="shared" ref="G193:P193" si="62">SUM(G153:G192)</f>
        <v>0</v>
      </c>
      <c r="H193" s="141">
        <f t="shared" si="62"/>
        <v>0</v>
      </c>
      <c r="I193" s="141">
        <f t="shared" si="62"/>
        <v>0</v>
      </c>
      <c r="J193" s="141">
        <f t="shared" si="62"/>
        <v>0</v>
      </c>
      <c r="K193" s="141">
        <f t="shared" si="62"/>
        <v>0</v>
      </c>
      <c r="L193" s="141">
        <f t="shared" si="62"/>
        <v>0</v>
      </c>
      <c r="M193" s="141">
        <f t="shared" si="62"/>
        <v>0</v>
      </c>
      <c r="N193" s="141">
        <f t="shared" si="62"/>
        <v>0</v>
      </c>
      <c r="O193" s="141">
        <f t="shared" si="62"/>
        <v>0</v>
      </c>
      <c r="P193" s="92">
        <f t="shared" si="62"/>
        <v>1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23</v>
      </c>
      <c r="E196" s="3">
        <v>24</v>
      </c>
      <c r="F196" s="3">
        <v>24</v>
      </c>
      <c r="G196" s="3"/>
      <c r="H196" s="3"/>
      <c r="I196" s="3"/>
      <c r="J196" s="279"/>
      <c r="K196" s="3"/>
      <c r="L196" s="3"/>
      <c r="M196" s="279"/>
      <c r="N196" s="279"/>
      <c r="O196" s="279"/>
      <c r="P196" s="8">
        <f>SUM(D196:O196)/12</f>
        <v>5.916666666666667</v>
      </c>
    </row>
    <row r="197" spans="1:16" ht="15.75" x14ac:dyDescent="0.25">
      <c r="A197" s="331" t="s">
        <v>56</v>
      </c>
      <c r="B197" s="332"/>
      <c r="C197" s="14" t="s">
        <v>55</v>
      </c>
      <c r="D197" s="3">
        <v>72</v>
      </c>
      <c r="E197" s="3">
        <v>86</v>
      </c>
      <c r="F197" s="3">
        <v>65</v>
      </c>
      <c r="G197" s="3"/>
      <c r="H197" s="3"/>
      <c r="I197" s="279"/>
      <c r="J197" s="279"/>
      <c r="K197" s="3"/>
      <c r="L197" s="3"/>
      <c r="M197" s="3"/>
      <c r="N197" s="3"/>
      <c r="O197" s="279"/>
      <c r="P197" s="8">
        <f>SUM(D197:O197)</f>
        <v>223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3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3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3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3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3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4">SUM(D199:D203)</f>
        <v>0</v>
      </c>
      <c r="E204" s="13">
        <f t="shared" si="64"/>
        <v>0</v>
      </c>
      <c r="F204" s="13">
        <f t="shared" si="64"/>
        <v>0</v>
      </c>
      <c r="G204" s="13">
        <f t="shared" ref="G204:O204" si="65">SUM(G199:G203)</f>
        <v>0</v>
      </c>
      <c r="H204" s="13">
        <f t="shared" si="65"/>
        <v>0</v>
      </c>
      <c r="I204" s="275">
        <f t="shared" si="65"/>
        <v>0</v>
      </c>
      <c r="J204" s="275">
        <f t="shared" si="65"/>
        <v>0</v>
      </c>
      <c r="K204" s="275">
        <f t="shared" si="65"/>
        <v>0</v>
      </c>
      <c r="L204" s="275">
        <f t="shared" si="65"/>
        <v>0</v>
      </c>
      <c r="M204" s="275">
        <f t="shared" si="65"/>
        <v>0</v>
      </c>
      <c r="N204" s="275">
        <f t="shared" si="65"/>
        <v>0</v>
      </c>
      <c r="O204" s="275">
        <f t="shared" si="65"/>
        <v>0</v>
      </c>
      <c r="P204" s="100">
        <f t="shared" si="63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396"/>
      <c r="E206" s="396"/>
      <c r="F206" s="11"/>
      <c r="G206" s="396"/>
      <c r="H206" s="396"/>
      <c r="I206" s="396"/>
      <c r="J206" s="396"/>
      <c r="K206" s="396"/>
      <c r="L206" s="404"/>
      <c r="M206" s="404"/>
      <c r="N206" s="404"/>
      <c r="O206" s="404"/>
      <c r="P206" s="408">
        <f>SUM(D206:O206)</f>
        <v>0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6">SUM(D206:D209)</f>
        <v>0</v>
      </c>
      <c r="E210" s="309">
        <f t="shared" si="66"/>
        <v>0</v>
      </c>
      <c r="F210" s="309">
        <f t="shared" si="66"/>
        <v>0</v>
      </c>
      <c r="G210" s="309">
        <f t="shared" si="66"/>
        <v>0</v>
      </c>
      <c r="H210" s="309">
        <f t="shared" si="66"/>
        <v>0</v>
      </c>
      <c r="I210" s="309">
        <f t="shared" si="66"/>
        <v>0</v>
      </c>
      <c r="J210" s="309">
        <f t="shared" si="66"/>
        <v>0</v>
      </c>
      <c r="K210" s="309">
        <f t="shared" si="66"/>
        <v>0</v>
      </c>
      <c r="L210" s="309">
        <f t="shared" si="66"/>
        <v>0</v>
      </c>
      <c r="M210" s="309">
        <f t="shared" si="66"/>
        <v>0</v>
      </c>
      <c r="N210" s="309">
        <f t="shared" si="66"/>
        <v>0</v>
      </c>
      <c r="O210" s="309">
        <f t="shared" si="66"/>
        <v>0</v>
      </c>
      <c r="P210" s="8">
        <f>SUM(D210:O210)</f>
        <v>0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1172034.0900000001</v>
      </c>
      <c r="E212" s="11">
        <v>1062800</v>
      </c>
      <c r="F212" s="11">
        <v>998809</v>
      </c>
      <c r="G212" s="11"/>
      <c r="H212" s="11"/>
      <c r="I212" s="11"/>
      <c r="J212" s="11"/>
      <c r="K212" s="11"/>
      <c r="L212" s="11"/>
      <c r="M212" s="11"/>
      <c r="N212" s="434"/>
      <c r="O212" s="11"/>
      <c r="P212" s="8">
        <f>SUM(D212:O212)</f>
        <v>3233643.09</v>
      </c>
    </row>
    <row r="213" spans="1:16" ht="15.75" x14ac:dyDescent="0.25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75" x14ac:dyDescent="0.25">
      <c r="A214" s="338" t="s">
        <v>41</v>
      </c>
      <c r="B214" s="339"/>
      <c r="C214" s="4" t="s">
        <v>31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0</v>
      </c>
    </row>
    <row r="215" spans="1:16" ht="15.75" x14ac:dyDescent="0.25">
      <c r="A215" s="331" t="s">
        <v>40</v>
      </c>
      <c r="B215" s="332"/>
      <c r="C215" s="4" t="s">
        <v>31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67">SUM(D212:D215)</f>
        <v>1172034.0900000001</v>
      </c>
      <c r="E216" s="309">
        <f t="shared" si="67"/>
        <v>1062800</v>
      </c>
      <c r="F216" s="309">
        <f t="shared" si="67"/>
        <v>998809</v>
      </c>
      <c r="G216" s="309">
        <f t="shared" si="67"/>
        <v>0</v>
      </c>
      <c r="H216" s="309">
        <f t="shared" si="67"/>
        <v>0</v>
      </c>
      <c r="I216" s="309">
        <f t="shared" si="67"/>
        <v>0</v>
      </c>
      <c r="J216" s="309">
        <f t="shared" si="67"/>
        <v>0</v>
      </c>
      <c r="K216" s="309">
        <f t="shared" si="67"/>
        <v>0</v>
      </c>
      <c r="L216" s="309">
        <f t="shared" si="67"/>
        <v>0</v>
      </c>
      <c r="M216" s="309">
        <f t="shared" si="67"/>
        <v>0</v>
      </c>
      <c r="N216" s="309">
        <f t="shared" si="67"/>
        <v>0</v>
      </c>
      <c r="O216" s="309">
        <f t="shared" si="67"/>
        <v>0</v>
      </c>
      <c r="P216" s="8">
        <f>SUM(D216:O216)</f>
        <v>3233643.09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1172034.0900000001</v>
      </c>
      <c r="E217" s="309">
        <f t="shared" ref="E217:P217" si="68">E210+E216</f>
        <v>1062800</v>
      </c>
      <c r="F217" s="309">
        <f t="shared" si="68"/>
        <v>998809</v>
      </c>
      <c r="G217" s="309">
        <f t="shared" si="68"/>
        <v>0</v>
      </c>
      <c r="H217" s="309">
        <f t="shared" si="68"/>
        <v>0</v>
      </c>
      <c r="I217" s="309">
        <f t="shared" si="68"/>
        <v>0</v>
      </c>
      <c r="J217" s="309">
        <f t="shared" si="68"/>
        <v>0</v>
      </c>
      <c r="K217" s="309">
        <f t="shared" si="68"/>
        <v>0</v>
      </c>
      <c r="L217" s="309">
        <f t="shared" si="68"/>
        <v>0</v>
      </c>
      <c r="M217" s="309">
        <f t="shared" si="68"/>
        <v>0</v>
      </c>
      <c r="N217" s="309">
        <f t="shared" si="68"/>
        <v>0</v>
      </c>
      <c r="O217" s="309">
        <f t="shared" si="68"/>
        <v>0</v>
      </c>
      <c r="P217" s="280">
        <f t="shared" si="68"/>
        <v>3233643.09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277"/>
      <c r="P219" s="8">
        <f>SUM(D219:O219)</f>
        <v>0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9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0">SUM(H219:H222)</f>
        <v>0</v>
      </c>
      <c r="I223" s="309">
        <f t="shared" si="70"/>
        <v>0</v>
      </c>
      <c r="J223" s="315">
        <f t="shared" si="70"/>
        <v>0</v>
      </c>
      <c r="K223" s="315">
        <f t="shared" si="70"/>
        <v>0</v>
      </c>
      <c r="L223" s="315">
        <f t="shared" si="70"/>
        <v>0</v>
      </c>
      <c r="M223" s="315">
        <f t="shared" si="70"/>
        <v>0</v>
      </c>
      <c r="N223" s="315">
        <f t="shared" si="70"/>
        <v>0</v>
      </c>
      <c r="O223" s="315">
        <f t="shared" si="70"/>
        <v>0</v>
      </c>
      <c r="P223" s="8">
        <f>SUM(D223:O223)</f>
        <v>0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11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1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1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1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1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11">
        <v>1162130.26</v>
      </c>
      <c r="E229" s="11">
        <v>1000712.22</v>
      </c>
      <c r="F229" s="11">
        <v>916091.06</v>
      </c>
      <c r="G229" s="10"/>
      <c r="H229" s="10"/>
      <c r="I229" s="10"/>
      <c r="J229" s="10"/>
      <c r="K229" s="10"/>
      <c r="L229" s="427"/>
      <c r="M229" s="427"/>
      <c r="N229" s="427"/>
      <c r="O229" s="10"/>
      <c r="P229" s="8">
        <f t="shared" si="71"/>
        <v>3078933.54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1162130.26</v>
      </c>
      <c r="E230" s="314">
        <f t="shared" ref="E230:O230" si="72">E223+E229</f>
        <v>1000712.22</v>
      </c>
      <c r="F230" s="314">
        <f t="shared" si="72"/>
        <v>916091.06</v>
      </c>
      <c r="G230" s="314">
        <f t="shared" si="72"/>
        <v>0</v>
      </c>
      <c r="H230" s="314">
        <f t="shared" si="72"/>
        <v>0</v>
      </c>
      <c r="I230" s="314">
        <f t="shared" si="72"/>
        <v>0</v>
      </c>
      <c r="J230" s="314">
        <f t="shared" si="72"/>
        <v>0</v>
      </c>
      <c r="K230" s="314">
        <f t="shared" si="72"/>
        <v>0</v>
      </c>
      <c r="L230" s="314">
        <f t="shared" si="72"/>
        <v>0</v>
      </c>
      <c r="M230" s="314">
        <f t="shared" si="72"/>
        <v>0</v>
      </c>
      <c r="N230" s="314">
        <f t="shared" si="72"/>
        <v>0</v>
      </c>
      <c r="O230" s="314">
        <f t="shared" si="72"/>
        <v>0</v>
      </c>
      <c r="P230" s="8">
        <f t="shared" si="71"/>
        <v>3078933.54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277"/>
      <c r="P232" s="8">
        <f>SUM(D232:O232)</f>
        <v>0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277"/>
      <c r="P238" s="8">
        <f>SUM(D238:O238)</f>
        <v>0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1162130.26</v>
      </c>
      <c r="E243" s="309">
        <f t="shared" ref="E243:O243" si="76">E230+E236+E242</f>
        <v>1000712.22</v>
      </c>
      <c r="F243" s="309">
        <f t="shared" si="76"/>
        <v>916091.06</v>
      </c>
      <c r="G243" s="309">
        <f t="shared" si="76"/>
        <v>0</v>
      </c>
      <c r="H243" s="309">
        <f t="shared" si="76"/>
        <v>0</v>
      </c>
      <c r="I243" s="309">
        <f t="shared" si="76"/>
        <v>0</v>
      </c>
      <c r="J243" s="309">
        <f t="shared" si="76"/>
        <v>0</v>
      </c>
      <c r="K243" s="309">
        <f t="shared" si="76"/>
        <v>0</v>
      </c>
      <c r="L243" s="309">
        <f t="shared" si="76"/>
        <v>0</v>
      </c>
      <c r="M243" s="309">
        <f t="shared" si="76"/>
        <v>0</v>
      </c>
      <c r="N243" s="309">
        <f t="shared" si="76"/>
        <v>0</v>
      </c>
      <c r="O243" s="309">
        <f t="shared" si="76"/>
        <v>0</v>
      </c>
      <c r="P243" s="280">
        <f>P216+P223+P236+P242</f>
        <v>3233643.09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421"/>
      <c r="E245" s="422"/>
      <c r="F245" s="422"/>
      <c r="G245" s="422"/>
      <c r="H245" s="397"/>
      <c r="I245" s="397"/>
      <c r="J245" s="397"/>
      <c r="K245" s="397"/>
      <c r="L245" s="422"/>
      <c r="M245" s="422"/>
      <c r="N245" s="422"/>
      <c r="O245" s="397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421"/>
      <c r="E246" s="422"/>
      <c r="F246" s="422"/>
      <c r="G246" s="397"/>
      <c r="H246" s="397"/>
      <c r="I246" s="397"/>
      <c r="J246" s="397"/>
      <c r="K246" s="397"/>
      <c r="L246" s="397"/>
      <c r="M246" s="397"/>
      <c r="N246" s="397"/>
      <c r="O246" s="397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0</v>
      </c>
      <c r="E247" s="129">
        <f t="shared" ref="E247:P247" si="77">E245+E246</f>
        <v>0</v>
      </c>
      <c r="F247" s="129">
        <f t="shared" si="77"/>
        <v>0</v>
      </c>
      <c r="G247" s="129">
        <f t="shared" si="77"/>
        <v>0</v>
      </c>
      <c r="H247" s="129">
        <f t="shared" si="77"/>
        <v>0</v>
      </c>
      <c r="I247" s="129">
        <f t="shared" si="77"/>
        <v>0</v>
      </c>
      <c r="J247" s="129">
        <f t="shared" si="77"/>
        <v>0</v>
      </c>
      <c r="K247" s="129">
        <f t="shared" si="77"/>
        <v>0</v>
      </c>
      <c r="L247" s="129">
        <f t="shared" si="77"/>
        <v>0</v>
      </c>
      <c r="M247" s="129">
        <f t="shared" si="77"/>
        <v>0</v>
      </c>
      <c r="N247" s="129">
        <f t="shared" si="77"/>
        <v>0</v>
      </c>
      <c r="O247" s="129">
        <f t="shared" si="77"/>
        <v>0</v>
      </c>
      <c r="P247" s="317">
        <f t="shared" si="77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29.168990918453492</v>
      </c>
      <c r="E249" s="7">
        <f t="shared" ref="E249:P249" si="78">E58/E243%</f>
        <v>145.6681692165206</v>
      </c>
      <c r="F249" s="7">
        <f t="shared" si="78"/>
        <v>16.338701089387335</v>
      </c>
      <c r="G249" s="7" t="e">
        <f t="shared" si="78"/>
        <v>#DIV/0!</v>
      </c>
      <c r="H249" s="7" t="e">
        <f t="shared" si="78"/>
        <v>#DIV/0!</v>
      </c>
      <c r="I249" s="7" t="e">
        <f t="shared" si="78"/>
        <v>#DIV/0!</v>
      </c>
      <c r="J249" s="7" t="e">
        <f t="shared" si="78"/>
        <v>#DIV/0!</v>
      </c>
      <c r="K249" s="7" t="e">
        <f t="shared" si="78"/>
        <v>#DIV/0!</v>
      </c>
      <c r="L249" s="7" t="e">
        <f t="shared" si="78"/>
        <v>#DIV/0!</v>
      </c>
      <c r="M249" s="7" t="e">
        <f t="shared" si="78"/>
        <v>#DIV/0!</v>
      </c>
      <c r="N249" s="7" t="e">
        <f t="shared" si="78"/>
        <v>#DIV/0!</v>
      </c>
      <c r="O249" s="7" t="e">
        <f t="shared" si="78"/>
        <v>#DIV/0!</v>
      </c>
      <c r="P249" s="318">
        <f t="shared" si="78"/>
        <v>60.191498128508663</v>
      </c>
    </row>
    <row r="250" spans="1:17" ht="15.75" x14ac:dyDescent="0.25">
      <c r="A250" s="331" t="s">
        <v>210</v>
      </c>
      <c r="B250" s="332"/>
      <c r="C250" s="4" t="s">
        <v>6</v>
      </c>
      <c r="D250" s="439" t="e">
        <f>D210/(D223+D245)%</f>
        <v>#DIV/0!</v>
      </c>
      <c r="E250" s="25" t="e">
        <f t="shared" ref="E250:P250" si="79">E210/(E223+E245)%</f>
        <v>#DIV/0!</v>
      </c>
      <c r="F250" s="25" t="e">
        <f t="shared" si="79"/>
        <v>#DIV/0!</v>
      </c>
      <c r="G250" s="25" t="e">
        <f t="shared" si="79"/>
        <v>#DIV/0!</v>
      </c>
      <c r="H250" s="25" t="e">
        <f t="shared" si="79"/>
        <v>#DIV/0!</v>
      </c>
      <c r="I250" s="25" t="e">
        <f t="shared" si="79"/>
        <v>#DIV/0!</v>
      </c>
      <c r="J250" s="25" t="e">
        <f t="shared" si="79"/>
        <v>#DIV/0!</v>
      </c>
      <c r="K250" s="25" t="e">
        <f t="shared" si="79"/>
        <v>#DIV/0!</v>
      </c>
      <c r="L250" s="25" t="e">
        <f t="shared" si="79"/>
        <v>#DIV/0!</v>
      </c>
      <c r="M250" s="25" t="e">
        <f t="shared" si="79"/>
        <v>#DIV/0!</v>
      </c>
      <c r="N250" s="25" t="e">
        <f t="shared" si="79"/>
        <v>#DIV/0!</v>
      </c>
      <c r="O250" s="25" t="e">
        <f t="shared" si="79"/>
        <v>#DIV/0!</v>
      </c>
      <c r="P250" s="301" t="e">
        <f t="shared" si="79"/>
        <v>#DIV/0!</v>
      </c>
    </row>
    <row r="251" spans="1:17" ht="16.5" thickBot="1" x14ac:dyDescent="0.3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 t="e">
        <f t="shared" si="80"/>
        <v>#DIV/0!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25">
      <c r="A253" s="331" t="s">
        <v>13</v>
      </c>
      <c r="B253" s="332"/>
      <c r="C253" s="4" t="s">
        <v>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0</v>
      </c>
    </row>
    <row r="254" spans="1:17" ht="15.75" x14ac:dyDescent="0.25">
      <c r="A254" s="331" t="s">
        <v>12</v>
      </c>
      <c r="B254" s="332"/>
      <c r="C254" s="4" t="s">
        <v>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0</v>
      </c>
    </row>
    <row r="255" spans="1:17" ht="15.75" customHeight="1" x14ac:dyDescent="0.25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75" x14ac:dyDescent="0.25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25">
      <c r="A257" s="331" t="s">
        <v>9</v>
      </c>
      <c r="B257" s="332"/>
      <c r="C257" s="4" t="s">
        <v>3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0</v>
      </c>
    </row>
    <row r="258" spans="1:16" ht="15.75" x14ac:dyDescent="0.25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75" x14ac:dyDescent="0.25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25">
      <c r="A261" s="331" t="s">
        <v>4</v>
      </c>
      <c r="B261" s="332"/>
      <c r="C261" s="4" t="s">
        <v>3</v>
      </c>
      <c r="D261" s="3">
        <v>4</v>
      </c>
      <c r="E261" s="3">
        <v>8</v>
      </c>
      <c r="F261" s="3">
        <v>4</v>
      </c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16</v>
      </c>
    </row>
    <row r="262" spans="1:16" ht="15.75" customHeight="1" x14ac:dyDescent="0.25">
      <c r="A262" s="331" t="s">
        <v>2</v>
      </c>
      <c r="B262" s="332"/>
      <c r="C262" s="4" t="s">
        <v>0</v>
      </c>
      <c r="D262" s="3">
        <v>2</v>
      </c>
      <c r="E262" s="3">
        <v>2</v>
      </c>
      <c r="F262" s="3">
        <v>1</v>
      </c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5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2</v>
      </c>
      <c r="E263" s="106">
        <f t="shared" ref="E263:P263" si="85">E261/E262</f>
        <v>4</v>
      </c>
      <c r="F263" s="106">
        <f t="shared" si="85"/>
        <v>4</v>
      </c>
      <c r="G263" s="106" t="e">
        <f t="shared" si="85"/>
        <v>#DIV/0!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3.2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3"/>
  <sheetViews>
    <sheetView zoomScale="81" zoomScaleNormal="81" workbookViewId="0">
      <pane xSplit="3" topLeftCell="D1" activePane="topRight" state="frozen"/>
      <selection pane="topRight" activeCell="G268" sqref="G268"/>
    </sheetView>
  </sheetViews>
  <sheetFormatPr defaultRowHeight="15" x14ac:dyDescent="0.25"/>
  <cols>
    <col min="1" max="1" width="39" customWidth="1"/>
    <col min="2" max="2" width="23.140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.75" thickBot="1" x14ac:dyDescent="0.3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8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8.75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5" thickBot="1" x14ac:dyDescent="0.3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.75" thickBot="1" x14ac:dyDescent="0.3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75" x14ac:dyDescent="0.25">
      <c r="A9" s="393" t="s">
        <v>178</v>
      </c>
      <c r="B9" s="394"/>
      <c r="C9" s="53" t="s">
        <v>154</v>
      </c>
      <c r="D9" s="52">
        <v>2150</v>
      </c>
      <c r="E9" s="52">
        <v>2312</v>
      </c>
      <c r="F9" s="52">
        <v>2100</v>
      </c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6562</v>
      </c>
    </row>
    <row r="10" spans="1:16" x14ac:dyDescent="0.25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75" x14ac:dyDescent="0.25">
      <c r="A11" s="338" t="s">
        <v>159</v>
      </c>
      <c r="B11" s="339"/>
      <c r="C11" s="4" t="s">
        <v>154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0</v>
      </c>
    </row>
    <row r="12" spans="1:16" ht="15.75" x14ac:dyDescent="0.25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75" x14ac:dyDescent="0.25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75" x14ac:dyDescent="0.25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75" x14ac:dyDescent="0.25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/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25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75" x14ac:dyDescent="0.25">
      <c r="A17" s="338" t="s">
        <v>182</v>
      </c>
      <c r="B17" s="339"/>
      <c r="C17" s="4" t="s">
        <v>154</v>
      </c>
      <c r="D17" s="22">
        <v>1566</v>
      </c>
      <c r="E17" s="22">
        <v>1735.1</v>
      </c>
      <c r="F17" s="22">
        <v>1566.8000000000002</v>
      </c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4867.8999999999996</v>
      </c>
      <c r="Q17" s="153"/>
    </row>
    <row r="18" spans="1:18" ht="15.75" x14ac:dyDescent="0.25">
      <c r="A18" s="338" t="s">
        <v>183</v>
      </c>
      <c r="B18" s="339"/>
      <c r="C18" s="4" t="s">
        <v>154</v>
      </c>
      <c r="D18" s="22">
        <v>12</v>
      </c>
      <c r="E18" s="22">
        <v>4</v>
      </c>
      <c r="F18" s="22">
        <v>4</v>
      </c>
      <c r="G18" s="339"/>
      <c r="H18" s="339"/>
      <c r="I18" s="339"/>
      <c r="J18" s="339"/>
      <c r="K18" s="22"/>
      <c r="L18" s="22"/>
      <c r="M18" s="22"/>
      <c r="N18" s="339"/>
      <c r="O18" s="339"/>
      <c r="P18" s="257">
        <f>SUM(D18:O18)</f>
        <v>20</v>
      </c>
      <c r="Q18" s="153"/>
    </row>
    <row r="19" spans="1:18" ht="15.75" x14ac:dyDescent="0.25">
      <c r="A19" s="338" t="s">
        <v>184</v>
      </c>
      <c r="B19" s="339"/>
      <c r="C19" s="4" t="s">
        <v>154</v>
      </c>
      <c r="D19" s="22">
        <v>18</v>
      </c>
      <c r="E19" s="22">
        <v>22</v>
      </c>
      <c r="F19" s="22">
        <v>14</v>
      </c>
      <c r="G19" s="339"/>
      <c r="H19" s="339"/>
      <c r="I19" s="339"/>
      <c r="J19" s="339"/>
      <c r="K19" s="22"/>
      <c r="L19" s="22"/>
      <c r="M19" s="22"/>
      <c r="N19" s="339"/>
      <c r="O19" s="339"/>
      <c r="P19" s="257">
        <f>SUM(D19:O19)</f>
        <v>54</v>
      </c>
      <c r="Q19" s="153"/>
    </row>
    <row r="20" spans="1:18" ht="15.75" x14ac:dyDescent="0.25">
      <c r="A20" s="331" t="s">
        <v>185</v>
      </c>
      <c r="B20" s="332"/>
      <c r="C20" s="4" t="s">
        <v>154</v>
      </c>
      <c r="D20" s="22">
        <v>47</v>
      </c>
      <c r="E20" s="22">
        <v>39</v>
      </c>
      <c r="F20" s="22">
        <v>27</v>
      </c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113</v>
      </c>
      <c r="Q20" s="153"/>
    </row>
    <row r="21" spans="1:18" s="58" customFormat="1" ht="15.75" x14ac:dyDescent="0.25">
      <c r="A21" s="345" t="s">
        <v>186</v>
      </c>
      <c r="B21" s="346"/>
      <c r="C21" s="57" t="s">
        <v>154</v>
      </c>
      <c r="D21" s="258">
        <f>SUM(D17:D20)</f>
        <v>1643</v>
      </c>
      <c r="E21" s="258">
        <f t="shared" ref="E21:P21" si="1">SUM(E17:E20)</f>
        <v>1800.1</v>
      </c>
      <c r="F21" s="258">
        <f t="shared" si="1"/>
        <v>1611.8000000000002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5054.8999999999996</v>
      </c>
      <c r="Q21" s="153"/>
    </row>
    <row r="22" spans="1:18" ht="15.75" x14ac:dyDescent="0.25">
      <c r="A22" s="259" t="s">
        <v>187</v>
      </c>
      <c r="B22" s="260"/>
      <c r="C22" s="4" t="s">
        <v>154</v>
      </c>
      <c r="D22" s="258">
        <f>D21+D15</f>
        <v>1643</v>
      </c>
      <c r="E22" s="258">
        <f t="shared" ref="E22:P22" si="2">E21+E15</f>
        <v>1800.1</v>
      </c>
      <c r="F22" s="258">
        <f t="shared" si="2"/>
        <v>1611.8000000000002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5054.8999999999996</v>
      </c>
      <c r="R22" s="153"/>
    </row>
    <row r="23" spans="1:18" x14ac:dyDescent="0.25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75" x14ac:dyDescent="0.25">
      <c r="A24" s="186" t="s">
        <v>181</v>
      </c>
      <c r="B24" s="4" t="s">
        <v>155</v>
      </c>
      <c r="C24" s="4" t="s">
        <v>154</v>
      </c>
      <c r="D24" s="261">
        <f>D9-D22</f>
        <v>507</v>
      </c>
      <c r="E24" s="261">
        <f t="shared" ref="E24:P24" si="3">E9-E22</f>
        <v>511.90000000000009</v>
      </c>
      <c r="F24" s="261">
        <f t="shared" si="3"/>
        <v>488.19999999999982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1507.1000000000004</v>
      </c>
    </row>
    <row r="25" spans="1:18" ht="16.5" thickBot="1" x14ac:dyDescent="0.3">
      <c r="A25" s="325"/>
      <c r="B25" s="263" t="s">
        <v>153</v>
      </c>
      <c r="C25" s="264" t="s">
        <v>6</v>
      </c>
      <c r="D25" s="265">
        <f t="shared" ref="D25:P25" si="4">D24/D9</f>
        <v>0.23581395348837209</v>
      </c>
      <c r="E25" s="265">
        <f t="shared" si="4"/>
        <v>0.22141003460207617</v>
      </c>
      <c r="F25" s="265">
        <f t="shared" si="4"/>
        <v>0.23247619047619039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0.22967083206339536</v>
      </c>
    </row>
    <row r="26" spans="1:18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25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75" x14ac:dyDescent="0.25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75" x14ac:dyDescent="0.25">
      <c r="A29" s="186" t="s">
        <v>148</v>
      </c>
      <c r="B29" s="441">
        <v>5111.67</v>
      </c>
      <c r="C29" s="4" t="s">
        <v>142</v>
      </c>
      <c r="D29" s="3">
        <v>6</v>
      </c>
      <c r="E29" s="420">
        <v>6</v>
      </c>
      <c r="F29" s="38">
        <v>5</v>
      </c>
      <c r="G29" s="420"/>
      <c r="H29" s="38"/>
      <c r="I29" s="38"/>
      <c r="J29" s="38"/>
      <c r="K29" s="3"/>
      <c r="L29" s="3"/>
      <c r="M29" s="3"/>
      <c r="N29" s="3"/>
      <c r="O29" s="38"/>
      <c r="P29" s="274">
        <f>SUM(D29:O29)</f>
        <v>17</v>
      </c>
    </row>
    <row r="30" spans="1:18" ht="15.75" x14ac:dyDescent="0.25">
      <c r="A30" s="187"/>
      <c r="B30" s="441"/>
      <c r="C30" s="37" t="s">
        <v>141</v>
      </c>
      <c r="D30" s="13">
        <f t="shared" ref="D30:P30" si="5">D29/(D9/1000)</f>
        <v>2.7906976744186047</v>
      </c>
      <c r="E30" s="13">
        <f t="shared" si="5"/>
        <v>2.5951557093425608</v>
      </c>
      <c r="F30" s="13">
        <f t="shared" si="5"/>
        <v>2.3809523809523809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2.5906735751295336</v>
      </c>
    </row>
    <row r="31" spans="1:18" ht="15.75" x14ac:dyDescent="0.25">
      <c r="A31" s="186" t="s">
        <v>147</v>
      </c>
      <c r="B31" s="441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75" x14ac:dyDescent="0.25">
      <c r="A32" s="187"/>
      <c r="B32" s="441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75" x14ac:dyDescent="0.25">
      <c r="A33" s="186" t="s">
        <v>146</v>
      </c>
      <c r="B33" s="441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75" x14ac:dyDescent="0.25">
      <c r="A34" s="187"/>
      <c r="B34" s="441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75" x14ac:dyDescent="0.25">
      <c r="A35" s="186" t="s">
        <v>145</v>
      </c>
      <c r="B35" s="441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75" x14ac:dyDescent="0.25">
      <c r="A36" s="187"/>
      <c r="B36" s="441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75" x14ac:dyDescent="0.25">
      <c r="A37" s="186" t="s">
        <v>188</v>
      </c>
      <c r="B37" s="441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75" x14ac:dyDescent="0.25">
      <c r="A38" s="187"/>
      <c r="B38" s="441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75" x14ac:dyDescent="0.25">
      <c r="A39" s="186" t="s">
        <v>143</v>
      </c>
      <c r="B39" s="441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75" x14ac:dyDescent="0.25">
      <c r="A40" s="187"/>
      <c r="B40" s="441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75" x14ac:dyDescent="0.25">
      <c r="A41" s="331" t="s">
        <v>140</v>
      </c>
      <c r="B41" s="332"/>
      <c r="C41" s="4" t="s">
        <v>31</v>
      </c>
      <c r="D41" s="278">
        <f>(D29*$B29)+(D31*$B31)+(D33*$B33)+(D35*$B35)+(D37*$B37)+(D39*$B39)</f>
        <v>30670.02</v>
      </c>
      <c r="E41" s="278">
        <f t="shared" ref="E41:O41" si="10">(E29*$B29)+(E31*$B31)+(E33*$B33)+(E35*$B35)+(E37*$B37)+(E39*$B39)</f>
        <v>30670.02</v>
      </c>
      <c r="F41" s="278">
        <f t="shared" si="10"/>
        <v>25558.35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86898.39</v>
      </c>
    </row>
    <row r="42" spans="1:16" ht="15.75" x14ac:dyDescent="0.25">
      <c r="A42" s="382" t="s">
        <v>139</v>
      </c>
      <c r="B42" s="383"/>
      <c r="C42" s="37" t="s">
        <v>117</v>
      </c>
      <c r="D42" s="275">
        <f t="shared" ref="D42:P42" si="11">D41/D9</f>
        <v>14.265125581395349</v>
      </c>
      <c r="E42" s="275">
        <f t="shared" si="11"/>
        <v>13.265579584775086</v>
      </c>
      <c r="F42" s="275">
        <f t="shared" si="11"/>
        <v>12.170642857142857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13.242668393782383</v>
      </c>
    </row>
    <row r="43" spans="1:16" x14ac:dyDescent="0.25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75" x14ac:dyDescent="0.25">
      <c r="A44" s="331" t="s">
        <v>137</v>
      </c>
      <c r="B44" s="332"/>
      <c r="C44" s="4" t="s">
        <v>136</v>
      </c>
      <c r="D44" s="3">
        <v>2096</v>
      </c>
      <c r="E44" s="3">
        <v>1348</v>
      </c>
      <c r="F44" s="3">
        <v>599</v>
      </c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4043</v>
      </c>
    </row>
    <row r="45" spans="1:16" ht="15.75" x14ac:dyDescent="0.25">
      <c r="A45" s="382" t="s">
        <v>135</v>
      </c>
      <c r="B45" s="383"/>
      <c r="C45" s="37" t="s">
        <v>134</v>
      </c>
      <c r="D45" s="13">
        <f t="shared" ref="D45:P45" si="12">D44/D9</f>
        <v>0.97488372093023257</v>
      </c>
      <c r="E45" s="13">
        <f t="shared" si="12"/>
        <v>0.58304498269896199</v>
      </c>
      <c r="F45" s="13">
        <f t="shared" si="12"/>
        <v>0.28523809523809524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13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0.61612313319110024</v>
      </c>
    </row>
    <row r="46" spans="1:16" ht="15.75" x14ac:dyDescent="0.25">
      <c r="A46" s="331" t="s">
        <v>133</v>
      </c>
      <c r="B46" s="332"/>
      <c r="C46" s="4" t="s">
        <v>31</v>
      </c>
      <c r="D46" s="403">
        <f>333.87*D44</f>
        <v>699791.52</v>
      </c>
      <c r="E46" s="403">
        <f>333.87*E44</f>
        <v>450056.76</v>
      </c>
      <c r="F46" s="403">
        <f t="shared" ref="F46:O46" si="13">333.87*F44</f>
        <v>199988.13</v>
      </c>
      <c r="G46" s="403">
        <f t="shared" si="13"/>
        <v>0</v>
      </c>
      <c r="H46" s="403">
        <f t="shared" si="13"/>
        <v>0</v>
      </c>
      <c r="I46" s="403">
        <f t="shared" si="13"/>
        <v>0</v>
      </c>
      <c r="J46" s="403">
        <f t="shared" si="13"/>
        <v>0</v>
      </c>
      <c r="K46" s="403">
        <f t="shared" si="13"/>
        <v>0</v>
      </c>
      <c r="L46" s="403">
        <f t="shared" si="13"/>
        <v>0</v>
      </c>
      <c r="M46" s="403">
        <f t="shared" si="13"/>
        <v>0</v>
      </c>
      <c r="N46" s="403">
        <f t="shared" si="13"/>
        <v>0</v>
      </c>
      <c r="O46" s="403">
        <f t="shared" si="13"/>
        <v>0</v>
      </c>
      <c r="P46" s="34">
        <f>SUM(D46:O46)</f>
        <v>1349836.4100000001</v>
      </c>
    </row>
    <row r="47" spans="1:16" ht="15.75" x14ac:dyDescent="0.25">
      <c r="A47" s="331" t="s">
        <v>132</v>
      </c>
      <c r="B47" s="332"/>
      <c r="C47" s="4" t="s">
        <v>117</v>
      </c>
      <c r="D47" s="13">
        <f t="shared" ref="D47:P47" si="14">D46/D9</f>
        <v>325.48442790697675</v>
      </c>
      <c r="E47" s="13">
        <f t="shared" si="14"/>
        <v>194.66122837370241</v>
      </c>
      <c r="F47" s="13">
        <f t="shared" si="14"/>
        <v>95.232442857142857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205.70503047851267</v>
      </c>
    </row>
    <row r="48" spans="1:16" x14ac:dyDescent="0.25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75" x14ac:dyDescent="0.25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75" x14ac:dyDescent="0.25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75" x14ac:dyDescent="0.25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75" x14ac:dyDescent="0.25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25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75" x14ac:dyDescent="0.25">
      <c r="A54" s="331" t="s">
        <v>124</v>
      </c>
      <c r="B54" s="332"/>
      <c r="C54" s="4" t="s">
        <v>18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0</v>
      </c>
    </row>
    <row r="55" spans="1:16" ht="15.75" x14ac:dyDescent="0.25">
      <c r="A55" s="281" t="s">
        <v>123</v>
      </c>
      <c r="B55" s="260"/>
      <c r="C55" s="4" t="s">
        <v>18</v>
      </c>
      <c r="D55" s="11"/>
      <c r="E55" s="11">
        <v>1285672.5</v>
      </c>
      <c r="F55" s="11">
        <v>1116013.92</v>
      </c>
      <c r="G55" s="11"/>
      <c r="H55" s="11"/>
      <c r="I55" s="11"/>
      <c r="J55" s="11"/>
      <c r="K55" s="11"/>
      <c r="L55" s="11"/>
      <c r="M55" s="396"/>
      <c r="N55" s="11"/>
      <c r="O55" s="11"/>
      <c r="P55" s="34">
        <f>SUM(D55:O55)</f>
        <v>2401686.42</v>
      </c>
    </row>
    <row r="56" spans="1:16" ht="15.75" x14ac:dyDescent="0.25">
      <c r="A56" s="331" t="s">
        <v>122</v>
      </c>
      <c r="B56" s="332"/>
      <c r="C56" s="4" t="s">
        <v>18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0</v>
      </c>
    </row>
    <row r="57" spans="1:16" x14ac:dyDescent="0.25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75" x14ac:dyDescent="0.25">
      <c r="A58" s="331" t="s">
        <v>120</v>
      </c>
      <c r="B58" s="332"/>
      <c r="C58" s="4" t="s">
        <v>18</v>
      </c>
      <c r="D58" s="11">
        <f>D41+D46+D51+D52+D54+D55+D56</f>
        <v>730461.54</v>
      </c>
      <c r="E58" s="11">
        <f t="shared" ref="E58:N58" si="15">E41+E46+E51+E52+E54+E55+E56</f>
        <v>1766399.28</v>
      </c>
      <c r="F58" s="11">
        <f t="shared" si="15"/>
        <v>1341560.3999999999</v>
      </c>
      <c r="G58" s="277">
        <f t="shared" si="15"/>
        <v>0</v>
      </c>
      <c r="H58" s="277">
        <f t="shared" si="15"/>
        <v>0</v>
      </c>
      <c r="I58" s="277">
        <f t="shared" si="15"/>
        <v>0</v>
      </c>
      <c r="J58" s="404">
        <f t="shared" si="15"/>
        <v>0</v>
      </c>
      <c r="K58" s="404">
        <f t="shared" si="15"/>
        <v>0</v>
      </c>
      <c r="L58" s="404">
        <f t="shared" si="15"/>
        <v>0</v>
      </c>
      <c r="M58" s="404">
        <f t="shared" si="15"/>
        <v>0</v>
      </c>
      <c r="N58" s="404">
        <f t="shared" si="15"/>
        <v>0</v>
      </c>
      <c r="O58" s="404"/>
      <c r="P58" s="59">
        <f>SUM(D58:O58)</f>
        <v>3838421.22</v>
      </c>
    </row>
    <row r="59" spans="1:16" ht="15.75" x14ac:dyDescent="0.25">
      <c r="A59" s="331" t="s">
        <v>119</v>
      </c>
      <c r="B59" s="332"/>
      <c r="C59" s="4" t="s">
        <v>117</v>
      </c>
      <c r="D59" s="13">
        <f t="shared" ref="D59:P59" si="16">D58/D9</f>
        <v>339.7495534883721</v>
      </c>
      <c r="E59" s="13">
        <f t="shared" si="16"/>
        <v>764.01352941176469</v>
      </c>
      <c r="F59" s="13">
        <f t="shared" si="16"/>
        <v>638.83828571428569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584.94684852179216</v>
      </c>
    </row>
    <row r="60" spans="1:16" ht="15.75" x14ac:dyDescent="0.25">
      <c r="A60" s="331" t="s">
        <v>118</v>
      </c>
      <c r="B60" s="332"/>
      <c r="C60" s="4" t="s">
        <v>117</v>
      </c>
      <c r="D60" s="13">
        <f>D58/D22</f>
        <v>444.59010346926357</v>
      </c>
      <c r="E60" s="13">
        <f t="shared" ref="E60:N60" si="17">E58/E22</f>
        <v>981.27841786567421</v>
      </c>
      <c r="F60" s="13">
        <f t="shared" si="17"/>
        <v>832.33676634818198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759.34661813290086</v>
      </c>
    </row>
    <row r="61" spans="1:16" ht="15.75" x14ac:dyDescent="0.25">
      <c r="A61" s="331" t="s">
        <v>116</v>
      </c>
      <c r="B61" s="332"/>
      <c r="C61" s="4" t="s">
        <v>3</v>
      </c>
      <c r="D61" s="3">
        <v>5</v>
      </c>
      <c r="E61" s="3">
        <v>5</v>
      </c>
      <c r="F61" s="3">
        <v>5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1" t="s">
        <v>115</v>
      </c>
      <c r="B62" s="332"/>
      <c r="C62" s="4" t="s">
        <v>114</v>
      </c>
      <c r="D62" s="13">
        <f t="shared" ref="D62:P62" si="18">(D61*1000*31)/D9</f>
        <v>72.093023255813947</v>
      </c>
      <c r="E62" s="13">
        <f t="shared" si="18"/>
        <v>67.041522491349482</v>
      </c>
      <c r="F62" s="13">
        <f t="shared" si="18"/>
        <v>73.80952380952381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75" x14ac:dyDescent="0.25">
      <c r="A63" s="369" t="s">
        <v>113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6</v>
      </c>
    </row>
    <row r="64" spans="1:16" x14ac:dyDescent="0.25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5" customHeight="1" x14ac:dyDescent="0.25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75" x14ac:dyDescent="0.25">
      <c r="A66" s="186" t="s">
        <v>111</v>
      </c>
      <c r="B66" s="4" t="s">
        <v>85</v>
      </c>
      <c r="C66" s="4" t="s">
        <v>3</v>
      </c>
      <c r="D66" s="3">
        <v>6</v>
      </c>
      <c r="E66" s="3">
        <f>D71</f>
        <v>6</v>
      </c>
      <c r="F66" s="3">
        <f>E71</f>
        <v>10</v>
      </c>
      <c r="G66" s="3">
        <f t="shared" ref="G66:O66" si="19">F71</f>
        <v>4</v>
      </c>
      <c r="H66" s="3">
        <f t="shared" si="19"/>
        <v>4</v>
      </c>
      <c r="I66" s="3">
        <f t="shared" si="19"/>
        <v>4</v>
      </c>
      <c r="J66" s="3">
        <f t="shared" si="19"/>
        <v>4</v>
      </c>
      <c r="K66" s="3">
        <f t="shared" si="19"/>
        <v>4</v>
      </c>
      <c r="L66" s="3">
        <f t="shared" si="19"/>
        <v>4</v>
      </c>
      <c r="M66" s="3">
        <f t="shared" si="19"/>
        <v>4</v>
      </c>
      <c r="N66" s="3">
        <f t="shared" si="19"/>
        <v>4</v>
      </c>
      <c r="O66" s="3">
        <f t="shared" si="19"/>
        <v>4</v>
      </c>
      <c r="P66" s="31">
        <f>D66</f>
        <v>6</v>
      </c>
    </row>
    <row r="67" spans="1:16" ht="15.75" x14ac:dyDescent="0.25">
      <c r="A67" s="325"/>
      <c r="B67" s="4" t="s">
        <v>106</v>
      </c>
      <c r="C67" s="4" t="s">
        <v>3</v>
      </c>
      <c r="D67" s="3"/>
      <c r="E67" s="3">
        <v>4</v>
      </c>
      <c r="F67" s="3">
        <v>3</v>
      </c>
      <c r="G67" s="3"/>
      <c r="H67" s="3"/>
      <c r="I67" s="3"/>
      <c r="J67" s="3"/>
      <c r="K67" s="3"/>
      <c r="L67" s="3"/>
      <c r="M67" s="3"/>
      <c r="N67" s="284"/>
      <c r="O67" s="284"/>
      <c r="P67" s="31">
        <f>SUM(D67:O67)</f>
        <v>7</v>
      </c>
    </row>
    <row r="68" spans="1:16" ht="15.75" x14ac:dyDescent="0.25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3"/>
      <c r="N68" s="284"/>
      <c r="O68" s="284"/>
      <c r="P68" s="31">
        <f t="shared" ref="P68:P69" si="20">SUM(D68:O68)</f>
        <v>0</v>
      </c>
    </row>
    <row r="69" spans="1:16" ht="15.75" x14ac:dyDescent="0.25">
      <c r="A69" s="325"/>
      <c r="B69" s="4" t="s">
        <v>104</v>
      </c>
      <c r="C69" s="4" t="s">
        <v>3</v>
      </c>
      <c r="D69" s="3"/>
      <c r="E69" s="3"/>
      <c r="F69" s="3">
        <v>9</v>
      </c>
      <c r="G69" s="3"/>
      <c r="H69" s="3"/>
      <c r="I69" s="3"/>
      <c r="J69" s="284"/>
      <c r="K69" s="3"/>
      <c r="L69" s="284"/>
      <c r="M69" s="3"/>
      <c r="N69" s="284"/>
      <c r="O69" s="284"/>
      <c r="P69" s="31">
        <f t="shared" si="20"/>
        <v>9</v>
      </c>
    </row>
    <row r="70" spans="1:16" ht="15.75" x14ac:dyDescent="0.25">
      <c r="A70" s="325"/>
      <c r="B70" s="4" t="s">
        <v>190</v>
      </c>
      <c r="C70" s="4" t="s">
        <v>3</v>
      </c>
      <c r="D70" s="3">
        <f>D68+D69</f>
        <v>0</v>
      </c>
      <c r="E70" s="3">
        <f t="shared" ref="E70:H70" si="21">E68+E69</f>
        <v>0</v>
      </c>
      <c r="F70" s="3">
        <f t="shared" si="21"/>
        <v>9</v>
      </c>
      <c r="G70" s="3">
        <f t="shared" si="21"/>
        <v>0</v>
      </c>
      <c r="H70" s="3">
        <f t="shared" si="21"/>
        <v>0</v>
      </c>
      <c r="I70" s="3"/>
      <c r="J70" s="284"/>
      <c r="K70" s="3"/>
      <c r="L70" s="284"/>
      <c r="M70" s="3">
        <f t="shared" ref="M70" si="22">M68+M69</f>
        <v>0</v>
      </c>
      <c r="N70" s="284"/>
      <c r="O70" s="284"/>
      <c r="P70" s="285">
        <f t="shared" ref="P70" si="23">P68+P69</f>
        <v>9</v>
      </c>
    </row>
    <row r="71" spans="1:16" ht="15.75" x14ac:dyDescent="0.25">
      <c r="A71" s="187"/>
      <c r="B71" s="4" t="s">
        <v>81</v>
      </c>
      <c r="C71" s="4" t="s">
        <v>3</v>
      </c>
      <c r="D71" s="22">
        <f>D66+D67-D70</f>
        <v>6</v>
      </c>
      <c r="E71" s="22">
        <f t="shared" ref="E71:N71" si="24">E66+E67-E70</f>
        <v>10</v>
      </c>
      <c r="F71" s="22">
        <f t="shared" si="24"/>
        <v>4</v>
      </c>
      <c r="G71" s="22">
        <f t="shared" si="24"/>
        <v>4</v>
      </c>
      <c r="H71" s="22">
        <f t="shared" si="24"/>
        <v>4</v>
      </c>
      <c r="I71" s="22">
        <f t="shared" si="24"/>
        <v>4</v>
      </c>
      <c r="J71" s="402">
        <f t="shared" si="24"/>
        <v>4</v>
      </c>
      <c r="K71" s="22">
        <f t="shared" si="24"/>
        <v>4</v>
      </c>
      <c r="L71" s="22">
        <f t="shared" si="24"/>
        <v>4</v>
      </c>
      <c r="M71" s="22">
        <f t="shared" si="24"/>
        <v>4</v>
      </c>
      <c r="N71" s="22">
        <f t="shared" si="24"/>
        <v>4</v>
      </c>
      <c r="O71" s="22"/>
      <c r="P71" s="287">
        <f>P66+P67-P70</f>
        <v>4</v>
      </c>
    </row>
    <row r="72" spans="1:16" ht="15.75" x14ac:dyDescent="0.25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5">E77</f>
        <v>0</v>
      </c>
      <c r="G72" s="3">
        <f t="shared" si="25"/>
        <v>0</v>
      </c>
      <c r="H72" s="3">
        <f t="shared" si="25"/>
        <v>0</v>
      </c>
      <c r="I72" s="3">
        <f t="shared" si="25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75" x14ac:dyDescent="0.25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75" x14ac:dyDescent="0.25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6">SUM(D74:O74)</f>
        <v>0</v>
      </c>
    </row>
    <row r="75" spans="1:16" ht="15.75" x14ac:dyDescent="0.25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6"/>
        <v>0</v>
      </c>
    </row>
    <row r="76" spans="1:16" ht="15.75" x14ac:dyDescent="0.25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7">E74+E75</f>
        <v>0</v>
      </c>
      <c r="F76" s="3">
        <f t="shared" si="27"/>
        <v>0</v>
      </c>
      <c r="G76" s="3">
        <f t="shared" si="27"/>
        <v>0</v>
      </c>
      <c r="H76" s="3">
        <f t="shared" si="27"/>
        <v>0</v>
      </c>
      <c r="I76" s="284">
        <f t="shared" si="27"/>
        <v>0</v>
      </c>
      <c r="J76" s="284">
        <f t="shared" si="27"/>
        <v>0</v>
      </c>
      <c r="K76" s="284">
        <f t="shared" si="27"/>
        <v>0</v>
      </c>
      <c r="L76" s="284"/>
      <c r="M76" s="284">
        <f t="shared" si="27"/>
        <v>0</v>
      </c>
      <c r="N76" s="284">
        <f t="shared" si="27"/>
        <v>0</v>
      </c>
      <c r="O76" s="284"/>
      <c r="P76" s="285">
        <f t="shared" ref="P76" si="28">P74+P75</f>
        <v>0</v>
      </c>
    </row>
    <row r="77" spans="1:16" ht="15.75" x14ac:dyDescent="0.25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29">E72+E73-E76</f>
        <v>0</v>
      </c>
      <c r="F77" s="141">
        <f t="shared" si="29"/>
        <v>0</v>
      </c>
      <c r="G77" s="141">
        <f t="shared" si="29"/>
        <v>0</v>
      </c>
      <c r="H77" s="141">
        <f t="shared" si="29"/>
        <v>0</v>
      </c>
      <c r="I77" s="141">
        <f t="shared" si="29"/>
        <v>0</v>
      </c>
      <c r="J77" s="141">
        <f t="shared" si="29"/>
        <v>0</v>
      </c>
      <c r="K77" s="141">
        <f t="shared" si="29"/>
        <v>0</v>
      </c>
      <c r="L77" s="141">
        <f t="shared" si="29"/>
        <v>0</v>
      </c>
      <c r="M77" s="141">
        <f t="shared" si="29"/>
        <v>0</v>
      </c>
      <c r="N77" s="141">
        <f t="shared" si="29"/>
        <v>0</v>
      </c>
      <c r="O77" s="141"/>
      <c r="P77" s="287">
        <f>P72+P73-P76</f>
        <v>0</v>
      </c>
    </row>
    <row r="78" spans="1:16" ht="15.6" customHeight="1" x14ac:dyDescent="0.25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0">E83</f>
        <v>0</v>
      </c>
      <c r="G78" s="3">
        <f t="shared" si="30"/>
        <v>0</v>
      </c>
      <c r="H78" s="3">
        <f t="shared" si="30"/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/>
      <c r="P78" s="31">
        <f>D78</f>
        <v>0</v>
      </c>
    </row>
    <row r="79" spans="1:16" ht="15.75" x14ac:dyDescent="0.25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75" x14ac:dyDescent="0.25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75" x14ac:dyDescent="0.25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75" x14ac:dyDescent="0.25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/>
      <c r="M82" s="284">
        <f t="shared" ref="M82:P82" si="33">M81+M80</f>
        <v>0</v>
      </c>
      <c r="N82" s="284">
        <f t="shared" si="33"/>
        <v>0</v>
      </c>
      <c r="O82" s="284"/>
      <c r="P82" s="288">
        <f t="shared" si="33"/>
        <v>0</v>
      </c>
    </row>
    <row r="83" spans="1:16" ht="15.75" x14ac:dyDescent="0.25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/>
      <c r="P83" s="289">
        <f t="shared" si="34"/>
        <v>0</v>
      </c>
    </row>
    <row r="84" spans="1:16" ht="15.75" x14ac:dyDescent="0.25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75" x14ac:dyDescent="0.25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75" x14ac:dyDescent="0.25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6">SUM(D86:O86)</f>
        <v>0</v>
      </c>
    </row>
    <row r="87" spans="1:16" ht="15.75" x14ac:dyDescent="0.25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6"/>
        <v>0</v>
      </c>
    </row>
    <row r="88" spans="1:16" ht="15.75" x14ac:dyDescent="0.25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/>
      <c r="P88" s="31">
        <f t="shared" si="36"/>
        <v>0</v>
      </c>
    </row>
    <row r="89" spans="1:16" ht="15.75" x14ac:dyDescent="0.25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/>
      <c r="P89" s="289">
        <f t="shared" ref="P89" si="39">P84+P85-P86-P87</f>
        <v>0</v>
      </c>
    </row>
    <row r="90" spans="1:16" ht="15.75" x14ac:dyDescent="0.25">
      <c r="A90" s="377" t="s">
        <v>107</v>
      </c>
      <c r="B90" s="4" t="s">
        <v>85</v>
      </c>
      <c r="C90" s="4" t="s">
        <v>3</v>
      </c>
      <c r="D90" s="122">
        <f t="shared" ref="D90:N93" si="40">D66+D72+D78+D84</f>
        <v>6</v>
      </c>
      <c r="E90" s="122">
        <f t="shared" si="40"/>
        <v>6</v>
      </c>
      <c r="F90" s="122">
        <f t="shared" si="40"/>
        <v>10</v>
      </c>
      <c r="G90" s="122">
        <f t="shared" si="40"/>
        <v>4</v>
      </c>
      <c r="H90" s="122">
        <f t="shared" si="40"/>
        <v>4</v>
      </c>
      <c r="I90" s="122">
        <f t="shared" si="40"/>
        <v>4</v>
      </c>
      <c r="J90" s="122">
        <f t="shared" si="40"/>
        <v>4</v>
      </c>
      <c r="K90" s="122">
        <f t="shared" si="40"/>
        <v>4</v>
      </c>
      <c r="L90" s="122">
        <f t="shared" si="40"/>
        <v>4</v>
      </c>
      <c r="M90" s="122">
        <f t="shared" si="40"/>
        <v>4</v>
      </c>
      <c r="N90" s="122">
        <f t="shared" si="40"/>
        <v>4</v>
      </c>
      <c r="O90" s="122"/>
      <c r="P90" s="31">
        <f>D90</f>
        <v>6</v>
      </c>
    </row>
    <row r="91" spans="1:16" ht="15.75" x14ac:dyDescent="0.25">
      <c r="A91" s="378"/>
      <c r="B91" s="4" t="s">
        <v>106</v>
      </c>
      <c r="C91" s="4" t="s">
        <v>3</v>
      </c>
      <c r="D91" s="122">
        <f t="shared" si="40"/>
        <v>0</v>
      </c>
      <c r="E91" s="122">
        <f t="shared" si="40"/>
        <v>4</v>
      </c>
      <c r="F91" s="122">
        <f t="shared" si="40"/>
        <v>3</v>
      </c>
      <c r="G91" s="122">
        <f t="shared" si="40"/>
        <v>0</v>
      </c>
      <c r="H91" s="122">
        <f t="shared" si="40"/>
        <v>0</v>
      </c>
      <c r="I91" s="122">
        <f t="shared" si="40"/>
        <v>0</v>
      </c>
      <c r="J91" s="122">
        <f t="shared" si="40"/>
        <v>0</v>
      </c>
      <c r="K91" s="122">
        <f t="shared" si="40"/>
        <v>0</v>
      </c>
      <c r="L91" s="122">
        <f t="shared" si="40"/>
        <v>0</v>
      </c>
      <c r="M91" s="122">
        <f t="shared" si="40"/>
        <v>0</v>
      </c>
      <c r="N91" s="122">
        <f t="shared" si="40"/>
        <v>0</v>
      </c>
      <c r="O91" s="122"/>
      <c r="P91" s="31">
        <f>SUM(D91:O91)</f>
        <v>7</v>
      </c>
    </row>
    <row r="92" spans="1:16" ht="15.75" x14ac:dyDescent="0.25">
      <c r="A92" s="378"/>
      <c r="B92" s="4" t="s">
        <v>105</v>
      </c>
      <c r="C92" s="4" t="s">
        <v>3</v>
      </c>
      <c r="D92" s="122">
        <f t="shared" si="40"/>
        <v>0</v>
      </c>
      <c r="E92" s="122">
        <f t="shared" si="40"/>
        <v>0</v>
      </c>
      <c r="F92" s="122">
        <f t="shared" si="40"/>
        <v>0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/>
      <c r="P92" s="31">
        <f>SUM(D92:O92)</f>
        <v>0</v>
      </c>
    </row>
    <row r="93" spans="1:16" ht="15.75" x14ac:dyDescent="0.25">
      <c r="A93" s="378"/>
      <c r="B93" s="4" t="s">
        <v>104</v>
      </c>
      <c r="C93" s="4"/>
      <c r="D93" s="122">
        <f t="shared" si="40"/>
        <v>0</v>
      </c>
      <c r="E93" s="122">
        <f t="shared" si="40"/>
        <v>0</v>
      </c>
      <c r="F93" s="122">
        <f t="shared" si="40"/>
        <v>9</v>
      </c>
      <c r="G93" s="122">
        <f t="shared" si="40"/>
        <v>0</v>
      </c>
      <c r="H93" s="122">
        <f t="shared" si="40"/>
        <v>0</v>
      </c>
      <c r="I93" s="122">
        <f t="shared" si="40"/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122">
        <f t="shared" si="40"/>
        <v>0</v>
      </c>
      <c r="O93" s="122"/>
      <c r="P93" s="31">
        <f>SUM(D93:O93)</f>
        <v>9</v>
      </c>
    </row>
    <row r="94" spans="1:16" ht="15.75" x14ac:dyDescent="0.25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1">E93+E92</f>
        <v>0</v>
      </c>
      <c r="F94" s="123">
        <f t="shared" si="41"/>
        <v>9</v>
      </c>
      <c r="G94" s="123">
        <f t="shared" si="41"/>
        <v>0</v>
      </c>
      <c r="H94" s="123">
        <f t="shared" si="41"/>
        <v>0</v>
      </c>
      <c r="I94" s="123">
        <f t="shared" si="41"/>
        <v>0</v>
      </c>
      <c r="J94" s="123">
        <f t="shared" si="41"/>
        <v>0</v>
      </c>
      <c r="K94" s="123">
        <f t="shared" si="41"/>
        <v>0</v>
      </c>
      <c r="L94" s="123">
        <f t="shared" si="41"/>
        <v>0</v>
      </c>
      <c r="M94" s="123">
        <f t="shared" si="41"/>
        <v>0</v>
      </c>
      <c r="N94" s="123">
        <f t="shared" si="41"/>
        <v>0</v>
      </c>
      <c r="O94" s="123"/>
      <c r="P94" s="130">
        <f t="shared" si="41"/>
        <v>9</v>
      </c>
    </row>
    <row r="95" spans="1:16" ht="16.5" thickBot="1" x14ac:dyDescent="0.3">
      <c r="A95" s="379"/>
      <c r="B95" s="4" t="s">
        <v>81</v>
      </c>
      <c r="C95" s="4" t="s">
        <v>3</v>
      </c>
      <c r="D95" s="124">
        <f>D90+D91-D94</f>
        <v>6</v>
      </c>
      <c r="E95" s="124">
        <f t="shared" ref="E95:P95" si="42">E90+E91-E94</f>
        <v>10</v>
      </c>
      <c r="F95" s="124">
        <f t="shared" si="42"/>
        <v>4</v>
      </c>
      <c r="G95" s="124">
        <f t="shared" si="42"/>
        <v>4</v>
      </c>
      <c r="H95" s="124">
        <f t="shared" si="42"/>
        <v>4</v>
      </c>
      <c r="I95" s="124">
        <f t="shared" si="42"/>
        <v>4</v>
      </c>
      <c r="J95" s="124">
        <f t="shared" si="42"/>
        <v>4</v>
      </c>
      <c r="K95" s="124">
        <f t="shared" si="42"/>
        <v>4</v>
      </c>
      <c r="L95" s="124">
        <f t="shared" si="42"/>
        <v>4</v>
      </c>
      <c r="M95" s="124">
        <f t="shared" si="42"/>
        <v>4</v>
      </c>
      <c r="N95" s="124">
        <f t="shared" si="42"/>
        <v>4</v>
      </c>
      <c r="O95" s="124">
        <f t="shared" si="42"/>
        <v>0</v>
      </c>
      <c r="P95" s="131">
        <f t="shared" si="42"/>
        <v>4</v>
      </c>
    </row>
    <row r="96" spans="1:16" ht="16.5" thickBot="1" x14ac:dyDescent="0.3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75" x14ac:dyDescent="0.25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75" x14ac:dyDescent="0.25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25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75" x14ac:dyDescent="0.25">
      <c r="A101" s="331" t="s">
        <v>102</v>
      </c>
      <c r="B101" s="332"/>
      <c r="C101" s="4" t="s">
        <v>3</v>
      </c>
      <c r="D101" s="3">
        <v>13</v>
      </c>
      <c r="E101" s="3">
        <v>13</v>
      </c>
      <c r="F101" s="3">
        <v>12</v>
      </c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3">O101</f>
        <v>0</v>
      </c>
    </row>
    <row r="102" spans="1:21" ht="15.75" x14ac:dyDescent="0.25">
      <c r="A102" s="331" t="s">
        <v>101</v>
      </c>
      <c r="B102" s="332"/>
      <c r="C102" s="4" t="s">
        <v>3</v>
      </c>
      <c r="D102" s="3">
        <v>5</v>
      </c>
      <c r="E102" s="3">
        <v>5</v>
      </c>
      <c r="F102" s="3">
        <v>5</v>
      </c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3"/>
        <v>0</v>
      </c>
    </row>
    <row r="103" spans="1:21" ht="15.6" customHeight="1" x14ac:dyDescent="0.25">
      <c r="A103" s="338" t="s">
        <v>100</v>
      </c>
      <c r="B103" s="339"/>
      <c r="C103" s="4" t="s">
        <v>3</v>
      </c>
      <c r="D103" s="3">
        <v>5</v>
      </c>
      <c r="E103" s="3">
        <v>5</v>
      </c>
      <c r="F103" s="3">
        <v>5</v>
      </c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3"/>
        <v>0</v>
      </c>
    </row>
    <row r="104" spans="1:21" ht="15.75" x14ac:dyDescent="0.25">
      <c r="A104" s="338" t="s">
        <v>99</v>
      </c>
      <c r="B104" s="339"/>
      <c r="C104" s="4" t="s">
        <v>3</v>
      </c>
      <c r="D104" s="3">
        <v>11</v>
      </c>
      <c r="E104" s="3">
        <v>11</v>
      </c>
      <c r="F104" s="3">
        <v>11</v>
      </c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3"/>
        <v>0</v>
      </c>
    </row>
    <row r="105" spans="1:21" ht="15.75" x14ac:dyDescent="0.25">
      <c r="A105" s="380" t="s">
        <v>98</v>
      </c>
      <c r="B105" s="381"/>
      <c r="C105" s="4" t="s">
        <v>3</v>
      </c>
      <c r="D105" s="296">
        <f>SUM(D101:D104)</f>
        <v>34</v>
      </c>
      <c r="E105" s="296">
        <f t="shared" ref="E105:O105" si="44">SUM(E101:E104)</f>
        <v>34</v>
      </c>
      <c r="F105" s="296">
        <f t="shared" si="44"/>
        <v>33</v>
      </c>
      <c r="G105" s="296">
        <f t="shared" si="44"/>
        <v>0</v>
      </c>
      <c r="H105" s="296">
        <f t="shared" si="44"/>
        <v>0</v>
      </c>
      <c r="I105" s="296">
        <f t="shared" si="44"/>
        <v>0</v>
      </c>
      <c r="J105" s="296">
        <f t="shared" si="44"/>
        <v>0</v>
      </c>
      <c r="K105" s="296">
        <f t="shared" si="44"/>
        <v>0</v>
      </c>
      <c r="L105" s="296">
        <f t="shared" si="44"/>
        <v>0</v>
      </c>
      <c r="M105" s="296">
        <f t="shared" si="44"/>
        <v>0</v>
      </c>
      <c r="N105" s="296">
        <f t="shared" si="44"/>
        <v>0</v>
      </c>
      <c r="O105" s="296">
        <f t="shared" si="44"/>
        <v>0</v>
      </c>
      <c r="P105" s="295">
        <f t="shared" si="43"/>
        <v>0</v>
      </c>
    </row>
    <row r="106" spans="1:21" ht="15.6" customHeight="1" x14ac:dyDescent="0.25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75" x14ac:dyDescent="0.25">
      <c r="A107" s="331" t="s">
        <v>195</v>
      </c>
      <c r="B107" s="332"/>
      <c r="C107" s="4" t="s">
        <v>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3"/>
        <v>0</v>
      </c>
    </row>
    <row r="108" spans="1:21" ht="15.75" x14ac:dyDescent="0.25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3"/>
        <v>0</v>
      </c>
    </row>
    <row r="109" spans="1:21" ht="15.75" x14ac:dyDescent="0.25">
      <c r="A109" s="331" t="s">
        <v>197</v>
      </c>
      <c r="B109" s="332"/>
      <c r="C109" s="4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3"/>
        <v>0</v>
      </c>
    </row>
    <row r="110" spans="1:21" ht="15.75" x14ac:dyDescent="0.25">
      <c r="A110" s="331" t="s">
        <v>198</v>
      </c>
      <c r="B110" s="332"/>
      <c r="C110" s="4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3"/>
        <v>0</v>
      </c>
    </row>
    <row r="111" spans="1:21" ht="15.75" x14ac:dyDescent="0.25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5">SUM(E107:E110)</f>
        <v>0</v>
      </c>
      <c r="F111" s="296">
        <f t="shared" si="45"/>
        <v>0</v>
      </c>
      <c r="G111" s="296">
        <f t="shared" si="45"/>
        <v>0</v>
      </c>
      <c r="H111" s="296">
        <f t="shared" si="45"/>
        <v>0</v>
      </c>
      <c r="I111" s="296">
        <f t="shared" si="45"/>
        <v>0</v>
      </c>
      <c r="J111" s="296">
        <f t="shared" si="45"/>
        <v>0</v>
      </c>
      <c r="K111" s="296">
        <f t="shared" si="45"/>
        <v>0</v>
      </c>
      <c r="L111" s="296">
        <f t="shared" si="45"/>
        <v>0</v>
      </c>
      <c r="M111" s="296">
        <f t="shared" si="45"/>
        <v>0</v>
      </c>
      <c r="N111" s="296">
        <f t="shared" si="45"/>
        <v>0</v>
      </c>
      <c r="O111" s="296">
        <f t="shared" si="45"/>
        <v>0</v>
      </c>
      <c r="P111" s="295">
        <f t="shared" si="43"/>
        <v>0</v>
      </c>
      <c r="Q111" s="297"/>
      <c r="R111" s="297"/>
      <c r="S111" s="297"/>
      <c r="T111" s="297"/>
      <c r="U111" s="297"/>
    </row>
    <row r="112" spans="1:21" ht="15.6" customHeight="1" x14ac:dyDescent="0.25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75" x14ac:dyDescent="0.25">
      <c r="A113" s="331" t="s">
        <v>199</v>
      </c>
      <c r="B113" s="332"/>
      <c r="C113" s="4" t="s">
        <v>3</v>
      </c>
      <c r="D113" s="3">
        <v>213</v>
      </c>
      <c r="E113" s="3">
        <v>213</v>
      </c>
      <c r="F113" s="3">
        <v>242</v>
      </c>
      <c r="G113" s="3"/>
      <c r="H113" s="3"/>
      <c r="I113" s="3"/>
      <c r="J113" s="3"/>
      <c r="K113" s="412"/>
      <c r="L113" s="412"/>
      <c r="M113" s="412"/>
      <c r="N113" s="3"/>
      <c r="O113" s="3"/>
      <c r="P113" s="295">
        <f t="shared" si="43"/>
        <v>0</v>
      </c>
    </row>
    <row r="114" spans="1:18" ht="15.75" x14ac:dyDescent="0.25">
      <c r="A114" s="331" t="s">
        <v>200</v>
      </c>
      <c r="B114" s="332"/>
      <c r="C114" s="4" t="s">
        <v>3</v>
      </c>
      <c r="D114" s="3">
        <v>9</v>
      </c>
      <c r="E114" s="3">
        <v>9</v>
      </c>
      <c r="F114" s="3">
        <v>11</v>
      </c>
      <c r="G114" s="3"/>
      <c r="H114" s="3"/>
      <c r="I114" s="3"/>
      <c r="J114" s="3"/>
      <c r="K114" s="412"/>
      <c r="L114" s="412"/>
      <c r="M114" s="412"/>
      <c r="N114" s="3"/>
      <c r="O114" s="3"/>
      <c r="P114" s="295">
        <f t="shared" si="43"/>
        <v>0</v>
      </c>
    </row>
    <row r="115" spans="1:18" ht="15.75" x14ac:dyDescent="0.25">
      <c r="A115" s="331" t="s">
        <v>201</v>
      </c>
      <c r="B115" s="332"/>
      <c r="C115" s="4" t="s">
        <v>3</v>
      </c>
      <c r="D115" s="3">
        <v>14</v>
      </c>
      <c r="E115" s="3">
        <v>14</v>
      </c>
      <c r="F115" s="3">
        <v>18</v>
      </c>
      <c r="G115" s="3"/>
      <c r="H115" s="3"/>
      <c r="I115" s="3"/>
      <c r="J115" s="3"/>
      <c r="K115" s="412"/>
      <c r="L115" s="412"/>
      <c r="M115" s="412"/>
      <c r="N115" s="3"/>
      <c r="O115" s="3"/>
      <c r="P115" s="295">
        <f t="shared" si="43"/>
        <v>0</v>
      </c>
    </row>
    <row r="116" spans="1:18" ht="15.75" x14ac:dyDescent="0.25">
      <c r="A116" s="331" t="s">
        <v>202</v>
      </c>
      <c r="B116" s="332"/>
      <c r="C116" s="4" t="s">
        <v>3</v>
      </c>
      <c r="D116" s="3">
        <v>3</v>
      </c>
      <c r="E116" s="3">
        <v>3</v>
      </c>
      <c r="F116" s="3">
        <v>3</v>
      </c>
      <c r="G116" s="3"/>
      <c r="H116" s="3"/>
      <c r="I116" s="3"/>
      <c r="J116" s="3"/>
      <c r="K116" s="412"/>
      <c r="L116" s="412"/>
      <c r="M116" s="412"/>
      <c r="N116" s="3"/>
      <c r="O116" s="3"/>
      <c r="P116" s="295">
        <f t="shared" si="43"/>
        <v>0</v>
      </c>
    </row>
    <row r="117" spans="1:18" ht="15.75" x14ac:dyDescent="0.25">
      <c r="A117" s="345" t="s">
        <v>96</v>
      </c>
      <c r="B117" s="346"/>
      <c r="C117" s="4" t="s">
        <v>3</v>
      </c>
      <c r="D117" s="296">
        <f>SUM(D113:D116)</f>
        <v>239</v>
      </c>
      <c r="E117" s="296">
        <f t="shared" ref="E117:P117" si="46">SUM(E113:E116)</f>
        <v>239</v>
      </c>
      <c r="F117" s="296">
        <f t="shared" si="46"/>
        <v>274</v>
      </c>
      <c r="G117" s="296">
        <f t="shared" si="46"/>
        <v>0</v>
      </c>
      <c r="H117" s="296">
        <f t="shared" si="46"/>
        <v>0</v>
      </c>
      <c r="I117" s="296">
        <f t="shared" si="46"/>
        <v>0</v>
      </c>
      <c r="J117" s="296">
        <f t="shared" si="46"/>
        <v>0</v>
      </c>
      <c r="K117" s="296">
        <f t="shared" si="46"/>
        <v>0</v>
      </c>
      <c r="L117" s="296">
        <f t="shared" si="46"/>
        <v>0</v>
      </c>
      <c r="M117" s="296">
        <f t="shared" si="46"/>
        <v>0</v>
      </c>
      <c r="N117" s="296">
        <f t="shared" si="46"/>
        <v>0</v>
      </c>
      <c r="O117" s="296">
        <f t="shared" si="46"/>
        <v>0</v>
      </c>
      <c r="P117" s="257">
        <f t="shared" si="46"/>
        <v>0</v>
      </c>
    </row>
    <row r="118" spans="1:18" ht="15.75" x14ac:dyDescent="0.25">
      <c r="A118" s="298" t="s">
        <v>193</v>
      </c>
      <c r="B118" s="299"/>
      <c r="C118" s="4" t="s">
        <v>3</v>
      </c>
      <c r="D118" s="296">
        <f t="shared" ref="D118:P118" si="47">D111+D117</f>
        <v>239</v>
      </c>
      <c r="E118" s="296">
        <f t="shared" si="47"/>
        <v>239</v>
      </c>
      <c r="F118" s="296">
        <f t="shared" si="47"/>
        <v>274</v>
      </c>
      <c r="G118" s="296">
        <f t="shared" si="47"/>
        <v>0</v>
      </c>
      <c r="H118" s="296">
        <f t="shared" si="47"/>
        <v>0</v>
      </c>
      <c r="I118" s="296">
        <f t="shared" si="47"/>
        <v>0</v>
      </c>
      <c r="J118" s="296">
        <f t="shared" si="47"/>
        <v>0</v>
      </c>
      <c r="K118" s="296">
        <f t="shared" si="47"/>
        <v>0</v>
      </c>
      <c r="L118" s="296">
        <f t="shared" si="47"/>
        <v>0</v>
      </c>
      <c r="M118" s="296">
        <f t="shared" si="47"/>
        <v>0</v>
      </c>
      <c r="N118" s="296">
        <f t="shared" si="47"/>
        <v>0</v>
      </c>
      <c r="O118" s="296">
        <f t="shared" si="47"/>
        <v>0</v>
      </c>
      <c r="P118" s="296">
        <f t="shared" si="47"/>
        <v>0</v>
      </c>
      <c r="R118" s="297"/>
    </row>
    <row r="119" spans="1:18" ht="15.75" x14ac:dyDescent="0.25">
      <c r="A119" s="345" t="s">
        <v>194</v>
      </c>
      <c r="B119" s="346"/>
      <c r="C119" s="4" t="s">
        <v>3</v>
      </c>
      <c r="D119" s="296">
        <f t="shared" ref="D119:P119" si="48">D105+D118</f>
        <v>273</v>
      </c>
      <c r="E119" s="296">
        <f t="shared" si="48"/>
        <v>273</v>
      </c>
      <c r="F119" s="296">
        <f t="shared" si="48"/>
        <v>307</v>
      </c>
      <c r="G119" s="296">
        <f t="shared" si="48"/>
        <v>0</v>
      </c>
      <c r="H119" s="296">
        <f t="shared" si="48"/>
        <v>0</v>
      </c>
      <c r="I119" s="296">
        <f t="shared" si="48"/>
        <v>0</v>
      </c>
      <c r="J119" s="296">
        <f t="shared" si="48"/>
        <v>0</v>
      </c>
      <c r="K119" s="296">
        <f t="shared" si="48"/>
        <v>0</v>
      </c>
      <c r="L119" s="296">
        <f t="shared" si="48"/>
        <v>0</v>
      </c>
      <c r="M119" s="296">
        <f t="shared" si="48"/>
        <v>0</v>
      </c>
      <c r="N119" s="296">
        <f t="shared" si="48"/>
        <v>0</v>
      </c>
      <c r="O119" s="296">
        <f t="shared" si="48"/>
        <v>0</v>
      </c>
      <c r="P119" s="296">
        <f t="shared" si="48"/>
        <v>0</v>
      </c>
    </row>
    <row r="120" spans="1:18" x14ac:dyDescent="0.25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8" x14ac:dyDescent="0.25">
      <c r="A121" s="331" t="s">
        <v>95</v>
      </c>
      <c r="B121" s="332"/>
      <c r="C121" s="4" t="s">
        <v>3</v>
      </c>
      <c r="D121" s="416">
        <v>2250</v>
      </c>
      <c r="E121" s="416">
        <v>2250</v>
      </c>
      <c r="F121" s="3">
        <v>2250</v>
      </c>
      <c r="G121" s="416"/>
      <c r="H121" s="3"/>
      <c r="I121" s="416"/>
      <c r="J121" s="3"/>
      <c r="K121" s="3"/>
      <c r="L121" s="3"/>
      <c r="M121" s="3"/>
      <c r="N121" s="3"/>
      <c r="O121" s="117"/>
      <c r="P121" s="27">
        <f>O121</f>
        <v>0</v>
      </c>
    </row>
    <row r="122" spans="1:18" ht="18" x14ac:dyDescent="0.25">
      <c r="A122" s="331" t="s">
        <v>94</v>
      </c>
      <c r="B122" s="332"/>
      <c r="C122" s="4" t="s">
        <v>3</v>
      </c>
      <c r="D122" s="416">
        <v>1160</v>
      </c>
      <c r="E122" s="416">
        <v>1160</v>
      </c>
      <c r="F122" s="3">
        <v>1170</v>
      </c>
      <c r="G122" s="416"/>
      <c r="H122" s="3"/>
      <c r="I122" s="416"/>
      <c r="J122" s="3"/>
      <c r="K122" s="3"/>
      <c r="L122" s="3"/>
      <c r="M122" s="3"/>
      <c r="N122" s="3"/>
      <c r="O122" s="117"/>
      <c r="P122" s="27">
        <f>O122</f>
        <v>0</v>
      </c>
    </row>
    <row r="123" spans="1:18" ht="15.75" x14ac:dyDescent="0.25">
      <c r="A123" s="361" t="s">
        <v>93</v>
      </c>
      <c r="B123" s="362"/>
      <c r="C123" s="26" t="s">
        <v>6</v>
      </c>
      <c r="D123" s="25">
        <f t="shared" ref="D123:P123" si="49">D122/D121</f>
        <v>0.51555555555555554</v>
      </c>
      <c r="E123" s="25">
        <f t="shared" si="49"/>
        <v>0.51555555555555554</v>
      </c>
      <c r="F123" s="25">
        <f t="shared" si="49"/>
        <v>0.52</v>
      </c>
      <c r="G123" s="300" t="e">
        <f t="shared" si="49"/>
        <v>#DIV/0!</v>
      </c>
      <c r="H123" s="300" t="e">
        <f t="shared" si="49"/>
        <v>#DIV/0!</v>
      </c>
      <c r="I123" s="300" t="e">
        <f t="shared" si="49"/>
        <v>#DIV/0!</v>
      </c>
      <c r="J123" s="300" t="e">
        <f t="shared" si="49"/>
        <v>#DIV/0!</v>
      </c>
      <c r="K123" s="300" t="e">
        <f t="shared" si="49"/>
        <v>#DIV/0!</v>
      </c>
      <c r="L123" s="300" t="e">
        <f t="shared" si="49"/>
        <v>#DIV/0!</v>
      </c>
      <c r="M123" s="300" t="e">
        <f t="shared" si="49"/>
        <v>#DIV/0!</v>
      </c>
      <c r="N123" s="300" t="e">
        <f t="shared" si="49"/>
        <v>#DIV/0!</v>
      </c>
      <c r="O123" s="300" t="e">
        <f t="shared" si="49"/>
        <v>#DIV/0!</v>
      </c>
      <c r="P123" s="301" t="e">
        <f t="shared" si="49"/>
        <v>#DIV/0!</v>
      </c>
    </row>
    <row r="124" spans="1:18" x14ac:dyDescent="0.25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75" x14ac:dyDescent="0.25">
      <c r="A125" s="186" t="s">
        <v>91</v>
      </c>
      <c r="B125" s="4" t="s">
        <v>85</v>
      </c>
      <c r="C125" s="4" t="s">
        <v>3</v>
      </c>
      <c r="D125" s="120"/>
      <c r="E125" s="120"/>
      <c r="F125" s="120"/>
      <c r="G125" s="120"/>
      <c r="H125" s="120"/>
      <c r="I125" s="405"/>
      <c r="J125" s="405"/>
      <c r="K125" s="405"/>
      <c r="L125" s="120"/>
      <c r="M125" s="405"/>
      <c r="N125" s="405"/>
      <c r="O125" s="405"/>
      <c r="P125" s="406">
        <f>D125</f>
        <v>0</v>
      </c>
    </row>
    <row r="126" spans="1:18" ht="15.75" x14ac:dyDescent="0.25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75" x14ac:dyDescent="0.25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75" x14ac:dyDescent="0.25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75" x14ac:dyDescent="0.25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75" x14ac:dyDescent="0.25">
      <c r="A130" s="186" t="s">
        <v>90</v>
      </c>
      <c r="B130" s="23" t="s">
        <v>85</v>
      </c>
      <c r="C130" s="23" t="s">
        <v>3</v>
      </c>
      <c r="D130" s="120"/>
      <c r="E130" s="120"/>
      <c r="F130" s="120"/>
      <c r="G130" s="399"/>
      <c r="H130" s="399"/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75" x14ac:dyDescent="0.25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75" x14ac:dyDescent="0.25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75" x14ac:dyDescent="0.25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75" x14ac:dyDescent="0.25">
      <c r="A134" s="187"/>
      <c r="B134" s="4" t="s">
        <v>81</v>
      </c>
      <c r="C134" s="4" t="s">
        <v>3</v>
      </c>
      <c r="D134" s="140">
        <f t="shared" ref="D134:O134" si="51">D130+D131-D132-D133</f>
        <v>0</v>
      </c>
      <c r="E134" s="140">
        <f t="shared" si="51"/>
        <v>0</v>
      </c>
      <c r="F134" s="140">
        <f t="shared" si="51"/>
        <v>0</v>
      </c>
      <c r="G134" s="140">
        <f t="shared" si="51"/>
        <v>0</v>
      </c>
      <c r="H134" s="140">
        <f t="shared" si="51"/>
        <v>0</v>
      </c>
      <c r="I134" s="140">
        <f t="shared" si="51"/>
        <v>0</v>
      </c>
      <c r="J134" s="140">
        <f t="shared" si="51"/>
        <v>0</v>
      </c>
      <c r="K134" s="140">
        <f t="shared" si="51"/>
        <v>0</v>
      </c>
      <c r="L134" s="140">
        <f t="shared" si="51"/>
        <v>0</v>
      </c>
      <c r="M134" s="140">
        <f t="shared" si="51"/>
        <v>0</v>
      </c>
      <c r="N134" s="140">
        <f t="shared" si="51"/>
        <v>0</v>
      </c>
      <c r="O134" s="140">
        <f t="shared" si="51"/>
        <v>0</v>
      </c>
      <c r="P134" s="16">
        <f>P130+P131-P132-P133</f>
        <v>0</v>
      </c>
    </row>
    <row r="135" spans="1:18" ht="15.75" x14ac:dyDescent="0.25">
      <c r="A135" s="186" t="s">
        <v>89</v>
      </c>
      <c r="B135" s="4" t="s">
        <v>85</v>
      </c>
      <c r="C135" s="4" t="s">
        <v>3</v>
      </c>
      <c r="D135" s="120"/>
      <c r="E135" s="120"/>
      <c r="F135" s="120"/>
      <c r="G135" s="399">
        <f t="shared" ref="G135:H135" si="52">F139</f>
        <v>0</v>
      </c>
      <c r="H135" s="399">
        <f t="shared" si="52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75" x14ac:dyDescent="0.25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75" x14ac:dyDescent="0.25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75" x14ac:dyDescent="0.25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75" x14ac:dyDescent="0.25">
      <c r="A139" s="187"/>
      <c r="B139" s="4" t="s">
        <v>81</v>
      </c>
      <c r="C139" s="4" t="s">
        <v>3</v>
      </c>
      <c r="D139" s="140">
        <f t="shared" ref="D139:O139" si="53">D135+D136-D137-D138</f>
        <v>0</v>
      </c>
      <c r="E139" s="140">
        <f t="shared" si="53"/>
        <v>0</v>
      </c>
      <c r="F139" s="140">
        <f t="shared" si="53"/>
        <v>0</v>
      </c>
      <c r="G139" s="140">
        <f t="shared" si="53"/>
        <v>0</v>
      </c>
      <c r="H139" s="140">
        <f t="shared" si="53"/>
        <v>0</v>
      </c>
      <c r="I139" s="140">
        <f t="shared" si="53"/>
        <v>0</v>
      </c>
      <c r="J139" s="140">
        <f t="shared" si="53"/>
        <v>0</v>
      </c>
      <c r="K139" s="140">
        <f t="shared" si="53"/>
        <v>0</v>
      </c>
      <c r="L139" s="140">
        <f t="shared" si="53"/>
        <v>0</v>
      </c>
      <c r="M139" s="140">
        <f t="shared" si="53"/>
        <v>0</v>
      </c>
      <c r="N139" s="140">
        <f t="shared" si="53"/>
        <v>0</v>
      </c>
      <c r="O139" s="140">
        <f t="shared" si="53"/>
        <v>0</v>
      </c>
      <c r="P139" s="16">
        <f>P135+P136-P137-P138</f>
        <v>0</v>
      </c>
    </row>
    <row r="140" spans="1:18" ht="15.75" x14ac:dyDescent="0.25">
      <c r="A140" s="186" t="s">
        <v>87</v>
      </c>
      <c r="B140" s="4" t="s">
        <v>85</v>
      </c>
      <c r="C140" s="4" t="s">
        <v>3</v>
      </c>
      <c r="D140" s="120"/>
      <c r="E140" s="120"/>
      <c r="F140" s="120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75" x14ac:dyDescent="0.25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75" x14ac:dyDescent="0.25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75" x14ac:dyDescent="0.25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75" x14ac:dyDescent="0.25">
      <c r="A144" s="187"/>
      <c r="B144" s="4" t="s">
        <v>81</v>
      </c>
      <c r="C144" s="4" t="s">
        <v>3</v>
      </c>
      <c r="D144" s="140">
        <f t="shared" ref="D144:O144" si="54">D140+D141-D142-D143</f>
        <v>0</v>
      </c>
      <c r="E144" s="140">
        <f t="shared" si="54"/>
        <v>0</v>
      </c>
      <c r="F144" s="140">
        <f t="shared" si="54"/>
        <v>0</v>
      </c>
      <c r="G144" s="140">
        <f t="shared" si="54"/>
        <v>0</v>
      </c>
      <c r="H144" s="140">
        <f t="shared" si="54"/>
        <v>0</v>
      </c>
      <c r="I144" s="140">
        <f t="shared" si="54"/>
        <v>0</v>
      </c>
      <c r="J144" s="140">
        <f t="shared" si="54"/>
        <v>0</v>
      </c>
      <c r="K144" s="140">
        <f t="shared" si="54"/>
        <v>0</v>
      </c>
      <c r="L144" s="140">
        <f t="shared" si="54"/>
        <v>0</v>
      </c>
      <c r="M144" s="140">
        <f t="shared" si="54"/>
        <v>0</v>
      </c>
      <c r="N144" s="140">
        <f t="shared" si="54"/>
        <v>0</v>
      </c>
      <c r="O144" s="140">
        <f t="shared" si="54"/>
        <v>0</v>
      </c>
      <c r="P144" s="16">
        <f>P140+P141-P142-P143</f>
        <v>0</v>
      </c>
      <c r="R144" s="303"/>
    </row>
    <row r="145" spans="1:16" ht="15.75" x14ac:dyDescent="0.25">
      <c r="A145" s="186" t="s">
        <v>86</v>
      </c>
      <c r="B145" s="4" t="s">
        <v>85</v>
      </c>
      <c r="C145" s="4" t="s">
        <v>3</v>
      </c>
      <c r="D145" s="141">
        <f t="shared" ref="D145:P149" si="55">D125+D130+D135+D140</f>
        <v>0</v>
      </c>
      <c r="E145" s="141">
        <f t="shared" si="55"/>
        <v>0</v>
      </c>
      <c r="F145" s="141">
        <f t="shared" si="55"/>
        <v>0</v>
      </c>
      <c r="G145" s="141">
        <f t="shared" si="55"/>
        <v>0</v>
      </c>
      <c r="H145" s="141">
        <f t="shared" si="55"/>
        <v>0</v>
      </c>
      <c r="I145" s="141">
        <f t="shared" si="55"/>
        <v>0</v>
      </c>
      <c r="J145" s="141">
        <f t="shared" si="55"/>
        <v>0</v>
      </c>
      <c r="K145" s="141">
        <f t="shared" si="55"/>
        <v>0</v>
      </c>
      <c r="L145" s="141">
        <f t="shared" si="55"/>
        <v>0</v>
      </c>
      <c r="M145" s="141">
        <f t="shared" si="55"/>
        <v>0</v>
      </c>
      <c r="N145" s="141">
        <f t="shared" si="55"/>
        <v>0</v>
      </c>
      <c r="O145" s="141">
        <f t="shared" si="55"/>
        <v>0</v>
      </c>
      <c r="P145" s="99">
        <f t="shared" si="55"/>
        <v>0</v>
      </c>
    </row>
    <row r="146" spans="1:16" ht="15.75" x14ac:dyDescent="0.25">
      <c r="A146" s="325"/>
      <c r="B146" s="4" t="s">
        <v>84</v>
      </c>
      <c r="C146" s="4" t="s">
        <v>3</v>
      </c>
      <c r="D146" s="141">
        <f t="shared" si="55"/>
        <v>0</v>
      </c>
      <c r="E146" s="141">
        <f t="shared" si="55"/>
        <v>0</v>
      </c>
      <c r="F146" s="141">
        <f t="shared" si="55"/>
        <v>0</v>
      </c>
      <c r="G146" s="141">
        <f t="shared" si="55"/>
        <v>0</v>
      </c>
      <c r="H146" s="141">
        <f t="shared" si="55"/>
        <v>0</v>
      </c>
      <c r="I146" s="141">
        <f t="shared" si="55"/>
        <v>0</v>
      </c>
      <c r="J146" s="141">
        <f t="shared" si="55"/>
        <v>0</v>
      </c>
      <c r="K146" s="141">
        <f t="shared" si="55"/>
        <v>0</v>
      </c>
      <c r="L146" s="141">
        <f t="shared" si="55"/>
        <v>0</v>
      </c>
      <c r="M146" s="141">
        <f t="shared" si="55"/>
        <v>0</v>
      </c>
      <c r="N146" s="141">
        <f t="shared" si="55"/>
        <v>0</v>
      </c>
      <c r="O146" s="141">
        <f t="shared" si="55"/>
        <v>0</v>
      </c>
      <c r="P146" s="99">
        <f t="shared" si="55"/>
        <v>0</v>
      </c>
    </row>
    <row r="147" spans="1:16" ht="15.75" x14ac:dyDescent="0.25">
      <c r="A147" s="325"/>
      <c r="B147" s="4" t="s">
        <v>83</v>
      </c>
      <c r="C147" s="4" t="s">
        <v>3</v>
      </c>
      <c r="D147" s="141">
        <f t="shared" si="55"/>
        <v>0</v>
      </c>
      <c r="E147" s="141">
        <f t="shared" si="55"/>
        <v>0</v>
      </c>
      <c r="F147" s="141">
        <f t="shared" si="55"/>
        <v>0</v>
      </c>
      <c r="G147" s="141">
        <f t="shared" si="55"/>
        <v>0</v>
      </c>
      <c r="H147" s="141">
        <f t="shared" si="55"/>
        <v>0</v>
      </c>
      <c r="I147" s="141">
        <f t="shared" si="55"/>
        <v>0</v>
      </c>
      <c r="J147" s="141">
        <f t="shared" si="55"/>
        <v>0</v>
      </c>
      <c r="K147" s="141">
        <f t="shared" si="55"/>
        <v>0</v>
      </c>
      <c r="L147" s="141">
        <f t="shared" si="55"/>
        <v>0</v>
      </c>
      <c r="M147" s="141">
        <f t="shared" si="55"/>
        <v>0</v>
      </c>
      <c r="N147" s="141">
        <f t="shared" si="55"/>
        <v>0</v>
      </c>
      <c r="O147" s="141">
        <f t="shared" si="55"/>
        <v>0</v>
      </c>
      <c r="P147" s="99">
        <f t="shared" si="55"/>
        <v>0</v>
      </c>
    </row>
    <row r="148" spans="1:16" ht="15.75" x14ac:dyDescent="0.25">
      <c r="A148" s="325"/>
      <c r="B148" s="4" t="s">
        <v>82</v>
      </c>
      <c r="C148" s="4" t="s">
        <v>3</v>
      </c>
      <c r="D148" s="141">
        <f t="shared" si="55"/>
        <v>0</v>
      </c>
      <c r="E148" s="141">
        <f t="shared" si="55"/>
        <v>0</v>
      </c>
      <c r="F148" s="141">
        <f t="shared" si="55"/>
        <v>0</v>
      </c>
      <c r="G148" s="141">
        <f t="shared" si="55"/>
        <v>0</v>
      </c>
      <c r="H148" s="141">
        <f t="shared" si="55"/>
        <v>0</v>
      </c>
      <c r="I148" s="141">
        <f t="shared" si="55"/>
        <v>0</v>
      </c>
      <c r="J148" s="141">
        <f t="shared" si="55"/>
        <v>0</v>
      </c>
      <c r="K148" s="141">
        <f t="shared" si="55"/>
        <v>0</v>
      </c>
      <c r="L148" s="141">
        <f t="shared" si="55"/>
        <v>0</v>
      </c>
      <c r="M148" s="141">
        <f t="shared" si="55"/>
        <v>0</v>
      </c>
      <c r="N148" s="141">
        <f t="shared" si="55"/>
        <v>0</v>
      </c>
      <c r="O148" s="141">
        <f t="shared" si="55"/>
        <v>0</v>
      </c>
      <c r="P148" s="99">
        <f t="shared" si="55"/>
        <v>0</v>
      </c>
    </row>
    <row r="149" spans="1:16" ht="15.75" x14ac:dyDescent="0.25">
      <c r="A149" s="187"/>
      <c r="B149" s="4" t="s">
        <v>81</v>
      </c>
      <c r="C149" s="4" t="s">
        <v>3</v>
      </c>
      <c r="D149" s="140">
        <f t="shared" ref="D149:O149" si="56">D145+D146-D147-D148</f>
        <v>0</v>
      </c>
      <c r="E149" s="140">
        <f t="shared" si="56"/>
        <v>0</v>
      </c>
      <c r="F149" s="140">
        <f t="shared" si="56"/>
        <v>0</v>
      </c>
      <c r="G149" s="140">
        <f t="shared" si="56"/>
        <v>0</v>
      </c>
      <c r="H149" s="140">
        <f t="shared" si="56"/>
        <v>0</v>
      </c>
      <c r="I149" s="140">
        <f t="shared" si="56"/>
        <v>0</v>
      </c>
      <c r="J149" s="140">
        <f t="shared" si="56"/>
        <v>0</v>
      </c>
      <c r="K149" s="140">
        <f t="shared" si="56"/>
        <v>0</v>
      </c>
      <c r="L149" s="140">
        <f t="shared" si="56"/>
        <v>0</v>
      </c>
      <c r="M149" s="140">
        <f t="shared" si="56"/>
        <v>0</v>
      </c>
      <c r="N149" s="140">
        <f t="shared" si="56"/>
        <v>0</v>
      </c>
      <c r="O149" s="140">
        <f t="shared" si="56"/>
        <v>0</v>
      </c>
      <c r="P149" s="99">
        <f t="shared" si="55"/>
        <v>0</v>
      </c>
    </row>
    <row r="150" spans="1:16" x14ac:dyDescent="0.25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75" x14ac:dyDescent="0.25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75" x14ac:dyDescent="0.25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75" x14ac:dyDescent="0.25">
      <c r="A153" s="357"/>
      <c r="B153" s="18" t="s">
        <v>73</v>
      </c>
      <c r="C153" s="4" t="s">
        <v>57</v>
      </c>
      <c r="D153" s="3">
        <v>1</v>
      </c>
      <c r="E153" s="3">
        <v>1</v>
      </c>
      <c r="F153" s="3">
        <v>4</v>
      </c>
      <c r="G153" s="3"/>
      <c r="H153" s="120"/>
      <c r="I153" s="120"/>
      <c r="J153" s="120"/>
      <c r="K153" s="3"/>
      <c r="L153" s="3"/>
      <c r="M153" s="3"/>
      <c r="N153" s="3"/>
      <c r="O153" s="120"/>
      <c r="P153" s="16">
        <f t="shared" ref="P153:P165" si="57">SUM(D153:O153)</f>
        <v>6</v>
      </c>
    </row>
    <row r="154" spans="1:16" ht="15.75" x14ac:dyDescent="0.25">
      <c r="A154" s="357"/>
      <c r="B154" s="18" t="s">
        <v>72</v>
      </c>
      <c r="C154" s="4" t="s">
        <v>57</v>
      </c>
      <c r="D154" s="3">
        <v>2</v>
      </c>
      <c r="E154" s="3">
        <v>1</v>
      </c>
      <c r="F154" s="3"/>
      <c r="G154" s="120"/>
      <c r="H154" s="120"/>
      <c r="I154" s="120"/>
      <c r="J154" s="120"/>
      <c r="K154" s="3"/>
      <c r="L154" s="3"/>
      <c r="M154" s="120"/>
      <c r="N154" s="120"/>
      <c r="O154" s="120"/>
      <c r="P154" s="16">
        <f t="shared" si="57"/>
        <v>3</v>
      </c>
    </row>
    <row r="155" spans="1:16" ht="15.75" x14ac:dyDescent="0.25">
      <c r="A155" s="357"/>
      <c r="B155" s="18" t="s">
        <v>53</v>
      </c>
      <c r="C155" s="4" t="s">
        <v>57</v>
      </c>
      <c r="D155" s="3"/>
      <c r="E155" s="3"/>
      <c r="F155" s="3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7"/>
        <v>0</v>
      </c>
    </row>
    <row r="156" spans="1:16" ht="15.75" x14ac:dyDescent="0.25">
      <c r="A156" s="357"/>
      <c r="B156" s="18" t="s">
        <v>71</v>
      </c>
      <c r="C156" s="4" t="s">
        <v>57</v>
      </c>
      <c r="D156" s="3"/>
      <c r="E156" s="3"/>
      <c r="F156" s="3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7"/>
        <v>0</v>
      </c>
    </row>
    <row r="157" spans="1:16" ht="15.75" x14ac:dyDescent="0.25">
      <c r="A157" s="357"/>
      <c r="B157" s="18" t="s">
        <v>52</v>
      </c>
      <c r="C157" s="4" t="s">
        <v>57</v>
      </c>
      <c r="D157" s="3"/>
      <c r="E157" s="3"/>
      <c r="F157" s="3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7"/>
        <v>0</v>
      </c>
    </row>
    <row r="158" spans="1:16" ht="15.75" x14ac:dyDescent="0.25">
      <c r="A158" s="357"/>
      <c r="B158" s="18" t="s">
        <v>51</v>
      </c>
      <c r="C158" s="4" t="s">
        <v>57</v>
      </c>
      <c r="D158" s="3"/>
      <c r="E158" s="3"/>
      <c r="F158" s="3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7"/>
        <v>0</v>
      </c>
    </row>
    <row r="159" spans="1:16" ht="15.75" x14ac:dyDescent="0.25">
      <c r="A159" s="357"/>
      <c r="B159" s="18" t="s">
        <v>62</v>
      </c>
      <c r="C159" s="4" t="s">
        <v>57</v>
      </c>
      <c r="D159" s="3"/>
      <c r="E159" s="3"/>
      <c r="F159" s="3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7"/>
        <v>0</v>
      </c>
    </row>
    <row r="160" spans="1:16" ht="15.75" x14ac:dyDescent="0.25">
      <c r="A160" s="357"/>
      <c r="B160" s="18" t="s">
        <v>50</v>
      </c>
      <c r="C160" s="4" t="s">
        <v>57</v>
      </c>
      <c r="D160" s="3"/>
      <c r="E160" s="3"/>
      <c r="F160" s="3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7"/>
        <v>0</v>
      </c>
    </row>
    <row r="161" spans="1:16" ht="15.75" x14ac:dyDescent="0.25">
      <c r="A161" s="357"/>
      <c r="B161" s="18" t="s">
        <v>49</v>
      </c>
      <c r="C161" s="4" t="s">
        <v>57</v>
      </c>
      <c r="D161" s="3"/>
      <c r="E161" s="3"/>
      <c r="F161" s="3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7"/>
        <v>0</v>
      </c>
    </row>
    <row r="162" spans="1:16" ht="15.75" x14ac:dyDescent="0.25">
      <c r="A162" s="357"/>
      <c r="B162" s="18" t="s">
        <v>77</v>
      </c>
      <c r="C162" s="4" t="s">
        <v>57</v>
      </c>
      <c r="D162" s="3"/>
      <c r="E162" s="3"/>
      <c r="F162" s="3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7"/>
        <v>0</v>
      </c>
    </row>
    <row r="163" spans="1:16" ht="15.75" x14ac:dyDescent="0.25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7"/>
        <v>0</v>
      </c>
    </row>
    <row r="164" spans="1:16" ht="15.75" x14ac:dyDescent="0.25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7"/>
        <v>0</v>
      </c>
    </row>
    <row r="165" spans="1:16" ht="15.75" x14ac:dyDescent="0.25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7"/>
        <v>0</v>
      </c>
    </row>
    <row r="166" spans="1:16" ht="15.75" x14ac:dyDescent="0.25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75" x14ac:dyDescent="0.25">
      <c r="A167" s="357"/>
      <c r="B167" s="18" t="s">
        <v>74</v>
      </c>
      <c r="C167" s="4" t="s">
        <v>57</v>
      </c>
      <c r="D167" s="3"/>
      <c r="E167" s="3"/>
      <c r="F167" s="3"/>
      <c r="G167" s="3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8">SUM(D167:O167)</f>
        <v>0</v>
      </c>
    </row>
    <row r="168" spans="1:16" ht="15.75" x14ac:dyDescent="0.25">
      <c r="A168" s="357"/>
      <c r="B168" s="18" t="s">
        <v>73</v>
      </c>
      <c r="C168" s="4" t="s">
        <v>57</v>
      </c>
      <c r="D168" s="120"/>
      <c r="E168" s="120"/>
      <c r="F168" s="120"/>
      <c r="G168" s="3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8"/>
        <v>0</v>
      </c>
    </row>
    <row r="169" spans="1:16" ht="15.75" x14ac:dyDescent="0.25">
      <c r="A169" s="357"/>
      <c r="B169" s="18" t="s">
        <v>72</v>
      </c>
      <c r="C169" s="4" t="s">
        <v>57</v>
      </c>
      <c r="D169" s="120"/>
      <c r="E169" s="120"/>
      <c r="F169" s="120"/>
      <c r="G169" s="3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8"/>
        <v>0</v>
      </c>
    </row>
    <row r="170" spans="1:16" ht="15.75" x14ac:dyDescent="0.25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8"/>
        <v>0</v>
      </c>
    </row>
    <row r="171" spans="1:16" ht="15.75" x14ac:dyDescent="0.25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8"/>
        <v>0</v>
      </c>
    </row>
    <row r="172" spans="1:16" ht="15.75" x14ac:dyDescent="0.25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8"/>
        <v>0</v>
      </c>
    </row>
    <row r="173" spans="1:16" ht="15.75" x14ac:dyDescent="0.25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8"/>
        <v>0</v>
      </c>
    </row>
    <row r="174" spans="1:16" ht="15.75" x14ac:dyDescent="0.25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8"/>
        <v>0</v>
      </c>
    </row>
    <row r="175" spans="1:16" ht="15.75" x14ac:dyDescent="0.25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8"/>
        <v>0</v>
      </c>
    </row>
    <row r="176" spans="1:16" ht="15.75" x14ac:dyDescent="0.25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75" x14ac:dyDescent="0.25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59">SUM(D177:O177)</f>
        <v>0</v>
      </c>
    </row>
    <row r="178" spans="1:16" ht="15.75" x14ac:dyDescent="0.25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59"/>
        <v>0</v>
      </c>
    </row>
    <row r="179" spans="1:16" ht="15.75" x14ac:dyDescent="0.25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59"/>
        <v>0</v>
      </c>
    </row>
    <row r="180" spans="1:16" ht="15.75" x14ac:dyDescent="0.25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59"/>
        <v>0</v>
      </c>
    </row>
    <row r="181" spans="1:16" ht="15.75" x14ac:dyDescent="0.25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59"/>
        <v>0</v>
      </c>
    </row>
    <row r="182" spans="1:16" ht="15.75" x14ac:dyDescent="0.25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59"/>
        <v>0</v>
      </c>
    </row>
    <row r="183" spans="1:16" ht="15.75" x14ac:dyDescent="0.25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75" x14ac:dyDescent="0.25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75" x14ac:dyDescent="0.25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75" x14ac:dyDescent="0.25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75" x14ac:dyDescent="0.25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75" x14ac:dyDescent="0.25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75" x14ac:dyDescent="0.25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75" x14ac:dyDescent="0.25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75" x14ac:dyDescent="0.25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75" x14ac:dyDescent="0.25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75" x14ac:dyDescent="0.25">
      <c r="A193" s="307" t="s">
        <v>59</v>
      </c>
      <c r="B193" s="308"/>
      <c r="C193" s="4"/>
      <c r="D193" s="141">
        <f>SUM(D153:D192)</f>
        <v>3</v>
      </c>
      <c r="E193" s="141">
        <f t="shared" ref="E193:P193" si="60">SUM(E153:E192)</f>
        <v>2</v>
      </c>
      <c r="F193" s="141">
        <f t="shared" si="60"/>
        <v>4</v>
      </c>
      <c r="G193" s="141">
        <f t="shared" si="60"/>
        <v>0</v>
      </c>
      <c r="H193" s="141">
        <f t="shared" si="60"/>
        <v>0</v>
      </c>
      <c r="I193" s="141">
        <f t="shared" si="60"/>
        <v>0</v>
      </c>
      <c r="J193" s="141">
        <f t="shared" si="60"/>
        <v>0</v>
      </c>
      <c r="K193" s="141">
        <f t="shared" si="60"/>
        <v>0</v>
      </c>
      <c r="L193" s="141">
        <f t="shared" si="60"/>
        <v>0</v>
      </c>
      <c r="M193" s="141">
        <f t="shared" si="60"/>
        <v>0</v>
      </c>
      <c r="N193" s="141">
        <f t="shared" si="60"/>
        <v>0</v>
      </c>
      <c r="O193" s="141">
        <f t="shared" si="60"/>
        <v>0</v>
      </c>
      <c r="P193" s="92">
        <f t="shared" si="60"/>
        <v>9</v>
      </c>
    </row>
    <row r="194" spans="1:16" ht="15.75" x14ac:dyDescent="0.25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75" x14ac:dyDescent="0.25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75" x14ac:dyDescent="0.25">
      <c r="A196" s="310" t="s">
        <v>204</v>
      </c>
      <c r="B196" s="311"/>
      <c r="C196" s="14" t="s">
        <v>55</v>
      </c>
      <c r="D196" s="3">
        <v>10</v>
      </c>
      <c r="E196" s="3">
        <v>12</v>
      </c>
      <c r="F196" s="3">
        <v>12</v>
      </c>
      <c r="G196" s="3"/>
      <c r="H196" s="3"/>
      <c r="I196" s="3"/>
      <c r="J196" s="279"/>
      <c r="K196" s="3"/>
      <c r="L196" s="279"/>
      <c r="M196" s="279"/>
      <c r="N196" s="279"/>
      <c r="O196" s="279"/>
      <c r="P196" s="8">
        <f>SUM(D196:O196)/12</f>
        <v>2.8333333333333335</v>
      </c>
    </row>
    <row r="197" spans="1:16" ht="15.75" x14ac:dyDescent="0.25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25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75" x14ac:dyDescent="0.25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1">SUM(D199:O199)</f>
        <v>0</v>
      </c>
    </row>
    <row r="200" spans="1:16" ht="15.75" x14ac:dyDescent="0.25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1"/>
        <v>0</v>
      </c>
    </row>
    <row r="201" spans="1:16" ht="15.75" x14ac:dyDescent="0.25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1"/>
        <v>0</v>
      </c>
    </row>
    <row r="202" spans="1:16" ht="15.75" x14ac:dyDescent="0.25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1"/>
        <v>0</v>
      </c>
    </row>
    <row r="203" spans="1:16" ht="15.75" x14ac:dyDescent="0.25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1"/>
        <v>0</v>
      </c>
    </row>
    <row r="204" spans="1:16" ht="15.75" x14ac:dyDescent="0.25">
      <c r="A204" s="292" t="s">
        <v>48</v>
      </c>
      <c r="B204" s="260"/>
      <c r="C204" s="4" t="s">
        <v>47</v>
      </c>
      <c r="D204" s="13">
        <f t="shared" ref="D204:F204" si="62">SUM(D199:D203)</f>
        <v>0</v>
      </c>
      <c r="E204" s="13">
        <f t="shared" si="62"/>
        <v>0</v>
      </c>
      <c r="F204" s="13">
        <f t="shared" si="62"/>
        <v>0</v>
      </c>
      <c r="G204" s="13">
        <f t="shared" ref="G204:O204" si="63">SUM(G199:G203)</f>
        <v>0</v>
      </c>
      <c r="H204" s="13">
        <f t="shared" si="63"/>
        <v>0</v>
      </c>
      <c r="I204" s="275">
        <f t="shared" si="63"/>
        <v>0</v>
      </c>
      <c r="J204" s="275">
        <f t="shared" si="63"/>
        <v>0</v>
      </c>
      <c r="K204" s="275">
        <f t="shared" si="63"/>
        <v>0</v>
      </c>
      <c r="L204" s="275">
        <f t="shared" si="63"/>
        <v>0</v>
      </c>
      <c r="M204" s="275">
        <f t="shared" si="63"/>
        <v>0</v>
      </c>
      <c r="N204" s="275">
        <f t="shared" si="63"/>
        <v>0</v>
      </c>
      <c r="O204" s="275">
        <f t="shared" si="63"/>
        <v>0</v>
      </c>
      <c r="P204" s="100">
        <f t="shared" si="61"/>
        <v>0</v>
      </c>
    </row>
    <row r="205" spans="1:16" x14ac:dyDescent="0.25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75" x14ac:dyDescent="0.25">
      <c r="A206" s="331" t="s">
        <v>43</v>
      </c>
      <c r="B206" s="332"/>
      <c r="C206" s="4" t="s">
        <v>31</v>
      </c>
      <c r="D206" s="396"/>
      <c r="E206" s="11"/>
      <c r="F206" s="396"/>
      <c r="G206" s="396"/>
      <c r="H206" s="396"/>
      <c r="I206" s="396"/>
      <c r="J206" s="396"/>
      <c r="K206" s="396"/>
      <c r="L206" s="404"/>
      <c r="M206" s="404"/>
      <c r="N206" s="404"/>
      <c r="O206" s="404"/>
      <c r="P206" s="408">
        <f>SUM(D206:O206)</f>
        <v>0</v>
      </c>
    </row>
    <row r="207" spans="1:16" ht="15.75" x14ac:dyDescent="0.25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75" x14ac:dyDescent="0.25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75" x14ac:dyDescent="0.25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75" x14ac:dyDescent="0.25">
      <c r="A210" s="333" t="s">
        <v>45</v>
      </c>
      <c r="B210" s="334"/>
      <c r="C210" s="4" t="s">
        <v>31</v>
      </c>
      <c r="D210" s="309">
        <f t="shared" ref="D210:O210" si="64">SUM(D206:D209)</f>
        <v>0</v>
      </c>
      <c r="E210" s="309">
        <f t="shared" si="64"/>
        <v>0</v>
      </c>
      <c r="F210" s="309">
        <f t="shared" si="64"/>
        <v>0</v>
      </c>
      <c r="G210" s="309">
        <f t="shared" si="64"/>
        <v>0</v>
      </c>
      <c r="H210" s="309">
        <f t="shared" si="64"/>
        <v>0</v>
      </c>
      <c r="I210" s="309">
        <f t="shared" si="64"/>
        <v>0</v>
      </c>
      <c r="J210" s="309">
        <f t="shared" si="64"/>
        <v>0</v>
      </c>
      <c r="K210" s="309">
        <f t="shared" si="64"/>
        <v>0</v>
      </c>
      <c r="L210" s="309">
        <f t="shared" si="64"/>
        <v>0</v>
      </c>
      <c r="M210" s="309">
        <f t="shared" si="64"/>
        <v>0</v>
      </c>
      <c r="N210" s="309">
        <f t="shared" si="64"/>
        <v>0</v>
      </c>
      <c r="O210" s="309">
        <f t="shared" si="64"/>
        <v>0</v>
      </c>
      <c r="P210" s="8">
        <f>SUM(D210:O210)</f>
        <v>0</v>
      </c>
    </row>
    <row r="211" spans="1:16" x14ac:dyDescent="0.25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75" x14ac:dyDescent="0.25">
      <c r="A212" s="331" t="s">
        <v>43</v>
      </c>
      <c r="B212" s="332"/>
      <c r="C212" s="4" t="s">
        <v>31</v>
      </c>
      <c r="D212" s="11">
        <v>2325155</v>
      </c>
      <c r="E212" s="11">
        <v>2597661</v>
      </c>
      <c r="F212" s="11">
        <v>2327980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7250796</v>
      </c>
    </row>
    <row r="213" spans="1:16" ht="15.75" x14ac:dyDescent="0.25">
      <c r="A213" s="331" t="s">
        <v>42</v>
      </c>
      <c r="B213" s="332"/>
      <c r="C213" s="4" t="s">
        <v>31</v>
      </c>
      <c r="D213" s="11">
        <v>3700</v>
      </c>
      <c r="E213" s="11">
        <v>7000</v>
      </c>
      <c r="F213" s="11">
        <v>2000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12700</v>
      </c>
    </row>
    <row r="214" spans="1:16" ht="15.75" x14ac:dyDescent="0.25">
      <c r="A214" s="338" t="s">
        <v>41</v>
      </c>
      <c r="B214" s="339"/>
      <c r="C214" s="4" t="s">
        <v>31</v>
      </c>
      <c r="D214" s="11"/>
      <c r="E214" s="11">
        <v>195000</v>
      </c>
      <c r="F214" s="11">
        <v>132200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327200</v>
      </c>
    </row>
    <row r="215" spans="1:16" ht="15.75" x14ac:dyDescent="0.25">
      <c r="A215" s="331" t="s">
        <v>40</v>
      </c>
      <c r="B215" s="332"/>
      <c r="C215" s="4" t="s">
        <v>31</v>
      </c>
      <c r="D215" s="11">
        <v>54500</v>
      </c>
      <c r="E215" s="11">
        <v>10800</v>
      </c>
      <c r="F215" s="11">
        <v>52300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117600</v>
      </c>
    </row>
    <row r="216" spans="1:16" ht="15.75" x14ac:dyDescent="0.25">
      <c r="A216" s="333" t="s">
        <v>39</v>
      </c>
      <c r="B216" s="334"/>
      <c r="C216" s="4" t="s">
        <v>31</v>
      </c>
      <c r="D216" s="309">
        <f t="shared" ref="D216:O216" si="65">SUM(D212:D215)</f>
        <v>2383355</v>
      </c>
      <c r="E216" s="309">
        <f t="shared" si="65"/>
        <v>2810461</v>
      </c>
      <c r="F216" s="309">
        <f t="shared" si="65"/>
        <v>2514480</v>
      </c>
      <c r="G216" s="309">
        <f t="shared" si="65"/>
        <v>0</v>
      </c>
      <c r="H216" s="309">
        <f t="shared" si="65"/>
        <v>0</v>
      </c>
      <c r="I216" s="309">
        <f t="shared" si="65"/>
        <v>0</v>
      </c>
      <c r="J216" s="309">
        <f t="shared" si="65"/>
        <v>0</v>
      </c>
      <c r="K216" s="309">
        <f t="shared" si="65"/>
        <v>0</v>
      </c>
      <c r="L216" s="309">
        <f t="shared" si="65"/>
        <v>0</v>
      </c>
      <c r="M216" s="309">
        <f t="shared" si="65"/>
        <v>0</v>
      </c>
      <c r="N216" s="309">
        <f t="shared" si="65"/>
        <v>0</v>
      </c>
      <c r="O216" s="309">
        <f t="shared" si="65"/>
        <v>0</v>
      </c>
      <c r="P216" s="8">
        <f>SUM(D216:O216)</f>
        <v>7708296</v>
      </c>
    </row>
    <row r="217" spans="1:16" ht="15.75" x14ac:dyDescent="0.25">
      <c r="A217" s="312" t="s">
        <v>38</v>
      </c>
      <c r="B217" s="313"/>
      <c r="C217" s="4" t="s">
        <v>31</v>
      </c>
      <c r="D217" s="309">
        <f>D210+D216</f>
        <v>2383355</v>
      </c>
      <c r="E217" s="309">
        <f t="shared" ref="E217:P217" si="66">E210+E216</f>
        <v>2810461</v>
      </c>
      <c r="F217" s="309">
        <f t="shared" si="66"/>
        <v>2514480</v>
      </c>
      <c r="G217" s="309">
        <f t="shared" si="66"/>
        <v>0</v>
      </c>
      <c r="H217" s="309">
        <f t="shared" si="66"/>
        <v>0</v>
      </c>
      <c r="I217" s="309">
        <f t="shared" si="66"/>
        <v>0</v>
      </c>
      <c r="J217" s="309">
        <f t="shared" si="66"/>
        <v>0</v>
      </c>
      <c r="K217" s="309">
        <f t="shared" si="66"/>
        <v>0</v>
      </c>
      <c r="L217" s="309">
        <f t="shared" si="66"/>
        <v>0</v>
      </c>
      <c r="M217" s="309">
        <f t="shared" si="66"/>
        <v>0</v>
      </c>
      <c r="N217" s="309">
        <f t="shared" si="66"/>
        <v>0</v>
      </c>
      <c r="O217" s="309">
        <f t="shared" si="66"/>
        <v>0</v>
      </c>
      <c r="P217" s="280">
        <f t="shared" si="66"/>
        <v>7708296</v>
      </c>
    </row>
    <row r="218" spans="1:16" x14ac:dyDescent="0.25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75" x14ac:dyDescent="0.25">
      <c r="A219" s="331" t="s">
        <v>35</v>
      </c>
      <c r="B219" s="332"/>
      <c r="C219" s="4" t="s">
        <v>31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277"/>
      <c r="P219" s="8">
        <f>SUM(D219:O219)</f>
        <v>0</v>
      </c>
    </row>
    <row r="220" spans="1:16" ht="15.75" x14ac:dyDescent="0.25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75" x14ac:dyDescent="0.25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75" x14ac:dyDescent="0.25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75" x14ac:dyDescent="0.25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7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68">SUM(H219:H222)</f>
        <v>0</v>
      </c>
      <c r="I223" s="309">
        <f t="shared" si="68"/>
        <v>0</v>
      </c>
      <c r="J223" s="315">
        <f t="shared" si="68"/>
        <v>0</v>
      </c>
      <c r="K223" s="315">
        <f t="shared" si="68"/>
        <v>0</v>
      </c>
      <c r="L223" s="315">
        <f t="shared" si="68"/>
        <v>0</v>
      </c>
      <c r="M223" s="315">
        <f t="shared" si="68"/>
        <v>0</v>
      </c>
      <c r="N223" s="315">
        <f t="shared" si="68"/>
        <v>0</v>
      </c>
      <c r="O223" s="315">
        <f t="shared" si="68"/>
        <v>0</v>
      </c>
      <c r="P223" s="8">
        <f>SUM(D223:O223)</f>
        <v>0</v>
      </c>
    </row>
    <row r="224" spans="1:16" x14ac:dyDescent="0.25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75" x14ac:dyDescent="0.25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69">SUM(D225:O225)</f>
        <v>0</v>
      </c>
    </row>
    <row r="226" spans="1:16" ht="15.75" x14ac:dyDescent="0.25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69"/>
        <v>0</v>
      </c>
    </row>
    <row r="227" spans="1:16" ht="15.75" x14ac:dyDescent="0.25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69"/>
        <v>0</v>
      </c>
    </row>
    <row r="228" spans="1:16" ht="15.75" x14ac:dyDescent="0.25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69"/>
        <v>0</v>
      </c>
    </row>
    <row r="229" spans="1:16" ht="15.75" x14ac:dyDescent="0.25">
      <c r="A229" s="333" t="s">
        <v>214</v>
      </c>
      <c r="B229" s="334"/>
      <c r="C229" s="4" t="s">
        <v>31</v>
      </c>
      <c r="D229" s="10">
        <v>2203111.38</v>
      </c>
      <c r="E229" s="10">
        <v>2359696.29</v>
      </c>
      <c r="F229" s="10">
        <v>2126453.4299999997</v>
      </c>
      <c r="G229" s="10"/>
      <c r="H229" s="10"/>
      <c r="I229" s="10"/>
      <c r="J229" s="10"/>
      <c r="K229" s="427"/>
      <c r="L229" s="427"/>
      <c r="M229" s="427"/>
      <c r="N229" s="427"/>
      <c r="O229" s="10"/>
      <c r="P229" s="8">
        <f t="shared" si="69"/>
        <v>6689261.0999999996</v>
      </c>
    </row>
    <row r="230" spans="1:16" ht="15.75" x14ac:dyDescent="0.25">
      <c r="A230" s="312" t="s">
        <v>215</v>
      </c>
      <c r="B230" s="316"/>
      <c r="C230" s="4" t="s">
        <v>31</v>
      </c>
      <c r="D230" s="314">
        <f>D223+D229</f>
        <v>2203111.38</v>
      </c>
      <c r="E230" s="314">
        <f t="shared" ref="E230:O230" si="70">E223+E229</f>
        <v>2359696.29</v>
      </c>
      <c r="F230" s="314">
        <f t="shared" si="70"/>
        <v>2126453.4299999997</v>
      </c>
      <c r="G230" s="314">
        <f t="shared" si="70"/>
        <v>0</v>
      </c>
      <c r="H230" s="314">
        <f t="shared" si="70"/>
        <v>0</v>
      </c>
      <c r="I230" s="314">
        <f t="shared" si="70"/>
        <v>0</v>
      </c>
      <c r="J230" s="314">
        <f t="shared" si="70"/>
        <v>0</v>
      </c>
      <c r="K230" s="314">
        <f t="shared" si="70"/>
        <v>0</v>
      </c>
      <c r="L230" s="314">
        <f t="shared" si="70"/>
        <v>0</v>
      </c>
      <c r="M230" s="314">
        <f t="shared" si="70"/>
        <v>0</v>
      </c>
      <c r="N230" s="314">
        <f t="shared" si="70"/>
        <v>0</v>
      </c>
      <c r="O230" s="314">
        <f t="shared" si="70"/>
        <v>0</v>
      </c>
      <c r="P230" s="8">
        <f t="shared" si="69"/>
        <v>6689261.0999999996</v>
      </c>
    </row>
    <row r="231" spans="1:16" x14ac:dyDescent="0.25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75" x14ac:dyDescent="0.25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0</v>
      </c>
    </row>
    <row r="233" spans="1:16" ht="15.75" x14ac:dyDescent="0.25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75" x14ac:dyDescent="0.25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75" x14ac:dyDescent="0.25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75" x14ac:dyDescent="0.25">
      <c r="A236" s="333" t="s">
        <v>25</v>
      </c>
      <c r="B236" s="334"/>
      <c r="C236" s="4" t="s">
        <v>18</v>
      </c>
      <c r="D236" s="314">
        <f t="shared" ref="D236:P236" si="71">SUM(D232:D235)</f>
        <v>0</v>
      </c>
      <c r="E236" s="314">
        <f t="shared" si="71"/>
        <v>0</v>
      </c>
      <c r="F236" s="314">
        <f t="shared" si="71"/>
        <v>0</v>
      </c>
      <c r="G236" s="314">
        <f t="shared" si="71"/>
        <v>0</v>
      </c>
      <c r="H236" s="314">
        <f t="shared" si="71"/>
        <v>0</v>
      </c>
      <c r="I236" s="314">
        <f t="shared" si="71"/>
        <v>0</v>
      </c>
      <c r="J236" s="314">
        <f t="shared" si="71"/>
        <v>0</v>
      </c>
      <c r="K236" s="314">
        <f t="shared" si="71"/>
        <v>0</v>
      </c>
      <c r="L236" s="314">
        <f t="shared" si="71"/>
        <v>0</v>
      </c>
      <c r="M236" s="314">
        <f t="shared" si="71"/>
        <v>0</v>
      </c>
      <c r="N236" s="314">
        <f t="shared" si="71"/>
        <v>0</v>
      </c>
      <c r="O236" s="314">
        <f t="shared" si="71"/>
        <v>0</v>
      </c>
      <c r="P236" s="280">
        <f t="shared" si="71"/>
        <v>0</v>
      </c>
    </row>
    <row r="237" spans="1:16" x14ac:dyDescent="0.25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75" x14ac:dyDescent="0.25">
      <c r="A238" s="331" t="s">
        <v>23</v>
      </c>
      <c r="B238" s="332"/>
      <c r="C238" s="4" t="s">
        <v>18</v>
      </c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8">
        <f>SUM(D238:O238)</f>
        <v>0</v>
      </c>
    </row>
    <row r="239" spans="1:16" ht="15.75" x14ac:dyDescent="0.25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75" x14ac:dyDescent="0.25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75" x14ac:dyDescent="0.25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75" x14ac:dyDescent="0.25">
      <c r="A242" s="333" t="s">
        <v>19</v>
      </c>
      <c r="B242" s="334"/>
      <c r="C242" s="4" t="s">
        <v>18</v>
      </c>
      <c r="D242" s="10">
        <f t="shared" ref="D242" si="72">SUM(D238:D241)</f>
        <v>0</v>
      </c>
      <c r="E242" s="314">
        <f t="shared" ref="E242:P242" si="73">SUM(E238:E241)</f>
        <v>0</v>
      </c>
      <c r="F242" s="314">
        <f t="shared" si="73"/>
        <v>0</v>
      </c>
      <c r="G242" s="314">
        <f t="shared" si="73"/>
        <v>0</v>
      </c>
      <c r="H242" s="314">
        <f t="shared" si="73"/>
        <v>0</v>
      </c>
      <c r="I242" s="309">
        <f t="shared" si="73"/>
        <v>0</v>
      </c>
      <c r="J242" s="314">
        <f t="shared" si="73"/>
        <v>0</v>
      </c>
      <c r="K242" s="314">
        <f t="shared" si="73"/>
        <v>0</v>
      </c>
      <c r="L242" s="314">
        <f t="shared" si="73"/>
        <v>0</v>
      </c>
      <c r="M242" s="314">
        <f t="shared" si="73"/>
        <v>0</v>
      </c>
      <c r="N242" s="314">
        <f t="shared" si="73"/>
        <v>0</v>
      </c>
      <c r="O242" s="314">
        <f t="shared" si="73"/>
        <v>0</v>
      </c>
      <c r="P242" s="280">
        <f t="shared" si="73"/>
        <v>0</v>
      </c>
    </row>
    <row r="243" spans="1:17" ht="15.75" x14ac:dyDescent="0.25">
      <c r="A243" s="333" t="s">
        <v>216</v>
      </c>
      <c r="B243" s="334"/>
      <c r="C243" s="4" t="s">
        <v>18</v>
      </c>
      <c r="D243" s="309">
        <f>D230+D236+D242</f>
        <v>2203111.38</v>
      </c>
      <c r="E243" s="309">
        <f t="shared" ref="E243:O243" si="74">E230+E236+E242</f>
        <v>2359696.29</v>
      </c>
      <c r="F243" s="309">
        <f t="shared" si="74"/>
        <v>2126453.4299999997</v>
      </c>
      <c r="G243" s="309">
        <f t="shared" si="74"/>
        <v>0</v>
      </c>
      <c r="H243" s="309">
        <f t="shared" si="74"/>
        <v>0</v>
      </c>
      <c r="I243" s="309">
        <f t="shared" si="74"/>
        <v>0</v>
      </c>
      <c r="J243" s="309">
        <f t="shared" si="74"/>
        <v>0</v>
      </c>
      <c r="K243" s="309">
        <f t="shared" si="74"/>
        <v>0</v>
      </c>
      <c r="L243" s="309">
        <f t="shared" si="74"/>
        <v>0</v>
      </c>
      <c r="M243" s="309">
        <f t="shared" si="74"/>
        <v>0</v>
      </c>
      <c r="N243" s="309">
        <f t="shared" si="74"/>
        <v>0</v>
      </c>
      <c r="O243" s="309">
        <f t="shared" si="74"/>
        <v>0</v>
      </c>
      <c r="P243" s="280">
        <f>P216+P223+P236+P242</f>
        <v>7708296</v>
      </c>
      <c r="Q243" s="153"/>
    </row>
    <row r="244" spans="1:17" x14ac:dyDescent="0.25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75" x14ac:dyDescent="0.25">
      <c r="A245" s="349" t="s">
        <v>207</v>
      </c>
      <c r="B245" s="350"/>
      <c r="C245" s="4" t="s">
        <v>18</v>
      </c>
      <c r="D245" s="421">
        <v>17241752.190000001</v>
      </c>
      <c r="E245" s="421">
        <v>17241752.190000001</v>
      </c>
      <c r="F245" s="421">
        <v>17241752.190000001</v>
      </c>
      <c r="G245" s="421"/>
      <c r="H245" s="421"/>
      <c r="I245" s="421"/>
      <c r="J245" s="421"/>
      <c r="K245" s="422"/>
      <c r="L245" s="422"/>
      <c r="M245" s="421"/>
      <c r="N245" s="421"/>
      <c r="O245" s="421"/>
      <c r="P245" s="317">
        <f>O245</f>
        <v>0</v>
      </c>
    </row>
    <row r="246" spans="1:17" ht="15.75" x14ac:dyDescent="0.25">
      <c r="A246" s="349" t="s">
        <v>208</v>
      </c>
      <c r="B246" s="350"/>
      <c r="C246" s="4" t="s">
        <v>18</v>
      </c>
      <c r="D246" s="421">
        <v>6094751.9100000001</v>
      </c>
      <c r="E246" s="421">
        <v>6094751.9100000001</v>
      </c>
      <c r="F246" s="421">
        <v>6094751.9100000001</v>
      </c>
      <c r="G246" s="421"/>
      <c r="H246" s="421"/>
      <c r="I246" s="421"/>
      <c r="J246" s="421"/>
      <c r="K246" s="422"/>
      <c r="L246" s="422"/>
      <c r="M246" s="421"/>
      <c r="N246" s="421"/>
      <c r="O246" s="421"/>
      <c r="P246" s="317">
        <f>O246</f>
        <v>0</v>
      </c>
    </row>
    <row r="247" spans="1:17" ht="15.75" x14ac:dyDescent="0.25">
      <c r="A247" s="347" t="s">
        <v>209</v>
      </c>
      <c r="B247" s="348"/>
      <c r="C247" s="4" t="s">
        <v>18</v>
      </c>
      <c r="D247" s="129">
        <f>D245+D246</f>
        <v>23336504.100000001</v>
      </c>
      <c r="E247" s="129">
        <f t="shared" ref="E247:P247" si="75">E245+E246</f>
        <v>23336504.100000001</v>
      </c>
      <c r="F247" s="129">
        <f t="shared" si="75"/>
        <v>23336504.100000001</v>
      </c>
      <c r="G247" s="129">
        <f t="shared" si="75"/>
        <v>0</v>
      </c>
      <c r="H247" s="129">
        <f t="shared" si="75"/>
        <v>0</v>
      </c>
      <c r="I247" s="129">
        <f t="shared" si="75"/>
        <v>0</v>
      </c>
      <c r="J247" s="129">
        <f t="shared" si="75"/>
        <v>0</v>
      </c>
      <c r="K247" s="129">
        <f t="shared" si="75"/>
        <v>0</v>
      </c>
      <c r="L247" s="129">
        <f t="shared" si="75"/>
        <v>0</v>
      </c>
      <c r="M247" s="129">
        <f t="shared" si="75"/>
        <v>0</v>
      </c>
      <c r="N247" s="129">
        <f t="shared" si="75"/>
        <v>0</v>
      </c>
      <c r="O247" s="129">
        <f t="shared" si="75"/>
        <v>0</v>
      </c>
      <c r="P247" s="317">
        <f t="shared" si="75"/>
        <v>0</v>
      </c>
    </row>
    <row r="248" spans="1:17" x14ac:dyDescent="0.25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75" x14ac:dyDescent="0.25">
      <c r="A249" s="331" t="s">
        <v>16</v>
      </c>
      <c r="B249" s="332"/>
      <c r="C249" s="4" t="s">
        <v>6</v>
      </c>
      <c r="D249" s="7">
        <f>D58/D243%</f>
        <v>33.155906080427037</v>
      </c>
      <c r="E249" s="7">
        <f t="shared" ref="E249:P249" si="76">E58/E243%</f>
        <v>74.857060524513528</v>
      </c>
      <c r="F249" s="7">
        <f t="shared" si="76"/>
        <v>63.08910324925386</v>
      </c>
      <c r="G249" s="7" t="e">
        <f t="shared" si="76"/>
        <v>#DIV/0!</v>
      </c>
      <c r="H249" s="7" t="e">
        <f t="shared" si="76"/>
        <v>#DIV/0!</v>
      </c>
      <c r="I249" s="7" t="e">
        <f t="shared" si="76"/>
        <v>#DIV/0!</v>
      </c>
      <c r="J249" s="7" t="e">
        <f t="shared" si="76"/>
        <v>#DIV/0!</v>
      </c>
      <c r="K249" s="7" t="e">
        <f t="shared" si="76"/>
        <v>#DIV/0!</v>
      </c>
      <c r="L249" s="7" t="e">
        <f t="shared" si="76"/>
        <v>#DIV/0!</v>
      </c>
      <c r="M249" s="7" t="e">
        <f t="shared" si="76"/>
        <v>#DIV/0!</v>
      </c>
      <c r="N249" s="7" t="e">
        <f t="shared" si="76"/>
        <v>#DIV/0!</v>
      </c>
      <c r="O249" s="7" t="e">
        <f t="shared" si="76"/>
        <v>#DIV/0!</v>
      </c>
      <c r="P249" s="318">
        <f t="shared" si="76"/>
        <v>49.795975919969862</v>
      </c>
    </row>
    <row r="250" spans="1:17" ht="15.75" x14ac:dyDescent="0.25">
      <c r="A250" s="331" t="s">
        <v>210</v>
      </c>
      <c r="B250" s="332"/>
      <c r="C250" s="4" t="s">
        <v>6</v>
      </c>
      <c r="D250" s="25">
        <f>D210/(D223+D245)%</f>
        <v>0</v>
      </c>
      <c r="E250" s="25">
        <f t="shared" ref="E250:P250" si="77">E210/(E223+E245)%</f>
        <v>0</v>
      </c>
      <c r="F250" s="25">
        <f t="shared" si="77"/>
        <v>0</v>
      </c>
      <c r="G250" s="25" t="e">
        <f t="shared" si="77"/>
        <v>#DIV/0!</v>
      </c>
      <c r="H250" s="25" t="e">
        <f t="shared" si="77"/>
        <v>#DIV/0!</v>
      </c>
      <c r="I250" s="25" t="e">
        <f t="shared" si="77"/>
        <v>#DIV/0!</v>
      </c>
      <c r="J250" s="25" t="e">
        <f t="shared" si="77"/>
        <v>#DIV/0!</v>
      </c>
      <c r="K250" s="25" t="e">
        <f t="shared" si="77"/>
        <v>#DIV/0!</v>
      </c>
      <c r="L250" s="25" t="e">
        <f t="shared" si="77"/>
        <v>#DIV/0!</v>
      </c>
      <c r="M250" s="25" t="e">
        <f t="shared" si="77"/>
        <v>#DIV/0!</v>
      </c>
      <c r="N250" s="25" t="e">
        <f t="shared" si="77"/>
        <v>#DIV/0!</v>
      </c>
      <c r="O250" s="25" t="e">
        <f t="shared" si="77"/>
        <v>#DIV/0!</v>
      </c>
      <c r="P250" s="301" t="e">
        <f t="shared" si="77"/>
        <v>#DIV/0!</v>
      </c>
    </row>
    <row r="251" spans="1:17" ht="16.5" thickBot="1" x14ac:dyDescent="0.3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78">E210/E223%</f>
        <v>#DIV/0!</v>
      </c>
      <c r="F251" s="6" t="e">
        <f t="shared" si="78"/>
        <v>#DIV/0!</v>
      </c>
      <c r="G251" s="6" t="e">
        <f t="shared" si="78"/>
        <v>#DIV/0!</v>
      </c>
      <c r="H251" s="6" t="e">
        <f t="shared" si="78"/>
        <v>#DIV/0!</v>
      </c>
      <c r="I251" s="6" t="e">
        <f t="shared" si="78"/>
        <v>#DIV/0!</v>
      </c>
      <c r="J251" s="6" t="e">
        <f t="shared" si="78"/>
        <v>#DIV/0!</v>
      </c>
      <c r="K251" s="6" t="e">
        <f t="shared" si="78"/>
        <v>#DIV/0!</v>
      </c>
      <c r="L251" s="6" t="e">
        <f t="shared" si="78"/>
        <v>#DIV/0!</v>
      </c>
      <c r="M251" s="6" t="e">
        <f t="shared" si="78"/>
        <v>#DIV/0!</v>
      </c>
      <c r="N251" s="6" t="e">
        <f t="shared" si="78"/>
        <v>#DIV/0!</v>
      </c>
      <c r="O251" s="6" t="e">
        <f t="shared" si="78"/>
        <v>#DIV/0!</v>
      </c>
      <c r="P251" s="319" t="e">
        <f t="shared" si="78"/>
        <v>#DIV/0!</v>
      </c>
    </row>
    <row r="252" spans="1:17" x14ac:dyDescent="0.25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.6" customHeight="1" x14ac:dyDescent="0.25">
      <c r="A253" s="331" t="s">
        <v>13</v>
      </c>
      <c r="B253" s="332"/>
      <c r="C253" s="4" t="s">
        <v>3</v>
      </c>
      <c r="D253" s="3"/>
      <c r="E253" s="3">
        <v>4</v>
      </c>
      <c r="F253" s="3">
        <f>F91</f>
        <v>3</v>
      </c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7</v>
      </c>
    </row>
    <row r="254" spans="1:17" ht="15.75" x14ac:dyDescent="0.25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5</v>
      </c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7</v>
      </c>
    </row>
    <row r="255" spans="1:17" ht="15.75" x14ac:dyDescent="0.25">
      <c r="A255" s="331" t="s">
        <v>11</v>
      </c>
      <c r="B255" s="332"/>
      <c r="C255" s="4" t="s">
        <v>3</v>
      </c>
      <c r="D255" s="409">
        <v>6</v>
      </c>
      <c r="E255" s="409">
        <f t="shared" ref="E255:I255" si="79">E95</f>
        <v>10</v>
      </c>
      <c r="F255" s="409">
        <f t="shared" si="79"/>
        <v>4</v>
      </c>
      <c r="G255" s="409">
        <f t="shared" si="79"/>
        <v>4</v>
      </c>
      <c r="H255" s="409">
        <f t="shared" si="79"/>
        <v>4</v>
      </c>
      <c r="I255" s="409">
        <f t="shared" si="79"/>
        <v>4</v>
      </c>
      <c r="J255" s="409">
        <f t="shared" ref="J255:N255" si="80">J95</f>
        <v>4</v>
      </c>
      <c r="K255" s="409">
        <f t="shared" si="80"/>
        <v>4</v>
      </c>
      <c r="L255" s="409">
        <f t="shared" si="80"/>
        <v>4</v>
      </c>
      <c r="M255" s="409">
        <f t="shared" si="80"/>
        <v>4</v>
      </c>
      <c r="N255" s="409">
        <f t="shared" si="80"/>
        <v>4</v>
      </c>
      <c r="O255" s="409"/>
      <c r="P255" s="410">
        <f>SUM(D255:O255)</f>
        <v>52</v>
      </c>
    </row>
    <row r="256" spans="1:17" ht="15.75" x14ac:dyDescent="0.25">
      <c r="A256" s="331" t="s">
        <v>10</v>
      </c>
      <c r="B256" s="332"/>
      <c r="C256" s="4" t="s">
        <v>3</v>
      </c>
      <c r="D256" s="3">
        <v>6</v>
      </c>
      <c r="E256" s="3">
        <f t="shared" ref="E256:I256" si="81">E91</f>
        <v>4</v>
      </c>
      <c r="F256" s="3">
        <f t="shared" si="81"/>
        <v>3</v>
      </c>
      <c r="G256" s="3">
        <f t="shared" si="81"/>
        <v>0</v>
      </c>
      <c r="H256" s="3">
        <f t="shared" si="81"/>
        <v>0</v>
      </c>
      <c r="I256" s="3">
        <f t="shared" si="81"/>
        <v>0</v>
      </c>
      <c r="J256" s="3">
        <f t="shared" ref="J256:N256" si="82">J91</f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/>
      <c r="P256" s="320">
        <f>SUM(D256:O256)</f>
        <v>13</v>
      </c>
    </row>
    <row r="257" spans="1:16" ht="15.6" customHeight="1" x14ac:dyDescent="0.25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>
        <v>30</v>
      </c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90</v>
      </c>
    </row>
    <row r="258" spans="1:16" ht="15.75" x14ac:dyDescent="0.25">
      <c r="A258" s="333" t="s">
        <v>8</v>
      </c>
      <c r="B258" s="334"/>
      <c r="C258" s="4" t="s">
        <v>3</v>
      </c>
      <c r="D258" s="398">
        <v>5</v>
      </c>
      <c r="E258" s="398">
        <f t="shared" ref="E258:P258" si="83">E257/E256</f>
        <v>7.5</v>
      </c>
      <c r="F258" s="398">
        <f t="shared" si="83"/>
        <v>10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/>
      <c r="P258" s="320">
        <f t="shared" si="83"/>
        <v>6.9230769230769234</v>
      </c>
    </row>
    <row r="259" spans="1:16" ht="15.75" x14ac:dyDescent="0.25">
      <c r="A259" s="333" t="s">
        <v>7</v>
      </c>
      <c r="B259" s="334"/>
      <c r="C259" s="4" t="s">
        <v>6</v>
      </c>
      <c r="D259" s="1">
        <f t="shared" ref="D259:P259" si="84">D92/D255*100</f>
        <v>0</v>
      </c>
      <c r="E259" s="1">
        <f t="shared" si="84"/>
        <v>0</v>
      </c>
      <c r="F259" s="1">
        <f t="shared" si="84"/>
        <v>0</v>
      </c>
      <c r="G259" s="1">
        <f t="shared" si="84"/>
        <v>0</v>
      </c>
      <c r="H259" s="1">
        <f t="shared" si="84"/>
        <v>0</v>
      </c>
      <c r="I259" s="1">
        <f t="shared" si="84"/>
        <v>0</v>
      </c>
      <c r="J259" s="1">
        <f t="shared" si="84"/>
        <v>0</v>
      </c>
      <c r="K259" s="1">
        <f t="shared" si="84"/>
        <v>0</v>
      </c>
      <c r="L259" s="1">
        <f t="shared" si="84"/>
        <v>0</v>
      </c>
      <c r="M259" s="1">
        <f t="shared" si="84"/>
        <v>0</v>
      </c>
      <c r="N259" s="1">
        <f t="shared" si="84"/>
        <v>0</v>
      </c>
      <c r="O259" s="1"/>
      <c r="P259" s="321">
        <f t="shared" si="84"/>
        <v>0</v>
      </c>
    </row>
    <row r="260" spans="1:16" x14ac:dyDescent="0.25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.75" x14ac:dyDescent="0.25">
      <c r="A261" s="331" t="s">
        <v>4</v>
      </c>
      <c r="B261" s="332"/>
      <c r="C261" s="4" t="s">
        <v>3</v>
      </c>
      <c r="D261" s="3">
        <v>4</v>
      </c>
      <c r="E261" s="3">
        <v>3</v>
      </c>
      <c r="F261" s="3">
        <v>5</v>
      </c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12</v>
      </c>
    </row>
    <row r="262" spans="1:16" ht="15.75" x14ac:dyDescent="0.25">
      <c r="A262" s="331" t="s">
        <v>2</v>
      </c>
      <c r="B262" s="332"/>
      <c r="C262" s="4" t="s">
        <v>0</v>
      </c>
      <c r="D262" s="3">
        <v>4</v>
      </c>
      <c r="E262" s="3">
        <v>1</v>
      </c>
      <c r="F262" s="3">
        <v>2</v>
      </c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7</v>
      </c>
    </row>
    <row r="263" spans="1:16" ht="16.5" thickBot="1" x14ac:dyDescent="0.3">
      <c r="A263" s="340" t="s">
        <v>1</v>
      </c>
      <c r="B263" s="341"/>
      <c r="C263" s="105" t="s">
        <v>0</v>
      </c>
      <c r="D263" s="106">
        <f>D261/D262</f>
        <v>1</v>
      </c>
      <c r="E263" s="106">
        <f>E261/E262</f>
        <v>3</v>
      </c>
      <c r="F263" s="106">
        <f t="shared" ref="F263:P263" si="85">F261/F262</f>
        <v>2.5</v>
      </c>
      <c r="G263" s="106" t="e">
        <f t="shared" si="85"/>
        <v>#DIV/0!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1.7142857142857142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263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9" sqref="E9"/>
    </sheetView>
  </sheetViews>
  <sheetFormatPr defaultRowHeight="15.75" x14ac:dyDescent="0.25"/>
  <cols>
    <col min="1" max="1" width="52.5703125" customWidth="1"/>
    <col min="2" max="2" width="16.85546875" customWidth="1"/>
    <col min="3" max="3" width="12.5703125" customWidth="1"/>
    <col min="4" max="10" width="20.140625" bestFit="1" customWidth="1"/>
    <col min="11" max="11" width="23.140625" customWidth="1"/>
    <col min="12" max="12" width="22.7109375" customWidth="1"/>
    <col min="13" max="15" width="20.140625" bestFit="1" customWidth="1"/>
    <col min="16" max="16" width="21.42578125" style="116" bestFit="1" customWidth="1"/>
    <col min="18" max="18" width="10.140625" bestFit="1" customWidth="1"/>
  </cols>
  <sheetData>
    <row r="1" spans="1:18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10"/>
    </row>
    <row r="2" spans="1:18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</row>
    <row r="3" spans="1:18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0"/>
    </row>
    <row r="4" spans="1:18" ht="18.75" thickBot="1" x14ac:dyDescent="0.3">
      <c r="A4" s="83" t="s">
        <v>228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4"/>
    </row>
    <row r="5" spans="1:18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250"/>
    </row>
    <row r="6" spans="1:18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8"/>
    </row>
    <row r="7" spans="1:18" ht="16.5" thickBot="1" x14ac:dyDescent="0.3">
      <c r="A7" s="180" t="s">
        <v>176</v>
      </c>
      <c r="B7" s="18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8" thickBot="1" x14ac:dyDescent="0.3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4"/>
    </row>
    <row r="9" spans="1:18" x14ac:dyDescent="0.25">
      <c r="A9" s="184" t="s">
        <v>178</v>
      </c>
      <c r="B9" s="185"/>
      <c r="C9" s="53" t="s">
        <v>154</v>
      </c>
      <c r="D9" s="30">
        <f>Mulanje!D9+Luchenza!D9+Thyolo!D9+Muloza!D9+MUST!D9+Phalombe!D9+Mikolongwe!D9+Migowi!D9+Nkando!D9</f>
        <v>112732</v>
      </c>
      <c r="E9" s="30">
        <f>Mulanje!E9+Luchenza!E9+Thyolo!E9+Muloza!E9+MUST!E9+Phalombe!E9+Mikolongwe!E9+Migowi!E9+Nkando!E9</f>
        <v>123534</v>
      </c>
      <c r="F9" s="30">
        <f>Mulanje!F9+Luchenza!F9+Thyolo!F9+Muloza!F9+MUST!F9+Phalombe!F9+Mikolongwe!F9+Migowi!F9+Nkando!F9</f>
        <v>121652</v>
      </c>
      <c r="G9" s="30">
        <f>Mulanje!G9+Luchenza!G9+Thyolo!G9+Muloza!G9+MUST!G9+Phalombe!G9+Mikolongwe!G9+Migowi!G9+Nkando!G9</f>
        <v>0</v>
      </c>
      <c r="H9" s="30">
        <f>Mulanje!H9+Luchenza!H9+Thyolo!H9+Muloza!H9+MUST!H9+Phalombe!H9+Mikolongwe!H9+Migowi!H9+Nkando!H9</f>
        <v>0</v>
      </c>
      <c r="I9" s="30">
        <f>Mulanje!I9+Luchenza!I9+Thyolo!I9+Muloza!I9+MUST!I9+Phalombe!I9+Mikolongwe!I9+Migowi!I9+Nkando!I9</f>
        <v>0</v>
      </c>
      <c r="J9" s="30">
        <f>Mulanje!J9+Luchenza!J9+Thyolo!J9+Muloza!J9+MUST!J9+Phalombe!J9+Mikolongwe!J9+Migowi!J9+Nkando!J9</f>
        <v>0</v>
      </c>
      <c r="K9" s="30">
        <f>Mulanje!K9+Luchenza!K9+Thyolo!K9+Muloza!K9+MUST!K9+Phalombe!K9+Mikolongwe!K9+Migowi!K9+Nkando!K9</f>
        <v>0</v>
      </c>
      <c r="L9" s="30">
        <f>Mulanje!L9+Luchenza!L9+Thyolo!L9+Muloza!L9+MUST!L9+Phalombe!L9+Mikolongwe!L9+Migowi!L9+Nkando!L9</f>
        <v>0</v>
      </c>
      <c r="M9" s="30">
        <f>Mulanje!M9+Luchenza!M9+Thyolo!M9+Muloza!M9+MUST!M9+Phalombe!M9+Mikolongwe!M9+Migowi!M9+Nkando!M9</f>
        <v>0</v>
      </c>
      <c r="N9" s="30">
        <f>Mulanje!N9+Luchenza!N9+Thyolo!N9+Muloza!N9+MUST!N9+Phalombe!N9+Mikolongwe!N9+Migowi!N9+Nkando!N9</f>
        <v>0</v>
      </c>
      <c r="O9" s="30">
        <f>Mulanje!O9+Luchenza!O9+Thyolo!O9+Muloza!O9+MUST!O9+Phalombe!O9+Mikolongwe!O9+Migowi!O9+Nkando!O9</f>
        <v>0</v>
      </c>
      <c r="P9" s="137">
        <f>SUM(D9:O9)</f>
        <v>357918</v>
      </c>
      <c r="R9" s="153"/>
    </row>
    <row r="10" spans="1:18" ht="15" x14ac:dyDescent="0.25">
      <c r="A10" s="212" t="s">
        <v>179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</row>
    <row r="11" spans="1:18" x14ac:dyDescent="0.25">
      <c r="A11" s="182" t="s">
        <v>159</v>
      </c>
      <c r="B11" s="183"/>
      <c r="C11" s="4" t="s">
        <v>154</v>
      </c>
      <c r="D11" s="22">
        <f>Mulanje!D11+Luchenza!D11+Thyolo!D11+Muloza!D11+MUST!D11+Phalombe!D11+Mikolongwe!D11+Migowi!D11+Nkando!D11</f>
        <v>29861</v>
      </c>
      <c r="E11" s="22">
        <f>Mulanje!E11+Luchenza!E11+Thyolo!E11+Muloza!E11+MUST!E11+Phalombe!E11+Mikolongwe!E11+Migowi!E11+Nkando!E11</f>
        <v>29996</v>
      </c>
      <c r="F11" s="22">
        <f>Mulanje!F11+Luchenza!F11+Thyolo!F11+Muloza!F11+MUST!F11+Phalombe!F11+Mikolongwe!F11+Migowi!F11+Nkando!F11</f>
        <v>37499</v>
      </c>
      <c r="G11" s="22">
        <f>Mulanje!G11+Luchenza!G11+Thyolo!G11+Muloza!G11+MUST!G11+Phalombe!G11+Mikolongwe!G11+Migowi!G11+Nkando!G11</f>
        <v>0</v>
      </c>
      <c r="H11" s="22">
        <f>Mulanje!H11+Luchenza!H11+Thyolo!H11+Muloza!H11+MUST!H11+Phalombe!H11+Mikolongwe!H11+Migowi!H11+Nkando!H11</f>
        <v>0</v>
      </c>
      <c r="I11" s="22">
        <f>Mulanje!I11+Luchenza!I11+Thyolo!I11+Muloza!I11+MUST!I11+Phalombe!I11+Mikolongwe!I11+Migowi!I11+Nkando!I11</f>
        <v>0</v>
      </c>
      <c r="J11" s="22">
        <f>Mulanje!J11+Luchenza!J11+Thyolo!J11+Muloza!J11+MUST!J11+Phalombe!J11+Mikolongwe!J11+Migowi!J11+Nkando!J11</f>
        <v>0</v>
      </c>
      <c r="K11" s="22">
        <f>Mulanje!K11+Luchenza!K11+Thyolo!K11+Muloza!K11+MUST!K11+Phalombe!K11+Mikolongwe!K11+Migowi!K11+Nkando!K11</f>
        <v>0</v>
      </c>
      <c r="L11" s="22">
        <f>Mulanje!L11+Luchenza!L11+Thyolo!L11+Muloza!L11+MUST!L11+Phalombe!L11+Mikolongwe!L11+Migowi!L11+Nkando!L11</f>
        <v>0</v>
      </c>
      <c r="M11" s="22">
        <f>Mulanje!M11+Luchenza!M11+Thyolo!M11+Muloza!M11+MUST!M11+Phalombe!M11+Mikolongwe!M11+Migowi!M11+Nkando!M11</f>
        <v>0</v>
      </c>
      <c r="N11" s="22">
        <f>Mulanje!N11+Luchenza!N11+Thyolo!N11+Muloza!N11+MUST!N11+Phalombe!N11+Mikolongwe!N11+Migowi!N11+Nkando!N11</f>
        <v>0</v>
      </c>
      <c r="O11" s="22">
        <f>Mulanje!O11+Luchenza!O11+Thyolo!O11+Muloza!O11+MUST!O11+Phalombe!O11+Mikolongwe!O11+Migowi!O11+Nkando!O11</f>
        <v>0</v>
      </c>
      <c r="P11" s="50">
        <f>SUM(D11:O11)</f>
        <v>97356</v>
      </c>
    </row>
    <row r="12" spans="1:18" x14ac:dyDescent="0.25">
      <c r="A12" s="182" t="s">
        <v>158</v>
      </c>
      <c r="B12" s="183"/>
      <c r="C12" s="4" t="s">
        <v>154</v>
      </c>
      <c r="D12" s="22">
        <f>Mulanje!D12+Luchenza!D12+Thyolo!D12+Muloza!D12+MUST!D12+Phalombe!D12+Mikolongwe!D12+Migowi!D12+Nkando!D12</f>
        <v>842</v>
      </c>
      <c r="E12" s="22">
        <f>Mulanje!E12+Luchenza!E12+Thyolo!E12+Muloza!E12+MUST!E12+Phalombe!E12+Mikolongwe!E12+Migowi!E12+Nkando!E12</f>
        <v>922</v>
      </c>
      <c r="F12" s="22">
        <f>Mulanje!F12+Luchenza!F12+Thyolo!F12+Muloza!F12+MUST!F12+Phalombe!F12+Mikolongwe!F12+Migowi!F12+Nkando!F12</f>
        <v>1091</v>
      </c>
      <c r="G12" s="22">
        <f>Mulanje!G12+Luchenza!G12+Thyolo!G12+Muloza!G12+MUST!G12+Phalombe!G12+Mikolongwe!G12+Migowi!G12+Nkando!G12</f>
        <v>0</v>
      </c>
      <c r="H12" s="22">
        <f>Mulanje!H12+Luchenza!H12+Thyolo!H12+Muloza!H12+MUST!H12+Phalombe!H12+Mikolongwe!H12+Migowi!H12+Nkando!H12</f>
        <v>0</v>
      </c>
      <c r="I12" s="22">
        <f>Mulanje!I12+Luchenza!I12+Thyolo!I12+Muloza!I12+MUST!I12+Phalombe!I12+Mikolongwe!I12+Migowi!I12+Nkando!I12</f>
        <v>0</v>
      </c>
      <c r="J12" s="22">
        <f>Mulanje!J12+Luchenza!J12+Thyolo!J12+Muloza!J12+MUST!J12+Phalombe!J12+Mikolongwe!J12+Migowi!J12+Nkando!J12</f>
        <v>0</v>
      </c>
      <c r="K12" s="22">
        <f>Mulanje!K12+Luchenza!K12+Thyolo!K12+Muloza!K12+MUST!K12+Phalombe!K12+Mikolongwe!K12+Migowi!K12+Nkando!K12</f>
        <v>0</v>
      </c>
      <c r="L12" s="22">
        <f>Mulanje!L12+Luchenza!L12+Thyolo!L12+Muloza!L12+MUST!L12+Phalombe!L12+Mikolongwe!L12+Migowi!L12+Nkando!L12</f>
        <v>0</v>
      </c>
      <c r="M12" s="22">
        <f>Mulanje!M12+Luchenza!M12+Thyolo!M12+Muloza!M12+MUST!M12+Phalombe!M12+Mikolongwe!M12+Migowi!M12+Nkando!M12</f>
        <v>0</v>
      </c>
      <c r="N12" s="22">
        <f>Mulanje!N12+Luchenza!N12+Thyolo!N12+Muloza!N12+MUST!N12+Phalombe!N12+Mikolongwe!N12+Migowi!N12+Nkando!N12</f>
        <v>0</v>
      </c>
      <c r="O12" s="22">
        <f>Mulanje!O12+Luchenza!O12+Thyolo!O12+Muloza!O12+MUST!O12+Phalombe!O12+Mikolongwe!O12+Migowi!O12+Nkando!O12</f>
        <v>0</v>
      </c>
      <c r="P12" s="50">
        <f>SUM(D12:O12)</f>
        <v>2855</v>
      </c>
    </row>
    <row r="13" spans="1:18" x14ac:dyDescent="0.25">
      <c r="A13" s="182" t="s">
        <v>157</v>
      </c>
      <c r="B13" s="183"/>
      <c r="C13" s="4" t="s">
        <v>154</v>
      </c>
      <c r="D13" s="22">
        <f>Mulanje!D13+Luchenza!D13+Thyolo!D13+Muloza!D13+MUST!D13+Phalombe!D13+Mikolongwe!D13+Migowi!D13+Nkando!D13</f>
        <v>125</v>
      </c>
      <c r="E13" s="22">
        <f>Mulanje!E13+Luchenza!E13+Thyolo!E13+Muloza!E13+MUST!E13+Phalombe!E13+Mikolongwe!E13+Migowi!E13+Nkando!E13</f>
        <v>111</v>
      </c>
      <c r="F13" s="22">
        <f>Mulanje!F13+Luchenza!F13+Thyolo!F13+Muloza!F13+MUST!F13+Phalombe!F13+Mikolongwe!F13+Migowi!F13+Nkando!F13</f>
        <v>231</v>
      </c>
      <c r="G13" s="22">
        <f>Mulanje!G13+Luchenza!G13+Thyolo!G13+Muloza!G13+MUST!G13+Phalombe!G13+Mikolongwe!G13+Migowi!G13+Nkando!G13</f>
        <v>0</v>
      </c>
      <c r="H13" s="22">
        <f>Mulanje!H13+Luchenza!H13+Thyolo!H13+Muloza!H13+MUST!H13+Phalombe!H13+Mikolongwe!H13+Migowi!H13+Nkando!H13</f>
        <v>0</v>
      </c>
      <c r="I13" s="22">
        <f>Mulanje!I13+Luchenza!I13+Thyolo!I13+Muloza!I13+MUST!I13+Phalombe!I13+Mikolongwe!I13+Migowi!I13+Nkando!I13</f>
        <v>0</v>
      </c>
      <c r="J13" s="22">
        <f>Mulanje!J13+Luchenza!J13+Thyolo!J13+Muloza!J13+MUST!J13+Phalombe!J13+Mikolongwe!J13+Migowi!J13+Nkando!J13</f>
        <v>0</v>
      </c>
      <c r="K13" s="22">
        <f>Mulanje!K13+Luchenza!K13+Thyolo!K13+Muloza!K13+MUST!K13+Phalombe!K13+Mikolongwe!K13+Migowi!K13+Nkando!K13</f>
        <v>0</v>
      </c>
      <c r="L13" s="22">
        <f>Mulanje!L13+Luchenza!L13+Thyolo!L13+Muloza!L13+MUST!L13+Phalombe!L13+Mikolongwe!L13+Migowi!L13+Nkando!L13</f>
        <v>0</v>
      </c>
      <c r="M13" s="22">
        <f>Mulanje!M13+Luchenza!M13+Thyolo!M13+Muloza!M13+MUST!M13+Phalombe!M13+Mikolongwe!M13+Migowi!M13+Nkando!M13</f>
        <v>0</v>
      </c>
      <c r="N13" s="22">
        <f>Mulanje!N13+Luchenza!N13+Thyolo!N13+Muloza!N13+MUST!N13+Phalombe!N13+Mikolongwe!N13+Migowi!N13+Nkando!N13</f>
        <v>0</v>
      </c>
      <c r="O13" s="22">
        <f>Mulanje!O13+Luchenza!O13+Thyolo!O13+Muloza!O13+MUST!O13+Phalombe!O13+Mikolongwe!O13+Migowi!O13+Nkando!O13</f>
        <v>0</v>
      </c>
      <c r="P13" s="50">
        <f>SUM(D13:O13)</f>
        <v>467</v>
      </c>
    </row>
    <row r="14" spans="1:18" x14ac:dyDescent="0.25">
      <c r="A14" s="176" t="s">
        <v>156</v>
      </c>
      <c r="B14" s="177"/>
      <c r="C14" s="4" t="s">
        <v>154</v>
      </c>
      <c r="D14" s="22">
        <f>Mulanje!D14+Luchenza!D14+Thyolo!D14+Muloza!D14+MUST!D14+Phalombe!D14+Mikolongwe!D14+Migowi!D14+Nkando!D14</f>
        <v>187</v>
      </c>
      <c r="E14" s="22">
        <f>Mulanje!E14+Luchenza!E14+Thyolo!E14+Muloza!E14+MUST!E14+Phalombe!E14+Mikolongwe!E14+Migowi!E14+Nkando!E14</f>
        <v>316</v>
      </c>
      <c r="F14" s="22">
        <f>Mulanje!F14+Luchenza!F14+Thyolo!F14+Muloza!F14+MUST!F14+Phalombe!F14+Mikolongwe!F14+Migowi!F14+Nkando!F14</f>
        <v>276</v>
      </c>
      <c r="G14" s="22">
        <f>Mulanje!G14+Luchenza!G14+Thyolo!G14+Muloza!G14+MUST!G14+Phalombe!G14+Mikolongwe!G14+Migowi!G14+Nkando!G14</f>
        <v>0</v>
      </c>
      <c r="H14" s="22">
        <f>Mulanje!H14+Luchenza!H14+Thyolo!H14+Muloza!H14+MUST!H14+Phalombe!H14+Mikolongwe!H14+Migowi!H14+Nkando!H14</f>
        <v>0</v>
      </c>
      <c r="I14" s="22">
        <f>Mulanje!I14+Luchenza!I14+Thyolo!I14+Muloza!I14+MUST!I14+Phalombe!I14+Mikolongwe!I14+Migowi!I14+Nkando!I14</f>
        <v>0</v>
      </c>
      <c r="J14" s="22">
        <f>Mulanje!J14+Luchenza!J14+Thyolo!J14+Muloza!J14+MUST!J14+Phalombe!J14+Mikolongwe!J14+Migowi!J14+Nkando!J14</f>
        <v>0</v>
      </c>
      <c r="K14" s="22">
        <f>Mulanje!K14+Luchenza!K14+Thyolo!K14+Muloza!K14+MUST!K14+Phalombe!K14+Mikolongwe!K14+Migowi!K14+Nkando!K14</f>
        <v>0</v>
      </c>
      <c r="L14" s="22">
        <f>Mulanje!L14+Luchenza!L14+Thyolo!L14+Muloza!L14+MUST!L14+Phalombe!L14+Mikolongwe!L14+Migowi!L14+Nkando!L14</f>
        <v>0</v>
      </c>
      <c r="M14" s="22">
        <f>Mulanje!M14+Luchenza!M14+Thyolo!M14+Muloza!M14+MUST!M14+Phalombe!M14+Mikolongwe!M14+Migowi!M14+Nkando!M14</f>
        <v>0</v>
      </c>
      <c r="N14" s="22">
        <f>Mulanje!N14+Luchenza!N14+Thyolo!N14+Muloza!N14+MUST!N14+Phalombe!N14+Mikolongwe!N14+Migowi!N14+Nkando!N14</f>
        <v>0</v>
      </c>
      <c r="O14" s="22">
        <f>Mulanje!O14+Luchenza!O14+Thyolo!O14+Muloza!O14+MUST!O14+Phalombe!O14+Mikolongwe!O14+Migowi!O14+Nkando!O14</f>
        <v>0</v>
      </c>
      <c r="P14" s="50">
        <f>SUM(D14:O14)</f>
        <v>779</v>
      </c>
    </row>
    <row r="15" spans="1:18" s="58" customFormat="1" x14ac:dyDescent="0.25">
      <c r="A15" s="178" t="s">
        <v>160</v>
      </c>
      <c r="B15" s="179"/>
      <c r="C15" s="57" t="s">
        <v>154</v>
      </c>
      <c r="D15" s="30">
        <f t="shared" ref="D15:O15" si="0">SUM(D11:D14)</f>
        <v>31015</v>
      </c>
      <c r="E15" s="30">
        <f t="shared" si="0"/>
        <v>31345</v>
      </c>
      <c r="F15" s="30">
        <f t="shared" si="0"/>
        <v>39097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30">
        <f t="shared" si="0"/>
        <v>0</v>
      </c>
      <c r="M15" s="30">
        <f>SUM(M11:M14)</f>
        <v>0</v>
      </c>
      <c r="N15" s="30">
        <f t="shared" si="0"/>
        <v>0</v>
      </c>
      <c r="O15" s="30">
        <f t="shared" si="0"/>
        <v>0</v>
      </c>
      <c r="P15" s="50">
        <f>SUM(P11:P14)</f>
        <v>101457</v>
      </c>
    </row>
    <row r="16" spans="1:18" ht="15" x14ac:dyDescent="0.25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4"/>
    </row>
    <row r="17" spans="1:16" x14ac:dyDescent="0.25">
      <c r="A17" s="182" t="s">
        <v>182</v>
      </c>
      <c r="B17" s="183"/>
      <c r="C17" s="4" t="s">
        <v>154</v>
      </c>
      <c r="D17" s="22">
        <f>Mulanje!D17+Luchenza!D17+Thyolo!D17+Muloza!D17+MUST!D17+Phalombe!D17+Mikolongwe!D17+Migowi!D17+Nkando!D17</f>
        <v>28974.029999999995</v>
      </c>
      <c r="E17" s="22">
        <f>Mulanje!E17+Luchenza!E17+Thyolo!E17+Muloza!E17+MUST!E17+Phalombe!E17+Mikolongwe!E17+Migowi!E17+Nkando!E17</f>
        <v>29648.400000000012</v>
      </c>
      <c r="F17" s="22">
        <f>Mulanje!F17+Luchenza!F17+Thyolo!F17+Muloza!F17+MUST!F17+Phalombe!F17+Mikolongwe!F17+Migowi!F17+Nkando!F17</f>
        <v>27179.000000000004</v>
      </c>
      <c r="G17" s="22">
        <f>Mulanje!G17+Luchenza!G17+Thyolo!G17+Muloza!G17+MUST!G17+Phalombe!G17+Mikolongwe!G17+Migowi!G17+Nkando!G17</f>
        <v>0</v>
      </c>
      <c r="H17" s="22">
        <f>Mulanje!H17+Luchenza!H17+Thyolo!H17+Muloza!H17+MUST!H17+Phalombe!H17+Mikolongwe!H17+Migowi!H17+Nkando!H17</f>
        <v>0</v>
      </c>
      <c r="I17" s="22">
        <f>Mulanje!I17+Luchenza!I17+Thyolo!I17+Muloza!I17+MUST!I17+Phalombe!I17+Mikolongwe!I17+Migowi!I17+Nkando!I17</f>
        <v>0</v>
      </c>
      <c r="J17" s="22">
        <f>Mulanje!J17+Luchenza!J17+Thyolo!J17+Muloza!J17+MUST!J17+Phalombe!J17+Mikolongwe!J17+Migowi!J17+Nkando!J17</f>
        <v>0</v>
      </c>
      <c r="K17" s="22">
        <f>Mulanje!K17+Luchenza!K17+Thyolo!K17+Muloza!K17+MUST!K17+Phalombe!K17+Mikolongwe!K17+Migowi!K17+Nkando!K17</f>
        <v>0</v>
      </c>
      <c r="L17" s="22">
        <f>Mulanje!L17+Luchenza!L17+Thyolo!L17+Muloza!L17+MUST!L17+Phalombe!L17+Mikolongwe!L17+Migowi!L17+Nkando!L17</f>
        <v>0</v>
      </c>
      <c r="M17" s="22">
        <f>Mulanje!M17+Luchenza!M17+Thyolo!M17+Muloza!M17+MUST!M17+Phalombe!M17+Mikolongwe!M17+Migowi!M17+Nkando!M17</f>
        <v>0</v>
      </c>
      <c r="N17" s="22">
        <f>Mulanje!N17+Luchenza!N17+Thyolo!N17+Muloza!N17+MUST!N17+Phalombe!N17+Mikolongwe!N17+Migowi!N17+Nkando!N17</f>
        <v>0</v>
      </c>
      <c r="O17" s="22">
        <f>Mulanje!O17+Luchenza!O17+Thyolo!O17+Muloza!O17+MUST!O17+Phalombe!O17+Mikolongwe!O17+Migowi!O17+Nkando!O17</f>
        <v>0</v>
      </c>
      <c r="P17" s="50">
        <f>SUM(D17:O17)</f>
        <v>85801.430000000008</v>
      </c>
    </row>
    <row r="18" spans="1:16" x14ac:dyDescent="0.25">
      <c r="A18" s="182" t="s">
        <v>183</v>
      </c>
      <c r="B18" s="183"/>
      <c r="C18" s="4" t="s">
        <v>154</v>
      </c>
      <c r="D18" s="22">
        <f>Mulanje!D18+Luchenza!D18+Thyolo!D18+Muloza!D18+MUST!D18+Phalombe!D18+Mikolongwe!D18+Migowi!D18+Nkando!D18</f>
        <v>274.39999999999998</v>
      </c>
      <c r="E18" s="22">
        <f>Mulanje!E18+Luchenza!E18+Thyolo!E18+Muloza!E18+MUST!E18+Phalombe!E18+Mikolongwe!E18+Migowi!E18+Nkando!E18</f>
        <v>327</v>
      </c>
      <c r="F18" s="22">
        <f>Mulanje!F18+Luchenza!F18+Thyolo!F18+Muloza!F18+MUST!F18+Phalombe!F18+Mikolongwe!F18+Migowi!F18+Nkando!F18</f>
        <v>282</v>
      </c>
      <c r="G18" s="22">
        <f>Mulanje!G18+Luchenza!G18+Thyolo!G18+Muloza!G18+MUST!G18+Phalombe!G18+Mikolongwe!G18+Migowi!G18+Nkando!G18</f>
        <v>0</v>
      </c>
      <c r="H18" s="22">
        <f>Mulanje!H18+Luchenza!H18+Thyolo!H18+Muloza!H18+MUST!H18+Phalombe!H18+Mikolongwe!H18+Migowi!H18+Nkando!H18</f>
        <v>0</v>
      </c>
      <c r="I18" s="22">
        <f>Mulanje!I18+Luchenza!I18+Thyolo!I18+Muloza!I18+MUST!I18+Phalombe!I18+Mikolongwe!I18+Migowi!I18+Nkando!I18</f>
        <v>0</v>
      </c>
      <c r="J18" s="22">
        <f>Mulanje!J18+Luchenza!J18+Thyolo!J18+Muloza!J18+MUST!J18+Phalombe!J18+Mikolongwe!J18+Migowi!J18+Nkando!J18</f>
        <v>0</v>
      </c>
      <c r="K18" s="22">
        <f>Mulanje!K18+Luchenza!K18+Thyolo!K18+Muloza!K18+MUST!K18+Phalombe!K18+Mikolongwe!K18+Migowi!K18+Nkando!K18</f>
        <v>0</v>
      </c>
      <c r="L18" s="22">
        <f>Mulanje!L18+Luchenza!L18+Thyolo!L18+Muloza!L18+MUST!L18+Phalombe!L18+Mikolongwe!L18+Migowi!L18+Nkando!L18</f>
        <v>0</v>
      </c>
      <c r="M18" s="22">
        <f>Mulanje!M18+Luchenza!M18+Thyolo!M18+Muloza!M18+MUST!M18+Phalombe!M18+Mikolongwe!M18+Migowi!M18+Nkando!M18</f>
        <v>0</v>
      </c>
      <c r="N18" s="22">
        <f>Mulanje!N18+Luchenza!N18+Thyolo!N18+Muloza!N18+MUST!N18+Phalombe!N18+Mikolongwe!N18+Migowi!N18+Nkando!N18</f>
        <v>0</v>
      </c>
      <c r="O18" s="22">
        <f>Mulanje!O18+Luchenza!O18+Thyolo!O18+Muloza!O18+MUST!O18+Phalombe!O18+Mikolongwe!O18+Migowi!O18+Nkando!O18</f>
        <v>0</v>
      </c>
      <c r="P18" s="50">
        <f>SUM(D18:O18)</f>
        <v>883.4</v>
      </c>
    </row>
    <row r="19" spans="1:16" x14ac:dyDescent="0.25">
      <c r="A19" s="182" t="s">
        <v>184</v>
      </c>
      <c r="B19" s="183"/>
      <c r="C19" s="4" t="s">
        <v>154</v>
      </c>
      <c r="D19" s="22">
        <f>Mulanje!D19+Luchenza!D19+Thyolo!D19+Muloza!D19+MUST!D19+Phalombe!D19+Mikolongwe!D19+Migowi!D19+Nkando!D19</f>
        <v>18083.229999999996</v>
      </c>
      <c r="E19" s="22">
        <f>Mulanje!E19+Luchenza!E19+Thyolo!E19+Muloza!E19+MUST!E19+Phalombe!E19+Mikolongwe!E19+Migowi!E19+Nkando!E19</f>
        <v>23639.9</v>
      </c>
      <c r="F19" s="22">
        <f>Mulanje!F19+Luchenza!F19+Thyolo!F19+Muloza!F19+MUST!F19+Phalombe!F19+Mikolongwe!F19+Migowi!F19+Nkando!F19</f>
        <v>18061.099999999999</v>
      </c>
      <c r="G19" s="22">
        <f>Mulanje!G19+Luchenza!G19+Thyolo!G19+Muloza!G19+MUST!G19+Phalombe!G19+Mikolongwe!G19+Migowi!G19+Nkando!G19</f>
        <v>0</v>
      </c>
      <c r="H19" s="22">
        <f>Mulanje!H19+Luchenza!H19+Thyolo!H19+Muloza!H19+MUST!H19+Phalombe!H19+Mikolongwe!H19+Migowi!H19+Nkando!H19</f>
        <v>0</v>
      </c>
      <c r="I19" s="22">
        <f>Mulanje!I19+Luchenza!I19+Thyolo!I19+Muloza!I19+MUST!I19+Phalombe!I19+Mikolongwe!I19+Migowi!I19+Nkando!I19</f>
        <v>0</v>
      </c>
      <c r="J19" s="22">
        <f>Mulanje!J19+Luchenza!J19+Thyolo!J19+Muloza!J19+MUST!J19+Phalombe!J19+Mikolongwe!J19+Migowi!J19+Nkando!J19</f>
        <v>0</v>
      </c>
      <c r="K19" s="22">
        <f>Mulanje!K19+Luchenza!K19+Thyolo!K19+Muloza!K19+MUST!K19+Phalombe!K19+Mikolongwe!K19+Migowi!K19+Nkando!K19</f>
        <v>0</v>
      </c>
      <c r="L19" s="22">
        <f>Mulanje!L19+Luchenza!L19+Thyolo!L19+Muloza!L19+MUST!L19+Phalombe!L19+Mikolongwe!L19+Migowi!L19+Nkando!L19</f>
        <v>0</v>
      </c>
      <c r="M19" s="22">
        <f>Mulanje!M19+Luchenza!M19+Thyolo!M19+Muloza!M19+MUST!M19+Phalombe!M19+Mikolongwe!M19+Migowi!M19+Nkando!M19</f>
        <v>0</v>
      </c>
      <c r="N19" s="22">
        <f>Mulanje!N19+Luchenza!N19+Thyolo!N19+Muloza!N19+MUST!N19+Phalombe!N19+Mikolongwe!N19+Migowi!N19+Nkando!N19</f>
        <v>0</v>
      </c>
      <c r="O19" s="22">
        <f>Mulanje!O19+Luchenza!O19+Thyolo!O19+Muloza!O19+MUST!O19+Phalombe!O19+Mikolongwe!O19+Migowi!O19+Nkando!O19</f>
        <v>0</v>
      </c>
      <c r="P19" s="50">
        <f>SUM(D19:O19)</f>
        <v>59784.229999999996</v>
      </c>
    </row>
    <row r="20" spans="1:16" x14ac:dyDescent="0.25">
      <c r="A20" s="176" t="s">
        <v>185</v>
      </c>
      <c r="B20" s="177"/>
      <c r="C20" s="4" t="s">
        <v>154</v>
      </c>
      <c r="D20" s="22">
        <f>Mulanje!D20+Luchenza!D20+Thyolo!D20+Muloza!D20+MUST!D20+Phalombe!D20+Mikolongwe!D20+Migowi!D20+Nkando!D20</f>
        <v>2325</v>
      </c>
      <c r="E20" s="22">
        <f>Mulanje!E20+Luchenza!E20+Thyolo!E20+Muloza!E20+MUST!E20+Phalombe!E20+Mikolongwe!E20+Migowi!E20+Nkando!E20</f>
        <v>3757</v>
      </c>
      <c r="F20" s="22">
        <f>Mulanje!F20+Luchenza!F20+Thyolo!F20+Muloza!F20+MUST!F20+Phalombe!F20+Mikolongwe!F20+Migowi!F20+Nkando!F20</f>
        <v>1887.9</v>
      </c>
      <c r="G20" s="22">
        <f>Mulanje!G20+Luchenza!G20+Thyolo!G20+Muloza!G20+MUST!G20+Phalombe!G20+Mikolongwe!G20+Migowi!G20+Nkando!G20</f>
        <v>0</v>
      </c>
      <c r="H20" s="22">
        <f>Mulanje!H20+Luchenza!H20+Thyolo!H20+Muloza!H20+MUST!H20+Phalombe!H20+Mikolongwe!H20+Migowi!H20+Nkando!H20</f>
        <v>0</v>
      </c>
      <c r="I20" s="22">
        <f>Mulanje!I20+Luchenza!I20+Thyolo!I20+Muloza!I20+MUST!I20+Phalombe!I20+Mikolongwe!I20+Migowi!I20+Nkando!I20</f>
        <v>0</v>
      </c>
      <c r="J20" s="22">
        <f>Mulanje!J20+Luchenza!J20+Thyolo!J20+Muloza!J20+MUST!J20+Phalombe!J20+Mikolongwe!J20+Migowi!J20+Nkando!J20</f>
        <v>0</v>
      </c>
      <c r="K20" s="22">
        <f>Mulanje!K20+Luchenza!K20+Thyolo!K20+Muloza!K20+MUST!K20+Phalombe!K20+Mikolongwe!K20+Migowi!K20+Nkando!K20</f>
        <v>0</v>
      </c>
      <c r="L20" s="22">
        <f>Mulanje!L20+Luchenza!L20+Thyolo!L20+Muloza!L20+MUST!L20+Phalombe!L20+Mikolongwe!L20+Migowi!L20+Nkando!L20</f>
        <v>0</v>
      </c>
      <c r="M20" s="22">
        <f>Mulanje!M20+Luchenza!M20+Thyolo!M20+Muloza!M20+MUST!M20+Phalombe!M20+Mikolongwe!M20+Migowi!M20+Nkando!M20</f>
        <v>0</v>
      </c>
      <c r="N20" s="22">
        <f>Mulanje!N20+Luchenza!N20+Thyolo!N20+Muloza!N20+MUST!N20+Phalombe!N20+Mikolongwe!N20+Migowi!N20+Nkando!N20</f>
        <v>0</v>
      </c>
      <c r="O20" s="22">
        <f>Mulanje!O20+Luchenza!O20+Thyolo!O20+Muloza!O20+MUST!O20+Phalombe!O20+Mikolongwe!O20+Migowi!O20+Nkando!O20</f>
        <v>0</v>
      </c>
      <c r="P20" s="50">
        <f>SUM(D20:O20)</f>
        <v>7969.9</v>
      </c>
    </row>
    <row r="21" spans="1:16" s="58" customFormat="1" x14ac:dyDescent="0.25">
      <c r="A21" s="178" t="s">
        <v>186</v>
      </c>
      <c r="B21" s="179"/>
      <c r="C21" s="57" t="s">
        <v>154</v>
      </c>
      <c r="D21" s="30">
        <f>SUM(D17:D20)</f>
        <v>49656.659999999989</v>
      </c>
      <c r="E21" s="30">
        <f t="shared" ref="E21:P21" si="1">SUM(E17:E20)</f>
        <v>57372.300000000017</v>
      </c>
      <c r="F21" s="30">
        <f t="shared" si="1"/>
        <v>47410.000000000007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30">
        <f t="shared" si="1"/>
        <v>0</v>
      </c>
      <c r="M21" s="30">
        <f t="shared" si="1"/>
        <v>0</v>
      </c>
      <c r="N21" s="30">
        <f t="shared" si="1"/>
        <v>0</v>
      </c>
      <c r="O21" s="30">
        <f t="shared" si="1"/>
        <v>0</v>
      </c>
      <c r="P21" s="50">
        <f t="shared" si="1"/>
        <v>154438.96</v>
      </c>
    </row>
    <row r="22" spans="1:16" x14ac:dyDescent="0.25">
      <c r="A22" s="65" t="s">
        <v>187</v>
      </c>
      <c r="B22" s="69"/>
      <c r="C22" s="4" t="s">
        <v>154</v>
      </c>
      <c r="D22" s="30">
        <f>D21+D15</f>
        <v>80671.659999999989</v>
      </c>
      <c r="E22" s="30">
        <f t="shared" ref="E22:P22" si="2">E21+E15</f>
        <v>88717.300000000017</v>
      </c>
      <c r="F22" s="30">
        <f t="shared" si="2"/>
        <v>86507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30">
        <f t="shared" si="2"/>
        <v>0</v>
      </c>
      <c r="M22" s="30">
        <f t="shared" si="2"/>
        <v>0</v>
      </c>
      <c r="N22" s="30">
        <f t="shared" si="2"/>
        <v>0</v>
      </c>
      <c r="O22" s="30">
        <f t="shared" si="2"/>
        <v>0</v>
      </c>
      <c r="P22" s="50">
        <f t="shared" si="2"/>
        <v>255895.96</v>
      </c>
    </row>
    <row r="23" spans="1:16" ht="15" x14ac:dyDescent="0.25">
      <c r="A23" s="251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3"/>
    </row>
    <row r="24" spans="1:16" x14ac:dyDescent="0.25">
      <c r="A24" s="173" t="s">
        <v>181</v>
      </c>
      <c r="B24" s="21" t="s">
        <v>155</v>
      </c>
      <c r="C24" s="4" t="s">
        <v>154</v>
      </c>
      <c r="D24" s="49">
        <f>D9-D22</f>
        <v>32060.340000000011</v>
      </c>
      <c r="E24" s="49">
        <f t="shared" ref="E24:P24" si="3">E9-E22</f>
        <v>34816.699999999983</v>
      </c>
      <c r="F24" s="49">
        <f t="shared" si="3"/>
        <v>35145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89">
        <f t="shared" si="3"/>
        <v>102022.04000000001</v>
      </c>
    </row>
    <row r="25" spans="1:16" x14ac:dyDescent="0.25">
      <c r="A25" s="175"/>
      <c r="B25" s="48" t="s">
        <v>153</v>
      </c>
      <c r="C25" s="47" t="s">
        <v>6</v>
      </c>
      <c r="D25" s="46">
        <f t="shared" ref="D25:P25" si="4">D24/D9</f>
        <v>0.284394315722244</v>
      </c>
      <c r="E25" s="46">
        <f t="shared" si="4"/>
        <v>0.28183900788446892</v>
      </c>
      <c r="F25" s="46">
        <f t="shared" si="4"/>
        <v>0.28889783973958505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46" t="e">
        <f t="shared" si="4"/>
        <v>#DIV/0!</v>
      </c>
      <c r="M25" s="46" t="e">
        <f t="shared" si="4"/>
        <v>#DIV/0!</v>
      </c>
      <c r="N25" s="46" t="e">
        <f t="shared" si="4"/>
        <v>#DIV/0!</v>
      </c>
      <c r="O25" s="46" t="e">
        <f t="shared" si="4"/>
        <v>#DIV/0!</v>
      </c>
      <c r="P25" s="138">
        <f t="shared" si="4"/>
        <v>0.28504305455439516</v>
      </c>
    </row>
    <row r="26" spans="1:16" ht="15" x14ac:dyDescent="0.25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4"/>
    </row>
    <row r="27" spans="1:16" ht="15" x14ac:dyDescent="0.25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2"/>
    </row>
    <row r="28" spans="1:16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25">
      <c r="A29" s="186" t="s">
        <v>148</v>
      </c>
      <c r="B29" s="441">
        <v>5111.67</v>
      </c>
      <c r="C29" s="4" t="s">
        <v>142</v>
      </c>
      <c r="D29" s="30">
        <f>Mulanje!D29+Luchenza!D29+Thyolo!D29+Muloza!D29+MUST!D29+Phalombe!D29+Mikolongwe!D29+Migowi!D29+Nkando!D29</f>
        <v>275</v>
      </c>
      <c r="E29" s="30">
        <f>Mulanje!E29+Luchenza!E29+Thyolo!E29+Muloza!E29+MUST!E29+Phalombe!E29+Mikolongwe!E29+Migowi!E29+Nkando!E29</f>
        <v>268</v>
      </c>
      <c r="F29" s="30">
        <f>Mulanje!F29+Luchenza!F29+Thyolo!F29+Muloza!F29+MUST!F29+Phalombe!F29+Mikolongwe!F29+Migowi!F29+Nkando!F29</f>
        <v>283</v>
      </c>
      <c r="G29" s="30">
        <f>Mulanje!G29+Luchenza!G29+Thyolo!G29+Muloza!G29+MUST!G29+Phalombe!G29+Mikolongwe!G29+Migowi!G29+Nkando!G29</f>
        <v>0</v>
      </c>
      <c r="H29" s="30">
        <f>Mulanje!H29+Luchenza!H29+Thyolo!H29+Muloza!H29+MUST!H29+Phalombe!H29+Mikolongwe!H29+Migowi!H29+Nkando!H29</f>
        <v>0</v>
      </c>
      <c r="I29" s="30">
        <f>Mulanje!I29+Luchenza!I29+Thyolo!I29+Muloza!I29+MUST!I29+Phalombe!I29+Mikolongwe!I29+Migowi!I29+Nkando!I29</f>
        <v>0</v>
      </c>
      <c r="J29" s="30">
        <f>Mulanje!J29+Luchenza!J29+Thyolo!J29+Muloza!J29+MUST!J29+Phalombe!J29+Mikolongwe!J29+Migowi!J29+Nkando!J29</f>
        <v>0</v>
      </c>
      <c r="K29" s="30">
        <f>Mulanje!K29+Luchenza!K29+Thyolo!K29+Muloza!K29+MUST!K29+Phalombe!K29+Mikolongwe!K29+Migowi!K29+Nkando!K29</f>
        <v>0</v>
      </c>
      <c r="L29" s="30">
        <f>Mulanje!L29+Luchenza!L29+Thyolo!L29+Muloza!L29+MUST!L29+Phalombe!L29+Mikolongwe!L29+Migowi!L29+Nkando!L29</f>
        <v>0</v>
      </c>
      <c r="M29" s="30">
        <f>Mulanje!M29+Luchenza!M29+Thyolo!M29+Muloza!M29+MUST!M29+Phalombe!M29+Mikolongwe!M29+Migowi!M29+Nkando!M29</f>
        <v>0</v>
      </c>
      <c r="N29" s="30">
        <f>Mulanje!N29+Luchenza!N29+Thyolo!N29+Muloza!N29+MUST!N29+Phalombe!N29+Mikolongwe!N29+Migowi!N29+Nkando!N29</f>
        <v>0</v>
      </c>
      <c r="O29" s="30">
        <f>Mulanje!O29+Luchenza!O29+Thyolo!O29+Muloza!O29+MUST!O29+Phalombe!O29+Mikolongwe!O29+Migowi!O29+Nkando!O29</f>
        <v>0</v>
      </c>
      <c r="P29" s="40">
        <f>SUM(D29:O29)</f>
        <v>826</v>
      </c>
    </row>
    <row r="30" spans="1:16" x14ac:dyDescent="0.25">
      <c r="A30" s="187"/>
      <c r="B30" s="441"/>
      <c r="C30" s="37" t="s">
        <v>141</v>
      </c>
      <c r="D30" s="13">
        <f t="shared" ref="D30:P30" si="5">D29/(D9/1000)</f>
        <v>2.4394138310328923</v>
      </c>
      <c r="E30" s="13">
        <f t="shared" si="5"/>
        <v>2.1694432302038305</v>
      </c>
      <c r="F30" s="13">
        <f t="shared" si="5"/>
        <v>2.3263078288889618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92">
        <f t="shared" si="5"/>
        <v>2.3077911700445353</v>
      </c>
    </row>
    <row r="31" spans="1:16" x14ac:dyDescent="0.25">
      <c r="A31" s="173" t="s">
        <v>147</v>
      </c>
      <c r="B31" s="441">
        <v>1537</v>
      </c>
      <c r="C31" s="4" t="s">
        <v>142</v>
      </c>
      <c r="D31" s="30">
        <f>Mulanje!D31+Luchenza!D31+Thyolo!D31+Muloza!D31+MUST!D31+Phalombe!D31+Mikolongwe!D31+Migowi!D31</f>
        <v>0</v>
      </c>
      <c r="E31" s="30">
        <f>Mulanje!E31+Luchenza!E31+Thyolo!E31+Muloza!E31+MUST!E31+Phalombe!E31+Mikolongwe!E31+Migowi!E31</f>
        <v>0</v>
      </c>
      <c r="F31" s="30">
        <f>Mulanje!F31+Luchenza!F31+Thyolo!F31+Muloza!F31+MUST!F31+Phalombe!F31+Mikolongwe!F31+Migowi!F31</f>
        <v>0</v>
      </c>
      <c r="G31" s="30">
        <f>Mulanje!G31+Luchenza!G31+Thyolo!G31+Muloza!G31+MUST!G31+Phalombe!G31+Mikolongwe!G31+Migowi!G31</f>
        <v>0</v>
      </c>
      <c r="H31" s="30">
        <f>Mulanje!H31+Luchenza!H31+Thyolo!H31+Muloza!H31+MUST!H31+Phalombe!H31+Mikolongwe!H31+Migowi!H31</f>
        <v>0</v>
      </c>
      <c r="I31" s="30">
        <f>Mulanje!I31+Luchenza!I31+Thyolo!I31+Muloza!I31+MUST!I31+Phalombe!I31+Mikolongwe!I31+Migowi!I31</f>
        <v>0</v>
      </c>
      <c r="J31" s="30">
        <f>Mulanje!J31+Luchenza!J31+Thyolo!J31+Muloza!J31+MUST!J31+Phalombe!J31+Mikolongwe!J31+Migowi!J31</f>
        <v>0</v>
      </c>
      <c r="K31" s="30">
        <f>Mulanje!K31+Luchenza!K31+Thyolo!K31+Muloza!K31+MUST!K31+Phalombe!K31+Mikolongwe!K31+Migowi!K31</f>
        <v>0</v>
      </c>
      <c r="L31" s="30">
        <f>Mulanje!L31+Luchenza!L31+Thyolo!L31+Muloza!L31+MUST!L31+Phalombe!L31+Mikolongwe!L31+Migowi!L31</f>
        <v>0</v>
      </c>
      <c r="M31" s="30">
        <f>Mulanje!M31+Luchenza!M31+Thyolo!M31+Muloza!M31+MUST!M31+Phalombe!M31+Mikolongwe!M31+Migowi!M31+Nkando!M31</f>
        <v>0</v>
      </c>
      <c r="N31" s="30">
        <f>Mulanje!N31+Luchenza!N31+Thyolo!N31+Muloza!N31+MUST!N31+Phalombe!N31+Mikolongwe!N31+Migowi!N31+Nkando!N31</f>
        <v>0</v>
      </c>
      <c r="O31" s="30">
        <f>Mulanje!O31+Luchenza!O31+Thyolo!O31+Muloza!O31+MUST!O31+Phalombe!O31+Mikolongwe!O31+Migowi!O31+Nkando!O31</f>
        <v>0</v>
      </c>
      <c r="P31" s="40">
        <f>SUM(D31:O31)</f>
        <v>0</v>
      </c>
    </row>
    <row r="32" spans="1:16" x14ac:dyDescent="0.25">
      <c r="A32" s="175"/>
      <c r="B32" s="441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2">
        <f t="shared" si="6"/>
        <v>0</v>
      </c>
    </row>
    <row r="33" spans="1:16" x14ac:dyDescent="0.25">
      <c r="A33" s="173" t="s">
        <v>146</v>
      </c>
      <c r="B33" s="441">
        <v>1781.02</v>
      </c>
      <c r="C33" s="4" t="s">
        <v>142</v>
      </c>
      <c r="D33" s="30">
        <f>Mulanje!D33+Luchenza!D33+Thyolo!D33+Muloza!D33+MUST!D33+Phalombe!D33+Mikolongwe!D33+Migowi!D33</f>
        <v>0</v>
      </c>
      <c r="E33" s="30">
        <f>Mulanje!E33+Luchenza!E33+Thyolo!E33+Muloza!E33+MUST!E33+Phalombe!E33+Mikolongwe!E33+Migowi!E33</f>
        <v>0</v>
      </c>
      <c r="F33" s="30">
        <f>Mulanje!F33+Luchenza!F33+Thyolo!F33+Muloza!F33+MUST!F33+Phalombe!F33+Mikolongwe!F33+Migowi!F33</f>
        <v>0</v>
      </c>
      <c r="G33" s="30">
        <f>Mulanje!G33+Luchenza!G33+Thyolo!G33+Muloza!G33+MUST!G33+Phalombe!G33+Mikolongwe!G33+Migowi!G33</f>
        <v>0</v>
      </c>
      <c r="H33" s="30">
        <f>Mulanje!H33+Luchenza!H33+Thyolo!H33+Muloza!H33+MUST!H33+Phalombe!H33+Mikolongwe!H33+Migowi!H33</f>
        <v>0</v>
      </c>
      <c r="I33" s="30">
        <f>Mulanje!I33+Luchenza!I33+Thyolo!I33+Muloza!I33+MUST!I33+Phalombe!I33+Mikolongwe!I33+Migowi!I33</f>
        <v>0</v>
      </c>
      <c r="J33" s="30">
        <f>Mulanje!J33+Luchenza!J33+Thyolo!J33+Muloza!J33+MUST!J33+Phalombe!J33+Mikolongwe!J33+Migowi!J33</f>
        <v>0</v>
      </c>
      <c r="K33" s="30">
        <f>Mulanje!K33+Luchenza!K33+Thyolo!K33+Muloza!K33+MUST!K33+Phalombe!K33+Mikolongwe!K33+Migowi!K33</f>
        <v>0</v>
      </c>
      <c r="L33" s="30">
        <f>Mulanje!L33+Luchenza!L33+Thyolo!L33+Muloza!L33+MUST!L33+Phalombe!L33+Mikolongwe!L33+Migowi!L33</f>
        <v>0</v>
      </c>
      <c r="M33" s="30">
        <f>Mulanje!M33+Luchenza!M33+Thyolo!M33+Muloza!M33+MUST!M33+Phalombe!M33+Mikolongwe!M33+Migowi!M33+Nkando!M33</f>
        <v>0</v>
      </c>
      <c r="N33" s="30">
        <f>Mulanje!N33+Luchenza!N33+Thyolo!N33+Muloza!N33+MUST!N33+Phalombe!N33+Mikolongwe!N33+Migowi!N33+Nkando!N33</f>
        <v>0</v>
      </c>
      <c r="O33" s="30">
        <f>Mulanje!O33+Luchenza!O33+Thyolo!O33+Muloza!O33+MUST!O33+Phalombe!O33+Mikolongwe!O33+Migowi!O33+Nkando!O33</f>
        <v>0</v>
      </c>
      <c r="P33" s="40">
        <f>SUM(D33:O33)</f>
        <v>0</v>
      </c>
    </row>
    <row r="34" spans="1:16" x14ac:dyDescent="0.25">
      <c r="A34" s="175"/>
      <c r="B34" s="441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2">
        <f t="shared" si="7"/>
        <v>0</v>
      </c>
    </row>
    <row r="35" spans="1:16" x14ac:dyDescent="0.25">
      <c r="A35" s="173" t="s">
        <v>145</v>
      </c>
      <c r="B35" s="441">
        <v>5979.95</v>
      </c>
      <c r="C35" s="4" t="s">
        <v>128</v>
      </c>
      <c r="D35" s="30">
        <f>Mulanje!D35+Luchenza!D35+Thyolo!D35+Muloza!D35+MUST!D35+Phalombe!D35+Mikolongwe!D35+Migowi!D35</f>
        <v>84</v>
      </c>
      <c r="E35" s="30">
        <f>Mulanje!E35+Luchenza!E35+Thyolo!E35+Muloza!E35+MUST!E35+Phalombe!E35+Mikolongwe!E35+Migowi!E35</f>
        <v>54</v>
      </c>
      <c r="F35" s="30">
        <f>Mulanje!F35+Luchenza!F35+Thyolo!F35+Muloza!F35+MUST!F35+Phalombe!F35+Mikolongwe!F35+Migowi!F35</f>
        <v>81</v>
      </c>
      <c r="G35" s="30">
        <f>Mulanje!G35+Luchenza!G35+Thyolo!G35+Muloza!G35+MUST!G35+Phalombe!G35+Mikolongwe!G35+Migowi!G35</f>
        <v>0</v>
      </c>
      <c r="H35" s="30">
        <f>Mulanje!H35+Luchenza!H35+Thyolo!H35+Muloza!H35+MUST!H35+Phalombe!H35+Mikolongwe!H35+Migowi!H35</f>
        <v>0</v>
      </c>
      <c r="I35" s="30">
        <f>Mulanje!I35+Luchenza!I35+Thyolo!I35+Muloza!I35+MUST!I35+Phalombe!I35+Mikolongwe!I35+Migowi!I35</f>
        <v>0</v>
      </c>
      <c r="J35" s="30">
        <f>Mulanje!J35+Luchenza!J35+Thyolo!J35+Muloza!J35+MUST!J35+Phalombe!J35+Mikolongwe!J35+Migowi!J35</f>
        <v>0</v>
      </c>
      <c r="K35" s="30">
        <f>Mulanje!K35+Luchenza!K35+Thyolo!K35+Muloza!K35+MUST!K35+Phalombe!K35+Mikolongwe!K35+Migowi!K35</f>
        <v>0</v>
      </c>
      <c r="L35" s="30">
        <f>Mulanje!L35+Luchenza!L35+Thyolo!L35+Muloza!L35+MUST!L35+Phalombe!L35+Mikolongwe!L35+Migowi!L35</f>
        <v>0</v>
      </c>
      <c r="M35" s="30">
        <f>Mulanje!M35+Luchenza!M35+Thyolo!M35+Muloza!M35+MUST!M35+Phalombe!M35+Mikolongwe!M35+Migowi!M35+Nkando!M35</f>
        <v>0</v>
      </c>
      <c r="N35" s="30">
        <f>Mulanje!N35+Luchenza!N35+Thyolo!N35+Muloza!N35+MUST!N35+Phalombe!N35+Mikolongwe!N35+Migowi!N35+Nkando!N35</f>
        <v>0</v>
      </c>
      <c r="O35" s="30">
        <f>Mulanje!O35+Luchenza!O35+Thyolo!O35+Muloza!O35+MUST!O35+Phalombe!O35+Mikolongwe!O35+Migowi!O35+Nkando!O35</f>
        <v>0</v>
      </c>
      <c r="P35" s="92"/>
    </row>
    <row r="36" spans="1:16" x14ac:dyDescent="0.25">
      <c r="A36" s="175"/>
      <c r="B36" s="441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2"/>
    </row>
    <row r="37" spans="1:16" x14ac:dyDescent="0.25">
      <c r="A37" s="173" t="s">
        <v>188</v>
      </c>
      <c r="B37" s="441">
        <v>5403.75</v>
      </c>
      <c r="C37" s="4" t="s">
        <v>128</v>
      </c>
      <c r="D37" s="30">
        <f>Mulanje!D37+Luchenza!D37+Thyolo!D37+Muloza!D37+MUST!D37+Phalombe!D37+Mikolongwe!D37+Migowi!D37</f>
        <v>0</v>
      </c>
      <c r="E37" s="30">
        <f>Mulanje!E37+Luchenza!E37+Thyolo!E37+Muloza!E37+MUST!E37+Phalombe!E37+Mikolongwe!E37+Migowi!E37</f>
        <v>0</v>
      </c>
      <c r="F37" s="30">
        <f>Mulanje!F37+Luchenza!F37+Thyolo!F37+Muloza!F37+MUST!F37+Phalombe!F37+Mikolongwe!F37+Migowi!F37</f>
        <v>0</v>
      </c>
      <c r="G37" s="30">
        <f>Mulanje!G37+Luchenza!G37+Thyolo!G37+Muloza!G37+MUST!G37+Phalombe!G37+Mikolongwe!G37+Migowi!G37</f>
        <v>0</v>
      </c>
      <c r="H37" s="30">
        <f>Mulanje!H37+Luchenza!H37+Thyolo!H37+Muloza!H37+MUST!H37+Phalombe!H37+Mikolongwe!H37+Migowi!H37</f>
        <v>0</v>
      </c>
      <c r="I37" s="30">
        <f>Mulanje!I37+Luchenza!I37+Thyolo!I37+Muloza!I37+MUST!I37+Phalombe!I37+Mikolongwe!I37+Migowi!I37</f>
        <v>0</v>
      </c>
      <c r="J37" s="30">
        <f>Mulanje!J37+Luchenza!J37+Thyolo!J37+Muloza!J37+MUST!J37+Phalombe!J37+Mikolongwe!J37+Migowi!J37</f>
        <v>0</v>
      </c>
      <c r="K37" s="30">
        <f>Mulanje!K37+Luchenza!K37+Thyolo!K37+Muloza!K37+MUST!K37+Phalombe!K37+Mikolongwe!K37+Migowi!K37</f>
        <v>0</v>
      </c>
      <c r="L37" s="30">
        <f>Mulanje!L37+Luchenza!L37+Thyolo!L37+Muloza!L37+MUST!L37+Phalombe!L37+Mikolongwe!L37+Migowi!L37</f>
        <v>0</v>
      </c>
      <c r="M37" s="30">
        <f>Mulanje!M37+Luchenza!M37+Thyolo!M37+Muloza!M37+MUST!M37+Phalombe!M37+Mikolongwe!M37+Migowi!M37+Nkando!M37</f>
        <v>0</v>
      </c>
      <c r="N37" s="30">
        <f>Mulanje!N37+Luchenza!N37+Thyolo!N37+Muloza!N37+MUST!N37+Phalombe!N37+Mikolongwe!N37+Migowi!N37+Nkando!N37</f>
        <v>0</v>
      </c>
      <c r="O37" s="30">
        <f>Mulanje!O37+Luchenza!O37+Thyolo!O37+Muloza!O37+MUST!O37+Phalombe!O37+Mikolongwe!O37+Migowi!O37+Nkando!O37</f>
        <v>0</v>
      </c>
      <c r="P37" s="40">
        <f>SUM(D37:O37)</f>
        <v>0</v>
      </c>
    </row>
    <row r="38" spans="1:16" x14ac:dyDescent="0.25">
      <c r="A38" s="175"/>
      <c r="B38" s="441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2">
        <f t="shared" si="8"/>
        <v>0</v>
      </c>
    </row>
    <row r="39" spans="1:16" x14ac:dyDescent="0.25">
      <c r="A39" s="173" t="s">
        <v>143</v>
      </c>
      <c r="B39" s="441">
        <v>1950</v>
      </c>
      <c r="C39" s="4" t="s">
        <v>142</v>
      </c>
      <c r="D39" s="30">
        <f>Mulanje!D39+Luchenza!D39+Thyolo!D39+Muloza!D39+MUST!D39+Phalombe!D39+Mikolongwe!D39+Migowi!D39</f>
        <v>0</v>
      </c>
      <c r="E39" s="30">
        <f>Mulanje!E39+Luchenza!E39+Thyolo!E39+Muloza!E39+MUST!E39+Phalombe!E39+Mikolongwe!E39+Migowi!E39</f>
        <v>0</v>
      </c>
      <c r="F39" s="30">
        <f>Mulanje!F39+Luchenza!F39+Thyolo!F39+Muloza!F39+MUST!F39+Phalombe!F39+Mikolongwe!F39+Migowi!F39</f>
        <v>0</v>
      </c>
      <c r="G39" s="30">
        <f>Mulanje!G39+Luchenza!G39+Thyolo!G39+Muloza!G39+MUST!G39+Phalombe!G39+Mikolongwe!G39+Migowi!G39</f>
        <v>0</v>
      </c>
      <c r="H39" s="30">
        <f>Mulanje!H39+Luchenza!H39+Thyolo!H39+Muloza!H39+MUST!H39+Phalombe!H39+Mikolongwe!H39+Migowi!H39</f>
        <v>0</v>
      </c>
      <c r="I39" s="30">
        <f>Mulanje!I39+Luchenza!I39+Thyolo!I39+Muloza!I39+MUST!I39+Phalombe!I39+Mikolongwe!I39+Migowi!I39</f>
        <v>0</v>
      </c>
      <c r="J39" s="30">
        <f>Mulanje!J39+Luchenza!J39+Thyolo!J39+Muloza!J39+MUST!J39+Phalombe!J39+Mikolongwe!J39+Migowi!J39</f>
        <v>0</v>
      </c>
      <c r="K39" s="30">
        <f>Mulanje!K39+Luchenza!K39+Thyolo!K39+Muloza!K39+MUST!K39+Phalombe!K39+Mikolongwe!K39+Migowi!K39</f>
        <v>0</v>
      </c>
      <c r="L39" s="30">
        <f>Mulanje!L39+Luchenza!L39+Thyolo!L39+Muloza!L39+MUST!L39+Phalombe!L39+Mikolongwe!L39+Migowi!L39</f>
        <v>0</v>
      </c>
      <c r="M39" s="30">
        <f>Mulanje!M39+Luchenza!M39+Thyolo!M39+Muloza!M39+MUST!M39+Phalombe!M39+Mikolongwe!M39+Migowi!M39+Nkando!M39</f>
        <v>0</v>
      </c>
      <c r="N39" s="30">
        <f>Mulanje!N39+Luchenza!N39+Thyolo!N39+Muloza!N39+MUST!N39+Phalombe!N39+Mikolongwe!N39+Migowi!N39+Nkando!N39</f>
        <v>0</v>
      </c>
      <c r="O39" s="30">
        <f>Mulanje!O39+Luchenza!O39+Thyolo!O39+Muloza!O39+MUST!O39+Phalombe!O39+Mikolongwe!O39+Migowi!O39+Nkando!O39</f>
        <v>0</v>
      </c>
      <c r="P39" s="40">
        <f>SUM(D39:O39)</f>
        <v>0</v>
      </c>
    </row>
    <row r="40" spans="1:16" x14ac:dyDescent="0.25">
      <c r="A40" s="175"/>
      <c r="B40" s="441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2">
        <f t="shared" si="9"/>
        <v>0</v>
      </c>
    </row>
    <row r="41" spans="1:16" x14ac:dyDescent="0.25">
      <c r="A41" s="176" t="s">
        <v>140</v>
      </c>
      <c r="B41" s="177"/>
      <c r="C41" s="4" t="s">
        <v>31</v>
      </c>
      <c r="D41" s="36">
        <f>(D29*$B29)+(D31*$B31)+(D33*$B33)+(D35*$B35)+(D37*$B37)+(D39*$B39)</f>
        <v>1908025.05</v>
      </c>
      <c r="E41" s="36">
        <f t="shared" ref="E41:O41" si="10">(E29*$B29)+(E31*$B31)+(E33*$B33)+(E35*$B35)+(E37*$B37)+(E39*$B39)</f>
        <v>1692844.86</v>
      </c>
      <c r="F41" s="36">
        <f t="shared" si="10"/>
        <v>1930978.56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6">
        <f t="shared" si="10"/>
        <v>0</v>
      </c>
      <c r="M41" s="36">
        <f>(M29*$B29)+(M31*$B31)+(M33*$B33)+(M35*$B35)+(M37*$B37)+(M39*$B39)</f>
        <v>0</v>
      </c>
      <c r="N41" s="36">
        <f t="shared" si="10"/>
        <v>0</v>
      </c>
      <c r="O41" s="36">
        <f t="shared" si="10"/>
        <v>0</v>
      </c>
      <c r="P41" s="34">
        <f>SUM(D41:O41)</f>
        <v>5531848.4700000007</v>
      </c>
    </row>
    <row r="42" spans="1:16" x14ac:dyDescent="0.25">
      <c r="A42" s="191" t="s">
        <v>139</v>
      </c>
      <c r="B42" s="192"/>
      <c r="C42" s="37" t="s">
        <v>117</v>
      </c>
      <c r="D42" s="13">
        <f t="shared" ref="D42:P42" si="11">D41/D9</f>
        <v>16.925318897917183</v>
      </c>
      <c r="E42" s="13">
        <f t="shared" si="11"/>
        <v>13.703473213852059</v>
      </c>
      <c r="F42" s="13">
        <f t="shared" si="11"/>
        <v>15.872970111465492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39">
        <f t="shared" si="11"/>
        <v>15.455630814879388</v>
      </c>
    </row>
    <row r="43" spans="1:16" ht="15" x14ac:dyDescent="0.25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90"/>
    </row>
    <row r="44" spans="1:16" x14ac:dyDescent="0.25">
      <c r="A44" s="176" t="s">
        <v>137</v>
      </c>
      <c r="B44" s="177"/>
      <c r="C44" s="4" t="s">
        <v>136</v>
      </c>
      <c r="D44" s="30">
        <f>Mulanje!D44+Luchenza!D44+Thyolo!D44+Muloza!D44+MUST!D44+Phalombe!D44+Mikolongwe!D44+Migowi!D44+Nkando!D44</f>
        <v>70356.27</v>
      </c>
      <c r="E44" s="30">
        <f>Mulanje!E44+Luchenza!E44+Thyolo!E44+Muloza!E44+MUST!E44+Phalombe!E44+Mikolongwe!E44+Migowi!E44+Nkando!E44</f>
        <v>69316</v>
      </c>
      <c r="F44" s="30">
        <f>Mulanje!F44+Luchenza!F44+Thyolo!F44+Muloza!F44+MUST!F44+Phalombe!F44+Mikolongwe!F44+Migowi!F44+Nkando!F44</f>
        <v>58678.71</v>
      </c>
      <c r="G44" s="30">
        <f>Mulanje!G44+Luchenza!G44+Thyolo!G44+Muloza!G44+MUST!G44+Phalombe!G44+Mikolongwe!G44+Migowi!G44+Nkando!G44</f>
        <v>0</v>
      </c>
      <c r="H44" s="30">
        <f>Mulanje!H44+Luchenza!H44+Thyolo!H44+Muloza!H44+MUST!H44+Phalombe!H44+Mikolongwe!H44+Migowi!H44+Nkando!H44</f>
        <v>0</v>
      </c>
      <c r="I44" s="30">
        <f>Mulanje!I44+Luchenza!I44+Thyolo!I44+Muloza!I44+MUST!I44+Phalombe!I44+Mikolongwe!I44+Migowi!I44+Nkando!I44</f>
        <v>0</v>
      </c>
      <c r="J44" s="30">
        <f>Mulanje!J44+Luchenza!J44+Thyolo!J44+Muloza!J44+MUST!J44+Phalombe!J44+Mikolongwe!J44+Migowi!J44+Nkando!J44</f>
        <v>0</v>
      </c>
      <c r="K44" s="30">
        <f>Mulanje!K44+Luchenza!K44+Thyolo!K44+Muloza!K44+MUST!K44+Phalombe!K44+Mikolongwe!K44+Migowi!K44+Nkando!K44</f>
        <v>0</v>
      </c>
      <c r="L44" s="30">
        <f>Mulanje!L44+Luchenza!L44+Thyolo!L44+Muloza!L44+MUST!L44+Phalombe!L44+Mikolongwe!L44+Migowi!L44+Nkando!L44</f>
        <v>0</v>
      </c>
      <c r="M44" s="30">
        <f>Mulanje!M44+Luchenza!M44+Thyolo!M44+Muloza!M44+MUST!M44+Phalombe!M44+Mikolongwe!M44+Migowi!M44+Nkando!M44</f>
        <v>0</v>
      </c>
      <c r="N44" s="30">
        <f>Mulanje!N44+Luchenza!N44+Thyolo!N44+Muloza!N44+MUST!N44+Phalombe!N44+Mikolongwe!N44+Migowi!N44+Nkando!N44</f>
        <v>0</v>
      </c>
      <c r="O44" s="30">
        <f>Mulanje!O44+Luchenza!O44+Thyolo!O44+Muloza!O44+MUST!O44+Phalombe!O44+Mikolongwe!O44+Migowi!O44+Nkando!O44</f>
        <v>0</v>
      </c>
      <c r="P44" s="34">
        <f>SUM(D44:O44)</f>
        <v>198350.98</v>
      </c>
    </row>
    <row r="45" spans="1:16" x14ac:dyDescent="0.25">
      <c r="A45" s="191" t="s">
        <v>135</v>
      </c>
      <c r="B45" s="192"/>
      <c r="C45" s="37" t="s">
        <v>134</v>
      </c>
      <c r="D45" s="13">
        <f t="shared" ref="D45:P45" si="12">D44/D9</f>
        <v>0.62410202959230743</v>
      </c>
      <c r="E45" s="13">
        <f t="shared" si="12"/>
        <v>0.56110868262988323</v>
      </c>
      <c r="F45" s="13">
        <f t="shared" si="12"/>
        <v>0.48234891329365731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2">
        <f t="shared" si="12"/>
        <v>0.55417995183254265</v>
      </c>
    </row>
    <row r="46" spans="1:16" x14ac:dyDescent="0.25">
      <c r="A46" s="176" t="s">
        <v>133</v>
      </c>
      <c r="B46" s="177"/>
      <c r="C46" s="4" t="s">
        <v>31</v>
      </c>
      <c r="D46" s="30">
        <f>Mulanje!D46+Luchenza!D46+Thyolo!D46+Muloza!D46+MUST!D46+Phalombe!D46+Mikolongwe!D46+Migowi!D46+Nkando!D46</f>
        <v>23487932.364900004</v>
      </c>
      <c r="E46" s="30">
        <f>Mulanje!E46+Luchenza!E46+Thyolo!E46+Muloza!E46+MUST!E46+Phalombe!E46+Mikolongwe!E46+Migowi!E46+Nkando!E46</f>
        <v>16912868.82</v>
      </c>
      <c r="F46" s="30">
        <f>Mulanje!F46+Luchenza!F46+Thyolo!F46+Muloza!F46+MUST!F46+Phalombe!F46+Mikolongwe!F46+Migowi!F46+Nkando!F46</f>
        <v>13361588.357700003</v>
      </c>
      <c r="G46" s="30">
        <f>Mulanje!G46+Luchenza!G46+Thyolo!G46+Muloza!G46+MUST!G46+Phalombe!G46+Mikolongwe!G46+Migowi!G46+Nkando!G46</f>
        <v>16426.5</v>
      </c>
      <c r="H46" s="30">
        <f>Mulanje!H46+Luchenza!H46+Thyolo!H46+Muloza!H46+MUST!H46+Phalombe!H46+Mikolongwe!H46+Migowi!H46+Nkando!H46</f>
        <v>16426.5</v>
      </c>
      <c r="I46" s="30">
        <f>Mulanje!I46+Luchenza!I46+Thyolo!I46+Muloza!I46+MUST!I46+Phalombe!I46+Mikolongwe!I46+Migowi!I46+Nkando!I46</f>
        <v>16426.5</v>
      </c>
      <c r="J46" s="30">
        <f>Mulanje!J46+Luchenza!J46+Thyolo!J46+Muloza!J46+MUST!J46+Phalombe!J46+Mikolongwe!J46+Migowi!J46+Nkando!J46</f>
        <v>16426.5</v>
      </c>
      <c r="K46" s="30">
        <f>Mulanje!K46+Luchenza!K46+Thyolo!K46+Muloza!K46+MUST!K46+Phalombe!K46+Mikolongwe!K46+Migowi!K46+Nkando!K46</f>
        <v>16426.5</v>
      </c>
      <c r="L46" s="30">
        <f>Mulanje!L46+Luchenza!L46+Thyolo!L46+Muloza!L46+MUST!L46+Phalombe!L46+Mikolongwe!L46+Migowi!L46+Nkando!L46</f>
        <v>16426.5</v>
      </c>
      <c r="M46" s="30">
        <f>Mulanje!M46+Luchenza!M46+Thyolo!M46+Muloza!M46+MUST!M46+Phalombe!M46+Mikolongwe!M46+Migowi!M46+Nkando!M46</f>
        <v>16426.5</v>
      </c>
      <c r="N46" s="30">
        <f>Mulanje!N46+Luchenza!N46+Thyolo!N46+Muloza!N46+MUST!N46+Phalombe!N46+Mikolongwe!N46+Migowi!N46+Nkando!N46</f>
        <v>16426.5</v>
      </c>
      <c r="O46" s="30">
        <f>Mulanje!O46+Luchenza!O46+Thyolo!O46+Muloza!O46+MUST!O46+Phalombe!O46+Mikolongwe!O46+Migowi!O46+Nkando!O46</f>
        <v>0</v>
      </c>
      <c r="P46" s="30">
        <f>Mulanje!P46+Luchenza!P46+Thyolo!P46+Muloza!P46+MUST!P46+Phalombe!P46+Mikolongwe!P46+Migowi!P46+Nkando!P46</f>
        <v>53893801.542599991</v>
      </c>
    </row>
    <row r="47" spans="1:16" x14ac:dyDescent="0.25">
      <c r="A47" s="176" t="s">
        <v>132</v>
      </c>
      <c r="B47" s="177"/>
      <c r="C47" s="4" t="s">
        <v>117</v>
      </c>
      <c r="D47" s="13">
        <f t="shared" ref="D47:P47" si="13">D46/D9</f>
        <v>208.3519529938261</v>
      </c>
      <c r="E47" s="13">
        <f t="shared" si="13"/>
        <v>136.90861479430765</v>
      </c>
      <c r="F47" s="13">
        <f t="shared" si="13"/>
        <v>109.83451449791211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2">
        <f t="shared" si="13"/>
        <v>150.57583452802035</v>
      </c>
    </row>
    <row r="48" spans="1:16" ht="15" x14ac:dyDescent="0.25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</row>
    <row r="49" spans="1:16" x14ac:dyDescent="0.25">
      <c r="A49" s="176" t="s">
        <v>130</v>
      </c>
      <c r="B49" s="177"/>
      <c r="C49" s="4" t="s">
        <v>129</v>
      </c>
      <c r="D49" s="30">
        <f>Mulanje!D49+Luchenza!D49+Thyolo!D49+Muloza!D49+MUST!D49+Phalombe!D49+Mikolongwe!D49+Migowi!D49+Nkando!D49</f>
        <v>917</v>
      </c>
      <c r="E49" s="30">
        <f>Mulanje!E49+Luchenza!E49+Thyolo!E49+Muloza!E49+MUST!E49+Phalombe!E49+Mikolongwe!E49+Migowi!E49+Nkando!E49</f>
        <v>717</v>
      </c>
      <c r="F49" s="30">
        <f>Mulanje!F49+Luchenza!F49+Thyolo!F49+Muloza!F49+MUST!F49+Phalombe!F49+Mikolongwe!F49+Migowi!F49+Nkando!F49</f>
        <v>980</v>
      </c>
      <c r="G49" s="30">
        <f>Mulanje!G49+Luchenza!G49+Thyolo!G49+Muloza!G49+MUST!G49+Phalombe!G49+Mikolongwe!G49+Migowi!G49+Nkando!G49</f>
        <v>0</v>
      </c>
      <c r="H49" s="30">
        <f>Mulanje!H49+Luchenza!H49+Thyolo!H49+Muloza!H49+MUST!H49+Phalombe!H49+Mikolongwe!H49+Migowi!H49+Nkando!H49</f>
        <v>0</v>
      </c>
      <c r="I49" s="30">
        <f>Mulanje!I49+Luchenza!I49+Thyolo!I49+Muloza!I49+MUST!I49+Phalombe!I49+Mikolongwe!I49+Migowi!I49+Nkando!I49</f>
        <v>0</v>
      </c>
      <c r="J49" s="30">
        <f>Mulanje!J49+Luchenza!J49+Thyolo!J49+Muloza!J49+MUST!J49+Phalombe!J49+Mikolongwe!J49+Migowi!J49+Nkando!J49</f>
        <v>0</v>
      </c>
      <c r="K49" s="30">
        <f>Mulanje!K49+Luchenza!K49+Thyolo!K49+Muloza!K49+MUST!K49+Phalombe!K49+Mikolongwe!K49+Migowi!K49+Nkando!K49</f>
        <v>0</v>
      </c>
      <c r="L49" s="30">
        <f>Mulanje!L49+Luchenza!L49+Thyolo!L49+Muloza!L49+MUST!L49+Phalombe!L49+Mikolongwe!L49+Migowi!L49+Nkando!L49</f>
        <v>0</v>
      </c>
      <c r="M49" s="30">
        <f>Mulanje!M49+Luchenza!M49+Thyolo!M49+Muloza!M49+MUST!M49+Phalombe!M49+Mikolongwe!M49+Migowi!M49+Nkando!M49</f>
        <v>0</v>
      </c>
      <c r="N49" s="30">
        <f>Mulanje!N49+Luchenza!N49+Thyolo!N49+Muloza!N49+MUST!N49+Phalombe!N49+Mikolongwe!N49+Migowi!N49+Nkando!N49</f>
        <v>0</v>
      </c>
      <c r="O49" s="30">
        <f>Mulanje!O49+Luchenza!O49+Thyolo!O49+Muloza!O49+MUST!O49+Phalombe!O49+Mikolongwe!O49+Migowi!O49+Nkando!O49</f>
        <v>0</v>
      </c>
      <c r="P49" s="34">
        <f>SUM(D49:O49)</f>
        <v>2614</v>
      </c>
    </row>
    <row r="50" spans="1:16" x14ac:dyDescent="0.25">
      <c r="A50" s="176" t="s">
        <v>189</v>
      </c>
      <c r="B50" s="177"/>
      <c r="C50" s="4" t="s">
        <v>128</v>
      </c>
      <c r="D50" s="30">
        <f>Mulanje!D50+Luchenza!D50+Thyolo!D50+Muloza!D50+MUST!D50+Phalombe!D50+Mikolongwe!D50+Migowi!D50+Nkando!D50</f>
        <v>208</v>
      </c>
      <c r="E50" s="30">
        <f>Mulanje!E50+Luchenza!E50+Thyolo!E50+Muloza!E50+MUST!E50+Phalombe!E50+Mikolongwe!E50+Migowi!E50+Nkando!E50</f>
        <v>165</v>
      </c>
      <c r="F50" s="30">
        <f>Mulanje!F50+Luchenza!F50+Thyolo!F50+Muloza!F50+MUST!F50+Phalombe!F50+Mikolongwe!F50+Migowi!F50+Nkando!F50</f>
        <v>159</v>
      </c>
      <c r="G50" s="30">
        <f>Mulanje!G50+Luchenza!G50+Thyolo!G50+Muloza!G50+MUST!G50+Phalombe!G50+Mikolongwe!G50+Migowi!G50+Nkando!G50</f>
        <v>0</v>
      </c>
      <c r="H50" s="30">
        <f>Mulanje!H50+Luchenza!H50+Thyolo!H50+Muloza!H50+MUST!H50+Phalombe!H50+Mikolongwe!H50+Migowi!H50+Nkando!H50</f>
        <v>0</v>
      </c>
      <c r="I50" s="30">
        <f>Mulanje!I50+Luchenza!I50+Thyolo!I50+Muloza!I50+MUST!I50+Phalombe!I50+Mikolongwe!I50+Migowi!I50+Nkando!I50</f>
        <v>0</v>
      </c>
      <c r="J50" s="30">
        <f>Mulanje!J50+Luchenza!J50+Thyolo!J50+Muloza!J50+MUST!J50+Phalombe!J50+Mikolongwe!J50+Migowi!J50+Nkando!J50</f>
        <v>0</v>
      </c>
      <c r="K50" s="30">
        <f>Mulanje!K50+Luchenza!K50+Thyolo!K50+Muloza!K50+MUST!K50+Phalombe!K50+Mikolongwe!K50+Migowi!K50+Nkando!K50</f>
        <v>0</v>
      </c>
      <c r="L50" s="30">
        <f>Mulanje!L50+Luchenza!L50+Thyolo!L50+Muloza!L50+MUST!L50+Phalombe!L50+Mikolongwe!L50+Migowi!L50+Nkando!L50</f>
        <v>0</v>
      </c>
      <c r="M50" s="30">
        <f>Mulanje!M50+Luchenza!M50+Thyolo!M50+Muloza!M50+MUST!M50+Phalombe!M50+Mikolongwe!M50+Migowi!M50+Nkando!M50</f>
        <v>0</v>
      </c>
      <c r="N50" s="30">
        <f>Mulanje!N50+Luchenza!N50+Thyolo!N50+Muloza!N50+MUST!N50+Phalombe!N50+Mikolongwe!N50+Migowi!N50+Nkando!N50</f>
        <v>0</v>
      </c>
      <c r="O50" s="30">
        <f>Mulanje!O50+Luchenza!O50+Thyolo!O50+Muloza!O50+MUST!O50+Phalombe!O50+Mikolongwe!O50+Migowi!O50+Nkando!O50</f>
        <v>0</v>
      </c>
      <c r="P50" s="34">
        <f>SUM(D50:O50)</f>
        <v>532</v>
      </c>
    </row>
    <row r="51" spans="1:16" x14ac:dyDescent="0.25">
      <c r="A51" s="176" t="s">
        <v>127</v>
      </c>
      <c r="B51" s="177"/>
      <c r="C51" s="4" t="s">
        <v>31</v>
      </c>
      <c r="D51" s="30">
        <f>Mulanje!D51+Luchenza!D51+Thyolo!D51+Muloza!D51+MUST!D51+Phalombe!D51+Mikolongwe!D51+Migowi!D51+Nkando!D51</f>
        <v>1390896</v>
      </c>
      <c r="E51" s="30">
        <f>Mulanje!E51+Luchenza!E51+Thyolo!E51+Muloza!E51+MUST!E51+Phalombe!E51+Mikolongwe!E51+Migowi!E51+Nkando!E51</f>
        <v>1103355</v>
      </c>
      <c r="F51" s="30">
        <f>Mulanje!F51+Luchenza!F51+Thyolo!F51+Muloza!F51+MUST!F51+Phalombe!F51+Mikolongwe!F51+Migowi!F51+Nkando!F51</f>
        <v>1063233</v>
      </c>
      <c r="G51" s="30">
        <f>Mulanje!G51+Luchenza!G51+Thyolo!G51+Muloza!G51+MUST!G51+Phalombe!G51+Mikolongwe!G51+Migowi!G51+Nkando!G51</f>
        <v>0</v>
      </c>
      <c r="H51" s="30">
        <f>Mulanje!H51+Luchenza!H51+Thyolo!H51+Muloza!H51+MUST!H51+Phalombe!H51+Mikolongwe!H51+Migowi!H51+Nkando!H51</f>
        <v>0</v>
      </c>
      <c r="I51" s="30">
        <f>Mulanje!I51+Luchenza!I51+Thyolo!I51+Muloza!I51+MUST!I51+Phalombe!I51+Mikolongwe!I51+Migowi!I51+Nkando!I51</f>
        <v>0</v>
      </c>
      <c r="J51" s="30">
        <f>Mulanje!J51+Luchenza!J51+Thyolo!J51+Muloza!J51+MUST!J51+Phalombe!J51+Mikolongwe!J51+Migowi!J51+Nkando!J51</f>
        <v>0</v>
      </c>
      <c r="K51" s="30">
        <f>Mulanje!K51+Luchenza!K51+Thyolo!K51+Muloza!K51+MUST!K51+Phalombe!K51+Mikolongwe!K51+Migowi!K51+Nkando!K51</f>
        <v>0</v>
      </c>
      <c r="L51" s="30">
        <f>Mulanje!L51+Luchenza!L51+Thyolo!L51+Muloza!L51+MUST!L51+Phalombe!L51+Mikolongwe!L51+Migowi!L51+Nkando!L51</f>
        <v>0</v>
      </c>
      <c r="M51" s="30">
        <f>Mulanje!M51+Luchenza!M51+Thyolo!M51+Muloza!M51+MUST!M51+Phalombe!M51+Mikolongwe!M51+Migowi!M51+Nkando!M51</f>
        <v>0</v>
      </c>
      <c r="N51" s="30">
        <f>Mulanje!N51+Luchenza!N51+Thyolo!N51+Muloza!N51+MUST!N51+Phalombe!N51+Mikolongwe!N51+Migowi!N51+Nkando!N51</f>
        <v>0</v>
      </c>
      <c r="O51" s="30">
        <f>Mulanje!O51+Luchenza!O51+Thyolo!O51+Muloza!O51+MUST!O51+Phalombe!O51+Mikolongwe!O51+Migowi!O51+Nkando!O51</f>
        <v>0</v>
      </c>
      <c r="P51" s="35">
        <f>SUM(D51:O51)</f>
        <v>3557484</v>
      </c>
    </row>
    <row r="52" spans="1:16" x14ac:dyDescent="0.25">
      <c r="A52" s="176" t="s">
        <v>126</v>
      </c>
      <c r="B52" s="177"/>
      <c r="C52" s="4" t="s">
        <v>31</v>
      </c>
      <c r="D52" s="30">
        <f>Mulanje!D52+Luchenza!D52+Thyolo!D52+Muloza!D52+MUST!D52+Phalombe!D52+Mikolongwe!D52+Migowi!D52+Nkando!D52</f>
        <v>0</v>
      </c>
      <c r="E52" s="30">
        <f>Mulanje!E52+Luchenza!E52+Thyolo!E52+Muloza!E52+MUST!E52+Phalombe!E52+Mikolongwe!E52+Migowi!E52+Nkando!E52</f>
        <v>0</v>
      </c>
      <c r="F52" s="30">
        <f>Mulanje!F52+Luchenza!F52+Thyolo!F52+Muloza!F52+MUST!F52+Phalombe!F52+Mikolongwe!F52+Migowi!F52+Nkando!F52</f>
        <v>0</v>
      </c>
      <c r="G52" s="30">
        <f>Mulanje!G52+Luchenza!G52+Thyolo!G52+Muloza!G52+MUST!G52+Phalombe!G52+Mikolongwe!G52+Migowi!G52+Nkando!G52</f>
        <v>0</v>
      </c>
      <c r="H52" s="30">
        <f>Mulanje!H52+Luchenza!H52+Thyolo!H52+Muloza!H52+MUST!H52+Phalombe!H52+Mikolongwe!H52+Migowi!H52+Nkando!H52</f>
        <v>0</v>
      </c>
      <c r="I52" s="30">
        <f>Mulanje!I52+Luchenza!I52+Thyolo!I52+Muloza!I52+MUST!I52+Phalombe!I52+Mikolongwe!I52+Migowi!I52+Nkando!I52</f>
        <v>0</v>
      </c>
      <c r="J52" s="30">
        <f>Mulanje!J52+Luchenza!J52+Thyolo!J52+Muloza!J52+MUST!J52+Phalombe!J52+Mikolongwe!J52+Migowi!J52+Nkando!J52</f>
        <v>0</v>
      </c>
      <c r="K52" s="30">
        <f>Mulanje!K52+Luchenza!K52+Thyolo!K52+Muloza!K52+MUST!K52+Phalombe!K52+Mikolongwe!K52+Migowi!K52+Nkando!K52</f>
        <v>0</v>
      </c>
      <c r="L52" s="30">
        <f>Mulanje!L52+Luchenza!L52+Thyolo!L52+Muloza!L52+MUST!L52+Phalombe!L52+Mikolongwe!L52+Migowi!L52+Nkando!L52</f>
        <v>0</v>
      </c>
      <c r="M52" s="30">
        <f>Mulanje!M52+Luchenza!M52+Thyolo!M52+Muloza!M52+MUST!M52+Phalombe!M52+Mikolongwe!M52+Migowi!M52+Nkando!M52</f>
        <v>0</v>
      </c>
      <c r="N52" s="30">
        <f>Mulanje!N52+Luchenza!N52+Thyolo!N52+Muloza!N52+MUST!N52+Phalombe!N52+Mikolongwe!N52+Migowi!N52+Nkando!N52</f>
        <v>0</v>
      </c>
      <c r="O52" s="30">
        <f>Mulanje!O52+Luchenza!O52+Thyolo!O52+Muloza!O52+MUST!O52+Phalombe!O52+Mikolongwe!O52+Migowi!O52+Nkando!O52</f>
        <v>0</v>
      </c>
      <c r="P52" s="35">
        <f>SUM(D52:O52)</f>
        <v>0</v>
      </c>
    </row>
    <row r="53" spans="1:16" ht="15" x14ac:dyDescent="0.25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90"/>
    </row>
    <row r="54" spans="1:16" x14ac:dyDescent="0.25">
      <c r="A54" s="176" t="s">
        <v>124</v>
      </c>
      <c r="B54" s="177"/>
      <c r="C54" s="4" t="s">
        <v>18</v>
      </c>
      <c r="D54" s="30">
        <f>Mulanje!D54+Luchenza!D54+Thyolo!D54+Muloza!D54+MUST!D54+Phalombe!D54+Mikolongwe!D54+Migowi!D54+Nkando!D54</f>
        <v>60862001.990000002</v>
      </c>
      <c r="E54" s="30">
        <f>Mulanje!E54+Luchenza!E54+Thyolo!E54+Muloza!E54+MUST!E54+Phalombe!E54+Mikolongwe!E54+Migowi!E54+Nkando!E54</f>
        <v>62391309.060000002</v>
      </c>
      <c r="F54" s="30">
        <f>Mulanje!F54+Luchenza!F54+Thyolo!F54+Muloza!F54+MUST!F54+Phalombe!F54+Mikolongwe!F54+Migowi!F54+Nkando!F54</f>
        <v>62391309.060000002</v>
      </c>
      <c r="G54" s="30">
        <f>Mulanje!G54+Luchenza!G54+Thyolo!G54+Muloza!G54+MUST!G54+Phalombe!G54+Mikolongwe!G54+Migowi!G54+Nkando!G54</f>
        <v>0</v>
      </c>
      <c r="H54" s="30">
        <f>Mulanje!H54+Luchenza!H54+Thyolo!H54+Muloza!H54+MUST!H54+Phalombe!H54+Mikolongwe!H54+Migowi!H54+Nkando!H54</f>
        <v>0</v>
      </c>
      <c r="I54" s="30">
        <f>Mulanje!I54+Luchenza!I54+Thyolo!I54+Muloza!I54+MUST!I54+Phalombe!I54+Mikolongwe!I54+Migowi!I54+Nkando!I54</f>
        <v>0</v>
      </c>
      <c r="J54" s="30">
        <f>Mulanje!J54+Luchenza!J54+Thyolo!J54+Muloza!J54+MUST!J54+Phalombe!J54+Mikolongwe!J54+Migowi!J54+Nkando!J54</f>
        <v>0</v>
      </c>
      <c r="K54" s="30">
        <f>Mulanje!K54+Luchenza!K54+Thyolo!K54+Muloza!K54+MUST!K54+Phalombe!K54+Mikolongwe!K54+Migowi!K54+Nkando!K54</f>
        <v>0</v>
      </c>
      <c r="L54" s="30">
        <f>Mulanje!L54+Luchenza!L54+Thyolo!L54+Muloza!L54+MUST!L54+Phalombe!L54+Mikolongwe!L54+Migowi!L54+Nkando!L54</f>
        <v>0</v>
      </c>
      <c r="M54" s="30">
        <f>Mulanje!M54+Luchenza!M54+Thyolo!M54+Muloza!M54+MUST!M54+Phalombe!M54+Mikolongwe!M54+Migowi!M54+Nkando!M54</f>
        <v>0</v>
      </c>
      <c r="N54" s="30">
        <f>Mulanje!N54+Luchenza!N54+Thyolo!N54+Muloza!N54+MUST!N54+Phalombe!N54+Mikolongwe!N54+Migowi!N54+Nkando!N54</f>
        <v>0</v>
      </c>
      <c r="O54" s="30">
        <f>Mulanje!O54+Luchenza!O54+Thyolo!O54+Muloza!O54+MUST!O54+Phalombe!O54+Mikolongwe!O54+Migowi!O54+Nkando!O54</f>
        <v>0</v>
      </c>
      <c r="P54" s="34">
        <f>SUM(D54:O54)</f>
        <v>185644620.11000001</v>
      </c>
    </row>
    <row r="55" spans="1:16" x14ac:dyDescent="0.25">
      <c r="A55" s="68" t="s">
        <v>123</v>
      </c>
      <c r="B55" s="69"/>
      <c r="C55" s="4" t="s">
        <v>18</v>
      </c>
      <c r="D55" s="30">
        <f>Mulanje!D55+Luchenza!D55+Thyolo!D55+Muloza!D55+MUST!D55+Phalombe!D55+Mikolongwe!D55+Migowi!D55+Nkando!D55</f>
        <v>10695762.162</v>
      </c>
      <c r="E55" s="30">
        <f>Mulanje!E55+Luchenza!E55+Thyolo!E55+Muloza!E55+MUST!E55+Phalombe!E55+Mikolongwe!E55+Migowi!E55+Nkando!E55</f>
        <v>13467197.675000001</v>
      </c>
      <c r="F55" s="30">
        <f>Mulanje!F55+Luchenza!F55+Thyolo!F55+Muloza!F55+MUST!F55+Phalombe!F55+Mikolongwe!F55+Migowi!F55+Nkando!F55</f>
        <v>17143962.934</v>
      </c>
      <c r="G55" s="30">
        <f>Mulanje!G55+Luchenza!G55+Thyolo!G55+Muloza!G55+MUST!G55+Phalombe!G55+Mikolongwe!G55+Migowi!G55+Nkando!G55</f>
        <v>0</v>
      </c>
      <c r="H55" s="30">
        <f>Mulanje!H55+Luchenza!H55+Thyolo!H55+Muloza!H55+MUST!H55+Phalombe!H55+Mikolongwe!H55+Migowi!H55+Nkando!H55</f>
        <v>0</v>
      </c>
      <c r="I55" s="30">
        <f>Mulanje!I55+Luchenza!I55+Thyolo!I55+Muloza!I55+MUST!I55+Phalombe!I55+Mikolongwe!I55+Migowi!I55+Nkando!I55</f>
        <v>0</v>
      </c>
      <c r="J55" s="30">
        <f>Mulanje!J55+Luchenza!J55+Thyolo!J55+Muloza!J55+MUST!J55+Phalombe!J55+Mikolongwe!J55+Migowi!J55+Nkando!J55</f>
        <v>0</v>
      </c>
      <c r="K55" s="30">
        <f>Mulanje!K55+Luchenza!K55+Thyolo!K55+Muloza!K55+MUST!K55+Phalombe!K55+Mikolongwe!K55+Migowi!K55+Nkando!K55</f>
        <v>0</v>
      </c>
      <c r="L55" s="30">
        <f>Mulanje!L55+Luchenza!L55+Thyolo!L55+Muloza!L55+MUST!L55+Phalombe!L55+Mikolongwe!L55+Migowi!L55+Nkando!L55</f>
        <v>0</v>
      </c>
      <c r="M55" s="30">
        <f>Mulanje!M55+Luchenza!M55+Thyolo!M55+Muloza!M55+MUST!M55+Phalombe!M55+Mikolongwe!M55+Migowi!M55+Nkando!M55</f>
        <v>0</v>
      </c>
      <c r="N55" s="30">
        <f>Mulanje!N55+Luchenza!N55+Thyolo!N55+Muloza!N55+MUST!N55+Phalombe!N55+Mikolongwe!N55+Migowi!N55+Nkando!N55</f>
        <v>0</v>
      </c>
      <c r="O55" s="30">
        <f>Mulanje!O55+Luchenza!O55+Thyolo!O55+Muloza!O55+MUST!O55+Phalombe!O55+Mikolongwe!O55+Migowi!O55+Nkando!O55</f>
        <v>0</v>
      </c>
      <c r="P55" s="34">
        <f>SUM(D55:O55)</f>
        <v>41306922.770999998</v>
      </c>
    </row>
    <row r="56" spans="1:16" x14ac:dyDescent="0.25">
      <c r="A56" s="176" t="s">
        <v>122</v>
      </c>
      <c r="B56" s="177"/>
      <c r="C56" s="4" t="s">
        <v>18</v>
      </c>
      <c r="D56" s="30">
        <f>Mulanje!D56+Luchenza!D56+Thyolo!D56+Muloza!D56+MUST!D56+Phalombe!D56+Mikolongwe!D56+Migowi!D56+Nkando!D56</f>
        <v>30924410.220000003</v>
      </c>
      <c r="E56" s="30">
        <f>Mulanje!E56+Luchenza!E56+Thyolo!E56+Muloza!E56+MUST!E56+Phalombe!E56+Mikolongwe!E56+Migowi!E56+Nkando!E56</f>
        <v>24224932.010000002</v>
      </c>
      <c r="F56" s="30">
        <f>Mulanje!F56+Luchenza!F56+Thyolo!F56+Muloza!F56+MUST!F56+Phalombe!F56+Mikolongwe!F56+Migowi!F56+Nkando!F56</f>
        <v>11987820.59</v>
      </c>
      <c r="G56" s="30">
        <f>Mulanje!G56+Luchenza!G56+Thyolo!G56+Muloza!G56+MUST!G56+Phalombe!G56+Mikolongwe!G56+Migowi!G56+Nkando!G56</f>
        <v>0</v>
      </c>
      <c r="H56" s="30">
        <f>Mulanje!H56+Luchenza!H56+Thyolo!H56+Muloza!H56+MUST!H56+Phalombe!H56+Mikolongwe!H56+Migowi!H56+Nkando!H56</f>
        <v>0</v>
      </c>
      <c r="I56" s="30">
        <f>Mulanje!I56+Luchenza!I56+Thyolo!I56+Muloza!I56+MUST!I56+Phalombe!I56+Mikolongwe!I56+Migowi!I56+Nkando!I56</f>
        <v>0</v>
      </c>
      <c r="J56" s="30">
        <f>Mulanje!J56+Luchenza!J56+Thyolo!J56+Muloza!J56+MUST!J56+Phalombe!J56+Mikolongwe!J56+Migowi!J56+Nkando!J56</f>
        <v>0</v>
      </c>
      <c r="K56" s="30">
        <f>Mulanje!K56+Luchenza!K56+Thyolo!K56+Muloza!K56+MUST!K56+Phalombe!K56+Mikolongwe!K56+Migowi!K56+Nkando!K56</f>
        <v>0</v>
      </c>
      <c r="L56" s="30">
        <f>Mulanje!L56+Luchenza!L56+Thyolo!L56+Muloza!L56+MUST!L56+Phalombe!L56+Mikolongwe!L56+Migowi!L56+Nkando!L56</f>
        <v>0</v>
      </c>
      <c r="M56" s="30">
        <f>Mulanje!M56+Luchenza!M56+Thyolo!M56+Muloza!M56+MUST!M56+Phalombe!M56+Mikolongwe!M56+Migowi!M56+Nkando!M56</f>
        <v>0</v>
      </c>
      <c r="N56" s="30">
        <f>Mulanje!N56+Luchenza!N56+Thyolo!N56+Muloza!N56+MUST!N56+Phalombe!N56+Mikolongwe!N56+Migowi!N56+Nkando!N56</f>
        <v>0</v>
      </c>
      <c r="O56" s="30">
        <f>Mulanje!O56+Luchenza!O56+Thyolo!O56+Muloza!O56+MUST!O56+Phalombe!O56+Mikolongwe!O56+Migowi!O56+Nkando!O56</f>
        <v>0</v>
      </c>
      <c r="P56" s="34">
        <f>SUM(D56:O56)</f>
        <v>67137162.820000008</v>
      </c>
    </row>
    <row r="57" spans="1:16" ht="15" x14ac:dyDescent="0.25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90"/>
    </row>
    <row r="58" spans="1:16" x14ac:dyDescent="0.25">
      <c r="A58" s="176" t="s">
        <v>120</v>
      </c>
      <c r="B58" s="177"/>
      <c r="C58" s="4" t="s">
        <v>18</v>
      </c>
      <c r="D58" s="11">
        <f>D41+D46+D51+D52+D54+D55+D56</f>
        <v>129269027.78690001</v>
      </c>
      <c r="E58" s="11">
        <f t="shared" ref="E58:O58" si="14">E41+E46+E51+E52+E54+E55+E56</f>
        <v>119792507.42500001</v>
      </c>
      <c r="F58" s="11">
        <f t="shared" si="14"/>
        <v>107878892.50170001</v>
      </c>
      <c r="G58" s="11">
        <f t="shared" si="14"/>
        <v>16426.5</v>
      </c>
      <c r="H58" s="11">
        <f t="shared" si="14"/>
        <v>16426.5</v>
      </c>
      <c r="I58" s="11">
        <f t="shared" si="14"/>
        <v>16426.5</v>
      </c>
      <c r="J58" s="11">
        <f t="shared" si="14"/>
        <v>16426.5</v>
      </c>
      <c r="K58" s="11">
        <f t="shared" si="14"/>
        <v>16426.5</v>
      </c>
      <c r="L58" s="11">
        <f t="shared" si="14"/>
        <v>16426.5</v>
      </c>
      <c r="M58" s="11">
        <f t="shared" si="14"/>
        <v>16426.5</v>
      </c>
      <c r="N58" s="11">
        <f t="shared" si="14"/>
        <v>16426.5</v>
      </c>
      <c r="O58" s="11">
        <f t="shared" si="14"/>
        <v>0</v>
      </c>
      <c r="P58" s="59">
        <f>SUM(D58:O58)</f>
        <v>357071839.71360004</v>
      </c>
    </row>
    <row r="59" spans="1:16" x14ac:dyDescent="0.25">
      <c r="A59" s="176" t="s">
        <v>119</v>
      </c>
      <c r="B59" s="177"/>
      <c r="C59" s="4" t="s">
        <v>117</v>
      </c>
      <c r="D59" s="13">
        <f t="shared" ref="D59:P59" si="15">D58/D9</f>
        <v>1146.6932883910515</v>
      </c>
      <c r="E59" s="13">
        <f t="shared" si="15"/>
        <v>969.71285172503121</v>
      </c>
      <c r="F59" s="13">
        <f t="shared" si="15"/>
        <v>886.78272861687446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2">
        <f t="shared" si="15"/>
        <v>997.63588227918137</v>
      </c>
    </row>
    <row r="60" spans="1:16" x14ac:dyDescent="0.25">
      <c r="A60" s="176" t="s">
        <v>118</v>
      </c>
      <c r="B60" s="177"/>
      <c r="C60" s="4" t="s">
        <v>117</v>
      </c>
      <c r="D60" s="13">
        <f>D58/D22</f>
        <v>1602.4094184612047</v>
      </c>
      <c r="E60" s="13">
        <f t="shared" ref="E60:O60" si="16">E58/E22</f>
        <v>1350.2722403071327</v>
      </c>
      <c r="F60" s="13">
        <f t="shared" si="16"/>
        <v>1247.0539089518768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3">
        <f>P58/P22</f>
        <v>1395.3789646135876</v>
      </c>
    </row>
    <row r="61" spans="1:16" x14ac:dyDescent="0.25">
      <c r="A61" s="176" t="s">
        <v>116</v>
      </c>
      <c r="B61" s="177"/>
      <c r="C61" s="4" t="s">
        <v>3</v>
      </c>
      <c r="D61" s="30">
        <f>Mulanje!D61+Luchenza!D61+Thyolo!D61+Muloza!D61+MUST!D61+Phalombe!D61+Mikolongwe!D61+Migowi!D61+Nkando!D61</f>
        <v>44</v>
      </c>
      <c r="E61" s="30">
        <f>Mulanje!E61+Luchenza!E61+Thyolo!E61+Muloza!E61+MUST!E61+Phalombe!E61+Mikolongwe!E61+Migowi!E61+Nkando!E61</f>
        <v>44</v>
      </c>
      <c r="F61" s="30">
        <f>Mulanje!F61+Luchenza!F61+Thyolo!F61+Muloza!F61+MUST!F61+Phalombe!F61+Mikolongwe!F61+Migowi!F61+Nkando!F61</f>
        <v>44</v>
      </c>
      <c r="G61" s="30">
        <f>Mulanje!G61+Luchenza!G61+Thyolo!G61+Muloza!G61+MUST!G61+Phalombe!G61+Mikolongwe!G61+Migowi!G61+Nkando!G61</f>
        <v>0</v>
      </c>
      <c r="H61" s="30">
        <f>Mulanje!H61+Luchenza!H61+Thyolo!H61+Muloza!H61+MUST!H61+Phalombe!H61+Mikolongwe!H61+Migowi!H61+Nkando!H61</f>
        <v>0</v>
      </c>
      <c r="I61" s="30">
        <f>Mulanje!I61+Luchenza!I61+Thyolo!I61+Muloza!I61+MUST!I61+Phalombe!I61+Mikolongwe!I61+Migowi!I61+Nkando!I61</f>
        <v>0</v>
      </c>
      <c r="J61" s="30">
        <f>Mulanje!J61+Luchenza!J61+Thyolo!J61+Muloza!J61+MUST!J61+Phalombe!J61+Mikolongwe!J61+Migowi!J61+Nkando!J61</f>
        <v>0</v>
      </c>
      <c r="K61" s="30">
        <f>Mulanje!K61+Luchenza!K61+Thyolo!K61+Muloza!K61+MUST!K61+Phalombe!K61+Mikolongwe!K61+Migowi!K61+Nkando!K61</f>
        <v>0</v>
      </c>
      <c r="L61" s="30">
        <f>Mulanje!L61+Luchenza!L61+Thyolo!L61+Muloza!L61+MUST!L61+Phalombe!L61+Mikolongwe!L61+Migowi!L61+Nkando!L61</f>
        <v>0</v>
      </c>
      <c r="M61" s="30">
        <f>Mulanje!M61+Luchenza!M61+Thyolo!M61+Muloza!M61+MUST!M61+Phalombe!M61+Mikolongwe!M61+Migowi!M61+Nkando!M61</f>
        <v>0</v>
      </c>
      <c r="N61" s="30">
        <f>Mulanje!N61+Luchenza!N61+Thyolo!N61+Muloza!N61+MUST!N61+Phalombe!N61+Mikolongwe!N61+Migowi!N61+Nkando!N61</f>
        <v>0</v>
      </c>
      <c r="O61" s="30">
        <f>Mulanje!O61+Luchenza!O61+Thyolo!O61+Muloza!O61+MUST!O61+Phalombe!O61+Mikolongwe!O61+Migowi!O61+Nkando!O61</f>
        <v>0</v>
      </c>
      <c r="P61" s="34">
        <f>O61</f>
        <v>0</v>
      </c>
    </row>
    <row r="62" spans="1:16" ht="15.6" customHeight="1" x14ac:dyDescent="0.25">
      <c r="A62" s="176" t="s">
        <v>115</v>
      </c>
      <c r="B62" s="177"/>
      <c r="C62" s="4" t="s">
        <v>114</v>
      </c>
      <c r="D62" s="13">
        <f t="shared" ref="D62:P62" si="17">(D61*1000*31)/D9</f>
        <v>12.099492601923146</v>
      </c>
      <c r="E62" s="13">
        <f t="shared" si="17"/>
        <v>11.041494649246362</v>
      </c>
      <c r="F62" s="13">
        <f t="shared" si="17"/>
        <v>11.212310525104396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2">
        <f t="shared" si="17"/>
        <v>0</v>
      </c>
    </row>
    <row r="63" spans="1:16" x14ac:dyDescent="0.25">
      <c r="A63" s="193" t="s">
        <v>113</v>
      </c>
      <c r="B63" s="194"/>
      <c r="C63" s="33" t="s">
        <v>3</v>
      </c>
      <c r="D63" s="30">
        <f>Mulanje!D63+Luchenza!D63+Thyolo!D63+Muloza!D63+MUST!D63+Phalombe!D63+Mikolongwe!D63+Migowi!D63+Nkando!D63</f>
        <v>102</v>
      </c>
      <c r="E63" s="30">
        <f>Mulanje!E63+Luchenza!E63+Thyolo!E63+Muloza!E63+MUST!E63+Phalombe!E63+Mikolongwe!E63+Migowi!E63+Nkando!E63</f>
        <v>105</v>
      </c>
      <c r="F63" s="30">
        <f>Mulanje!F63+Luchenza!F63+Thyolo!F63+Muloza!F63+MUST!F63+Phalombe!F63+Mikolongwe!F63+Migowi!F63+Nkando!F63</f>
        <v>107</v>
      </c>
      <c r="G63" s="30">
        <f>Mulanje!G63+Luchenza!G63+Thyolo!G63+Muloza!G63+MUST!G63+Phalombe!G63+Mikolongwe!G63+Migowi!G63+Nkando!G63</f>
        <v>0</v>
      </c>
      <c r="H63" s="30">
        <f>Mulanje!H63+Luchenza!H63+Thyolo!H63+Muloza!H63+MUST!H63+Phalombe!H63+Mikolongwe!H63+Migowi!H63+Nkando!H63</f>
        <v>0</v>
      </c>
      <c r="I63" s="30">
        <f>Mulanje!I63+Luchenza!I63+Thyolo!I63+Muloza!I63+MUST!I63+Phalombe!I63+Mikolongwe!I63+Migowi!I63+Nkando!I63</f>
        <v>0</v>
      </c>
      <c r="J63" s="30">
        <f>Mulanje!J63+Luchenza!J63+Thyolo!J63+Muloza!J63+MUST!J63+Phalombe!J63+Mikolongwe!J63+Migowi!J63+Nkando!J63</f>
        <v>0</v>
      </c>
      <c r="K63" s="30">
        <f>Mulanje!K63+Luchenza!K63+Thyolo!K63+Muloza!K63+MUST!K63+Phalombe!K63+Mikolongwe!K63+Migowi!K63+Nkando!K63</f>
        <v>0</v>
      </c>
      <c r="L63" s="30">
        <f>Mulanje!L63+Luchenza!L63+Thyolo!L63+Muloza!L63+MUST!L63+Phalombe!L63+Mikolongwe!L63+Migowi!L63+Nkando!L63</f>
        <v>0</v>
      </c>
      <c r="M63" s="30">
        <f>Mulanje!M63+Luchenza!M63+Thyolo!M63+Muloza!M63+MUST!M63+Phalombe!M63+Mikolongwe!M63+Migowi!M63+Nkando!M63</f>
        <v>0</v>
      </c>
      <c r="N63" s="30">
        <f>Mulanje!N63+Luchenza!N63+Thyolo!N63+Muloza!N63+MUST!N63+Phalombe!N63+Mikolongwe!N63+Migowi!N63+Nkando!N63</f>
        <v>0</v>
      </c>
      <c r="O63" s="30">
        <f>Mulanje!O63+Luchenza!O63+Thyolo!O63+Muloza!O63+MUST!O63+Phalombe!O63+Mikolongwe!O63+Migowi!O63+Nkando!O63</f>
        <v>0</v>
      </c>
      <c r="P63" s="34">
        <f>SUM(D63:O63)</f>
        <v>314</v>
      </c>
    </row>
    <row r="64" spans="1:16" ht="15" x14ac:dyDescent="0.25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</row>
    <row r="65" spans="1:16" ht="14.45" customHeight="1" x14ac:dyDescent="0.25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0"/>
    </row>
    <row r="66" spans="1:16" x14ac:dyDescent="0.25">
      <c r="A66" s="173" t="s">
        <v>111</v>
      </c>
      <c r="B66" s="21" t="s">
        <v>85</v>
      </c>
      <c r="C66" s="4" t="s">
        <v>3</v>
      </c>
      <c r="D66" s="22">
        <f>Mulanje!D66+Luchenza!D66+Thyolo!D66+Muloza!D66+MUST!D66+Phalombe!D66+Mikolongwe!D66+Migowi!D66+Nkando!D66</f>
        <v>153</v>
      </c>
      <c r="E66" s="22">
        <f>Mulanje!E66+Luchenza!E66+Thyolo!E66+Muloza!E66+MUST!E66+Phalombe!E66+Mikolongwe!E66+Migowi!E66+Nkando!E66</f>
        <v>189</v>
      </c>
      <c r="F66" s="22">
        <f>Mulanje!F66+Luchenza!F66+Thyolo!F66+Muloza!F66+MUST!F66+Phalombe!F66+Mikolongwe!F66+Migowi!F66+Nkando!F66</f>
        <v>196</v>
      </c>
      <c r="G66" s="22">
        <f>Mulanje!G66+Luchenza!G66+Thyolo!G66+Muloza!G66+MUST!G66+Phalombe!G66+Mikolongwe!G66+Migowi!G66+Nkando!G66</f>
        <v>191</v>
      </c>
      <c r="H66" s="22">
        <f>Mulanje!H66+Luchenza!H66+Thyolo!H66+Muloza!H66+MUST!H66+Phalombe!H66+Mikolongwe!H66+Migowi!H66+Nkando!H66</f>
        <v>191</v>
      </c>
      <c r="I66" s="22">
        <f>Mulanje!I66+Luchenza!I66+Thyolo!I66+Muloza!I66+MUST!I66+Phalombe!I66+Mikolongwe!I66+Migowi!I66+Nkando!I66</f>
        <v>191</v>
      </c>
      <c r="J66" s="22">
        <f>Mulanje!J66+Luchenza!J66+Thyolo!J66+Muloza!J66+MUST!J66+Phalombe!J66+Mikolongwe!J66+Migowi!J66+Nkando!J66</f>
        <v>191</v>
      </c>
      <c r="K66" s="22">
        <f>Mulanje!K66+Luchenza!K66+Thyolo!K66+Muloza!K66+MUST!K66+Phalombe!K66+Mikolongwe!K66+Migowi!K66+Nkando!K66</f>
        <v>191</v>
      </c>
      <c r="L66" s="22">
        <f>Mulanje!L66+Luchenza!L66+Thyolo!L66+Muloza!L66+MUST!L66+Phalombe!L66+Mikolongwe!L66+Migowi!L66+Nkando!L66</f>
        <v>191</v>
      </c>
      <c r="M66" s="22">
        <f>Mulanje!M66+Luchenza!M66+Thyolo!M66+Muloza!M66+MUST!M66+Phalombe!M66+Mikolongwe!M66+Migowi!M66+Nkando!M66</f>
        <v>191</v>
      </c>
      <c r="N66" s="22">
        <f>Mulanje!N66+Luchenza!N66+Thyolo!N66+Muloza!N66+MUST!N66+Phalombe!N66+Mikolongwe!N66+Migowi!N66+Nkando!N66</f>
        <v>191</v>
      </c>
      <c r="O66" s="22">
        <f>Mulanje!O66+Luchenza!O66+Thyolo!O66+Muloza!O66+MUST!O66+Phalombe!O66+Mikolongwe!O66+Migowi!O66+Nkando!O66</f>
        <v>132</v>
      </c>
      <c r="P66" s="31">
        <f>D66</f>
        <v>153</v>
      </c>
    </row>
    <row r="67" spans="1:16" x14ac:dyDescent="0.25">
      <c r="A67" s="174"/>
      <c r="B67" s="21" t="s">
        <v>106</v>
      </c>
      <c r="C67" s="4" t="s">
        <v>3</v>
      </c>
      <c r="D67" s="22">
        <f>Mulanje!D67+Luchenza!D67+Thyolo!D67+Muloza!D67+MUST!D67+Phalombe!D67+Mikolongwe!D67+Migowi!D67+Nkando!D67</f>
        <v>72</v>
      </c>
      <c r="E67" s="22">
        <f>Mulanje!E67+Luchenza!E67+Thyolo!E67+Muloza!E67+MUST!E67+Phalombe!E67+Mikolongwe!E67+Migowi!E67+Nkando!E67</f>
        <v>68</v>
      </c>
      <c r="F67" s="22">
        <f>Mulanje!F67+Luchenza!F67+Thyolo!F67+Muloza!F67+MUST!F67+Phalombe!F67+Mikolongwe!F67+Migowi!F67+Nkando!F67</f>
        <v>97</v>
      </c>
      <c r="G67" s="22">
        <f>Mulanje!G67+Luchenza!G67+Thyolo!G67+Muloza!G67+MUST!G67+Phalombe!G67+Mikolongwe!G67+Migowi!G67+Nkando!G67</f>
        <v>0</v>
      </c>
      <c r="H67" s="22">
        <f>Mulanje!H67+Luchenza!H67+Thyolo!H67+Muloza!H67+MUST!H67+Phalombe!H67+Mikolongwe!H67+Migowi!H67+Nkando!H67</f>
        <v>0</v>
      </c>
      <c r="I67" s="22">
        <f>Mulanje!I67+Luchenza!I67+Thyolo!I67+Muloza!I67+MUST!I67+Phalombe!I67+Mikolongwe!I67+Migowi!I67+Nkando!I67</f>
        <v>0</v>
      </c>
      <c r="J67" s="22">
        <f>Mulanje!J67+Luchenza!J67+Thyolo!J67+Muloza!J67+MUST!J67+Phalombe!J67+Mikolongwe!J67+Migowi!J67+Nkando!J67</f>
        <v>0</v>
      </c>
      <c r="K67" s="22">
        <f>Mulanje!K67+Luchenza!K67+Thyolo!K67+Muloza!K67+MUST!K67+Phalombe!K67+Mikolongwe!K67+Migowi!K67+Nkando!K67</f>
        <v>0</v>
      </c>
      <c r="L67" s="22">
        <f>Mulanje!L67+Luchenza!L67+Thyolo!L67+Muloza!L67+MUST!L67+Phalombe!L67+Mikolongwe!L67+Migowi!L67+Nkando!L67</f>
        <v>0</v>
      </c>
      <c r="M67" s="22">
        <f>Mulanje!M67+Luchenza!M67+Thyolo!M67+Muloza!M67+MUST!M67+Phalombe!M67+Mikolongwe!M67+Migowi!M67+Nkando!M67</f>
        <v>0</v>
      </c>
      <c r="N67" s="22">
        <f>Mulanje!N67+Luchenza!N67+Thyolo!N67+Muloza!N67+MUST!N67+Phalombe!N67+Mikolongwe!N67+Migowi!N67+Nkando!N67</f>
        <v>0</v>
      </c>
      <c r="O67" s="22">
        <f>Mulanje!O67+Luchenza!O67+Thyolo!O67+Muloza!O67+MUST!O67+Phalombe!O67+Mikolongwe!O67+Migowi!O67+Nkando!O67</f>
        <v>0</v>
      </c>
      <c r="P67" s="31">
        <f>SUM(D67:O67)</f>
        <v>237</v>
      </c>
    </row>
    <row r="68" spans="1:16" ht="26.25" x14ac:dyDescent="0.25">
      <c r="A68" s="174"/>
      <c r="B68" s="21" t="s">
        <v>105</v>
      </c>
      <c r="C68" s="4" t="s">
        <v>3</v>
      </c>
      <c r="D68" s="22">
        <f>Mulanje!D68+Luchenza!D68+Thyolo!D68+Muloza!D68+MUST!D68+Phalombe!D68+Mikolongwe!D68+Migowi!D68+Nkando!D68</f>
        <v>0</v>
      </c>
      <c r="E68" s="22">
        <f>Mulanje!E68+Luchenza!E68+Thyolo!E68+Muloza!E68+MUST!E68+Phalombe!E68+Mikolongwe!E68+Migowi!E68+Nkando!E68</f>
        <v>3</v>
      </c>
      <c r="F68" s="22">
        <f>Mulanje!F68+Luchenza!F68+Thyolo!F68+Muloza!F68+MUST!F68+Phalombe!F68+Mikolongwe!F68+Migowi!F68+Nkando!F68</f>
        <v>16</v>
      </c>
      <c r="G68" s="22">
        <f>Mulanje!G68+Luchenza!G68+Thyolo!G68+Muloza!G68+MUST!G68+Phalombe!G68+Mikolongwe!G68+Migowi!G68+Nkando!G68</f>
        <v>0</v>
      </c>
      <c r="H68" s="22">
        <f>Mulanje!H68+Luchenza!H68+Thyolo!H68+Muloza!H68+MUST!H68+Phalombe!H68+Mikolongwe!H68+Migowi!H68+Nkando!H68</f>
        <v>0</v>
      </c>
      <c r="I68" s="22">
        <f>Mulanje!I68+Luchenza!I68+Thyolo!I68+Muloza!I68+MUST!I68+Phalombe!I68+Mikolongwe!I68+Migowi!I68+Nkando!I68</f>
        <v>0</v>
      </c>
      <c r="J68" s="22">
        <f>Mulanje!J68+Luchenza!J68+Thyolo!J68+Muloza!J68+MUST!J68+Phalombe!J68+Mikolongwe!J68+Migowi!J68+Nkando!J68</f>
        <v>0</v>
      </c>
      <c r="K68" s="22">
        <f>Mulanje!K68+Luchenza!K68+Thyolo!K68+Muloza!K68+MUST!K68+Phalombe!K68+Mikolongwe!K68+Migowi!K68+Nkando!K68</f>
        <v>0</v>
      </c>
      <c r="L68" s="22">
        <f>Mulanje!L68+Luchenza!L68+Thyolo!L68+Muloza!L68+MUST!L68+Phalombe!L68+Mikolongwe!L68+Migowi!L68+Nkando!L68</f>
        <v>0</v>
      </c>
      <c r="M68" s="22">
        <f>Mulanje!M68+Luchenza!M68+Thyolo!M68+Muloza!M68+MUST!M68+Phalombe!M68+Mikolongwe!M68+Migowi!M68+Nkando!M68</f>
        <v>0</v>
      </c>
      <c r="N68" s="22">
        <f>Mulanje!N68+Luchenza!N68+Thyolo!N68+Muloza!N68+MUST!N68+Phalombe!N68+Mikolongwe!N68+Migowi!N68+Nkando!N68</f>
        <v>0</v>
      </c>
      <c r="O68" s="22">
        <f>Mulanje!O68+Luchenza!O68+Thyolo!O68+Muloza!O68+MUST!O68+Phalombe!O68+Mikolongwe!O68+Migowi!O68+Nkando!O68</f>
        <v>0</v>
      </c>
      <c r="P68" s="31">
        <f t="shared" ref="P68:P69" si="18">SUM(D68:O68)</f>
        <v>19</v>
      </c>
    </row>
    <row r="69" spans="1:16" ht="26.25" x14ac:dyDescent="0.25">
      <c r="A69" s="174"/>
      <c r="B69" s="21" t="s">
        <v>104</v>
      </c>
      <c r="C69" s="4" t="s">
        <v>3</v>
      </c>
      <c r="D69" s="22">
        <f>Mulanje!D69+Luchenza!D69+Thyolo!D69+Muloza!D69+MUST!D69+Phalombe!D69+Mikolongwe!D69+Migowi!D69+Nkando!D69</f>
        <v>36</v>
      </c>
      <c r="E69" s="22">
        <f>Mulanje!E69+Luchenza!E69+Thyolo!E69+Muloza!E69+MUST!E69+Phalombe!E69+Mikolongwe!E69+Migowi!E69+Nkando!E69</f>
        <v>58</v>
      </c>
      <c r="F69" s="22">
        <f>Mulanje!F69+Luchenza!F69+Thyolo!F69+Muloza!F69+MUST!F69+Phalombe!F69+Mikolongwe!F69+Migowi!F69+Nkando!F69</f>
        <v>86</v>
      </c>
      <c r="G69" s="22">
        <f>Mulanje!G69+Luchenza!G69+Thyolo!G69+Muloza!G69+MUST!G69+Phalombe!G69+Mikolongwe!G69+Migowi!G69+Nkando!G69</f>
        <v>0</v>
      </c>
      <c r="H69" s="22">
        <f>Mulanje!H69+Luchenza!H69+Thyolo!H69+Muloza!H69+MUST!H69+Phalombe!H69+Mikolongwe!H69+Migowi!H69+Nkando!H69</f>
        <v>0</v>
      </c>
      <c r="I69" s="22">
        <f>Mulanje!I69+Luchenza!I69+Thyolo!I69+Muloza!I69+MUST!I69+Phalombe!I69+Mikolongwe!I69+Migowi!I69+Nkando!I69</f>
        <v>0</v>
      </c>
      <c r="J69" s="22">
        <f>Mulanje!J69+Luchenza!J69+Thyolo!J69+Muloza!J69+MUST!J69+Phalombe!J69+Mikolongwe!J69+Migowi!J69+Nkando!J69</f>
        <v>0</v>
      </c>
      <c r="K69" s="22">
        <f>Mulanje!K69+Luchenza!K69+Thyolo!K69+Muloza!K69+MUST!K69+Phalombe!K69+Mikolongwe!K69+Migowi!K69+Nkando!K69</f>
        <v>0</v>
      </c>
      <c r="L69" s="22">
        <f>Mulanje!L69+Luchenza!L69+Thyolo!L69+Muloza!L69+MUST!L69+Phalombe!L69+Mikolongwe!L69+Migowi!L69+Nkando!L69</f>
        <v>0</v>
      </c>
      <c r="M69" s="22">
        <f>Mulanje!M69+Luchenza!M69+Thyolo!M69+Muloza!M69+MUST!M69+Phalombe!M69+Mikolongwe!M69+Migowi!M69+Nkando!M69</f>
        <v>0</v>
      </c>
      <c r="N69" s="22">
        <f>Mulanje!N69+Luchenza!N69+Thyolo!N69+Muloza!N69+MUST!N69+Phalombe!N69+Mikolongwe!N69+Migowi!N69+Nkando!N69</f>
        <v>0</v>
      </c>
      <c r="O69" s="22">
        <f>Mulanje!O69+Luchenza!O69+Thyolo!O69+Muloza!O69+MUST!O69+Phalombe!O69+Mikolongwe!O69+Migowi!O69+Nkando!O69</f>
        <v>0</v>
      </c>
      <c r="P69" s="31">
        <f t="shared" si="18"/>
        <v>180</v>
      </c>
    </row>
    <row r="70" spans="1:16" x14ac:dyDescent="0.25">
      <c r="A70" s="174"/>
      <c r="B70" s="21" t="s">
        <v>190</v>
      </c>
      <c r="C70" s="4" t="s">
        <v>3</v>
      </c>
      <c r="D70" s="22">
        <f>Mulanje!D70+Luchenza!D70+Thyolo!D70+Muloza!D70+MUST!D70+Phalombe!D70+Mikolongwe!D70+Migowi!D70+Nkando!D70</f>
        <v>36</v>
      </c>
      <c r="E70" s="22">
        <f>Mulanje!E70+Luchenza!E70+Thyolo!E70+Muloza!E70+MUST!E70+Phalombe!E70+Mikolongwe!E70+Migowi!E70+Nkando!E70</f>
        <v>61</v>
      </c>
      <c r="F70" s="22">
        <f>Mulanje!F70+Luchenza!F70+Thyolo!F70+Muloza!F70+MUST!F70+Phalombe!F70+Mikolongwe!F70+Migowi!F70+Nkando!F70</f>
        <v>102</v>
      </c>
      <c r="G70" s="22">
        <f>Mulanje!G70+Luchenza!G70+Thyolo!G70+Muloza!G70+MUST!G70+Phalombe!G70+Mikolongwe!G70+Migowi!G70+Nkando!G70</f>
        <v>0</v>
      </c>
      <c r="H70" s="22">
        <f>Mulanje!H70+Luchenza!H70+Thyolo!H70+Muloza!H70+MUST!H70+Phalombe!H70+Mikolongwe!H70+Migowi!H70+Nkando!H70</f>
        <v>0</v>
      </c>
      <c r="I70" s="22">
        <f>Mulanje!I70+Luchenza!I70+Thyolo!I70+Muloza!I70+MUST!I70+Phalombe!I70+Mikolongwe!I70+Migowi!I70+Nkando!I70</f>
        <v>0</v>
      </c>
      <c r="J70" s="22">
        <f>Mulanje!J70+Luchenza!J70+Thyolo!J70+Muloza!J70+MUST!J70+Phalombe!J70+Mikolongwe!J70+Migowi!J70+Nkando!J70</f>
        <v>0</v>
      </c>
      <c r="K70" s="22">
        <f>Mulanje!K70+Luchenza!K70+Thyolo!K70+Muloza!K70+MUST!K70+Phalombe!K70+Mikolongwe!K70+Migowi!K70+Nkando!K70</f>
        <v>0</v>
      </c>
      <c r="L70" s="22">
        <f>Mulanje!L70+Luchenza!L70+Thyolo!L70+Muloza!L70+MUST!L70+Phalombe!L70+Mikolongwe!L70+Migowi!L70+Nkando!L70</f>
        <v>0</v>
      </c>
      <c r="M70" s="22">
        <f>Mulanje!M70+Luchenza!M70+Thyolo!M70+Muloza!M70+MUST!M70+Phalombe!M70+Mikolongwe!M70+Migowi!M70+Nkando!M70</f>
        <v>0</v>
      </c>
      <c r="N70" s="22">
        <f>Mulanje!N70+Luchenza!N70+Thyolo!N70+Muloza!N70+MUST!N70+Phalombe!N70+Mikolongwe!N70+Migowi!N70+Nkando!N70</f>
        <v>0</v>
      </c>
      <c r="O70" s="22">
        <f>Mulanje!O70+Luchenza!O70+Thyolo!O70+Muloza!O70+MUST!O70+Phalombe!O70+Mikolongwe!O70+Migowi!O70+Nkando!O70</f>
        <v>0</v>
      </c>
      <c r="P70" s="94">
        <f t="shared" ref="P70" si="19">P68+P69</f>
        <v>199</v>
      </c>
    </row>
    <row r="71" spans="1:16" x14ac:dyDescent="0.25">
      <c r="A71" s="175"/>
      <c r="B71" s="21" t="s">
        <v>81</v>
      </c>
      <c r="C71" s="4" t="s">
        <v>3</v>
      </c>
      <c r="D71" s="22">
        <f>Mulanje!D71+Luchenza!D71+Thyolo!D71+Muloza!D71+MUST!D71+Phalombe!D71+Mikolongwe!D71+Migowi!D71+Nkando!D71</f>
        <v>189</v>
      </c>
      <c r="E71" s="22">
        <f>Mulanje!E71+Luchenza!E71+Thyolo!E71+Muloza!E71+MUST!E71+Phalombe!E71+Mikolongwe!E71+Migowi!E71+Nkando!E71</f>
        <v>196</v>
      </c>
      <c r="F71" s="22">
        <f>Mulanje!F71+Luchenza!F71+Thyolo!F71+Muloza!F71+MUST!F71+Phalombe!F71+Mikolongwe!F71+Migowi!F71+Nkando!F71</f>
        <v>191</v>
      </c>
      <c r="G71" s="22">
        <f>Mulanje!G71+Luchenza!G71+Thyolo!G71+Muloza!G71+MUST!G71+Phalombe!G71+Mikolongwe!G71+Migowi!G71+Nkando!G71</f>
        <v>191</v>
      </c>
      <c r="H71" s="22">
        <f>Mulanje!H71+Luchenza!H71+Thyolo!H71+Muloza!H71+MUST!H71+Phalombe!H71+Mikolongwe!H71+Migowi!H71+Nkando!H71</f>
        <v>191</v>
      </c>
      <c r="I71" s="22">
        <f>Mulanje!I71+Luchenza!I71+Thyolo!I71+Muloza!I71+MUST!I71+Phalombe!I71+Mikolongwe!I71+Migowi!I71+Nkando!I71</f>
        <v>191</v>
      </c>
      <c r="J71" s="22">
        <f>Mulanje!J71+Luchenza!J71+Thyolo!J71+Muloza!J71+MUST!J71+Phalombe!J71+Mikolongwe!J71+Migowi!J71+Nkando!J71</f>
        <v>191</v>
      </c>
      <c r="K71" s="22">
        <f>Mulanje!K71+Luchenza!K71+Thyolo!K71+Muloza!K71+MUST!K71+Phalombe!K71+Mikolongwe!K71+Migowi!K71+Nkando!K71</f>
        <v>191</v>
      </c>
      <c r="L71" s="22">
        <f>Mulanje!L71+Luchenza!L71+Thyolo!L71+Muloza!L71+MUST!L71+Phalombe!L71+Mikolongwe!L71+Migowi!L71+Nkando!L71</f>
        <v>191</v>
      </c>
      <c r="M71" s="22">
        <f>Mulanje!M71+Luchenza!M71+Thyolo!M71+Muloza!M71+MUST!M71+Phalombe!M71+Mikolongwe!M71+Migowi!M71+Nkando!M71</f>
        <v>191</v>
      </c>
      <c r="N71" s="22">
        <f>Mulanje!N71+Luchenza!N71+Thyolo!N71+Muloza!N71+MUST!N71+Phalombe!N71+Mikolongwe!N71+Migowi!N71+Nkando!N71</f>
        <v>191</v>
      </c>
      <c r="O71" s="22">
        <f>Mulanje!O71+Luchenza!O71+Thyolo!O71+Muloza!O71+MUST!O71+Phalombe!O71+Mikolongwe!O71+Migowi!O71+Nkando!O71</f>
        <v>0</v>
      </c>
      <c r="P71" s="95">
        <f>P66+P67-P70</f>
        <v>191</v>
      </c>
    </row>
    <row r="72" spans="1:16" x14ac:dyDescent="0.25">
      <c r="A72" s="173" t="s">
        <v>110</v>
      </c>
      <c r="B72" s="21" t="s">
        <v>85</v>
      </c>
      <c r="C72" s="4" t="s">
        <v>3</v>
      </c>
      <c r="D72" s="22">
        <f>Mulanje!D72+Luchenza!D72+Thyolo!D72+Muloza!D72+MUST!D72+Phalombe!D72+Mikolongwe!D72+Migowi!D72+Nkando!D72</f>
        <v>0</v>
      </c>
      <c r="E72" s="22">
        <f>Mulanje!E72+Luchenza!E72+Thyolo!E72+Muloza!E72+MUST!E72+Phalombe!E72+Mikolongwe!E72+Migowi!E72+Nkando!E72</f>
        <v>2</v>
      </c>
      <c r="F72" s="22">
        <f>Mulanje!F72+Luchenza!F72+Thyolo!F72+Muloza!F72+MUST!F72+Phalombe!F72+Mikolongwe!F72+Migowi!F72+Nkando!F72</f>
        <v>0</v>
      </c>
      <c r="G72" s="22">
        <f>Mulanje!G72+Luchenza!G72+Thyolo!G72+Muloza!G72+MUST!G72+Phalombe!G72+Mikolongwe!G72+Migowi!G72+Nkando!G72</f>
        <v>0</v>
      </c>
      <c r="H72" s="22">
        <f>Mulanje!H72+Luchenza!H72+Thyolo!H72+Muloza!H72+MUST!H72+Phalombe!H72+Mikolongwe!H72+Migowi!H72+Nkando!H72</f>
        <v>0</v>
      </c>
      <c r="I72" s="22">
        <f>Mulanje!I72+Luchenza!I72+Thyolo!I72+Muloza!I72+MUST!I72+Phalombe!I72+Mikolongwe!I72+Migowi!I72+Nkando!I72</f>
        <v>0</v>
      </c>
      <c r="J72" s="22">
        <f>Mulanje!J72+Luchenza!J72+Thyolo!J72+Muloza!J72+MUST!J72+Phalombe!J72+Mikolongwe!J72+Migowi!J72+Nkando!J72</f>
        <v>0</v>
      </c>
      <c r="K72" s="22">
        <f>Mulanje!K72+Luchenza!K72+Thyolo!K72+Muloza!K72+MUST!K72+Phalombe!K72+Mikolongwe!K72+Migowi!K72+Nkando!K72</f>
        <v>0</v>
      </c>
      <c r="L72" s="22">
        <f>Mulanje!L72+Luchenza!L72+Thyolo!L72+Muloza!L72+MUST!L72+Phalombe!L72+Mikolongwe!L72+Migowi!L72+Nkando!L72</f>
        <v>0</v>
      </c>
      <c r="M72" s="22">
        <f>Mulanje!M72+Luchenza!M72+Thyolo!M72+Muloza!M72+MUST!M72+Phalombe!M72+Mikolongwe!M72+Migowi!M72+Nkando!M72</f>
        <v>0</v>
      </c>
      <c r="N72" s="22">
        <f>Mulanje!N72+Luchenza!N72+Thyolo!N72+Muloza!N72+MUST!N72+Phalombe!N72+Mikolongwe!N72+Migowi!N72+Nkando!N72</f>
        <v>0</v>
      </c>
      <c r="O72" s="22">
        <f>Mulanje!O72+Luchenza!O72+Thyolo!O72+Muloza!O72+MUST!O72+Phalombe!O72+Mikolongwe!O72+Migowi!O72+Nkando!O72</f>
        <v>0</v>
      </c>
      <c r="P72" s="31">
        <f>D72</f>
        <v>0</v>
      </c>
    </row>
    <row r="73" spans="1:16" x14ac:dyDescent="0.25">
      <c r="A73" s="174"/>
      <c r="B73" s="21" t="s">
        <v>106</v>
      </c>
      <c r="C73" s="4" t="s">
        <v>3</v>
      </c>
      <c r="D73" s="22">
        <f>Mulanje!D73+Luchenza!D73+Thyolo!D73+Muloza!D73+MUST!D73+Phalombe!D73+Mikolongwe!D73+Migowi!D73+Nkando!D73</f>
        <v>2</v>
      </c>
      <c r="E73" s="22">
        <f>Mulanje!E73+Luchenza!E73+Thyolo!E73+Muloza!E73+MUST!E73+Phalombe!E73+Mikolongwe!E73+Migowi!E73+Nkando!E73</f>
        <v>0</v>
      </c>
      <c r="F73" s="22">
        <f>Mulanje!F73+Luchenza!F73+Thyolo!F73+Muloza!F73+MUST!F73+Phalombe!F73+Mikolongwe!F73+Migowi!F73+Nkando!F73</f>
        <v>0</v>
      </c>
      <c r="G73" s="22">
        <f>Mulanje!G73+Luchenza!G73+Thyolo!G73+Muloza!G73+MUST!G73+Phalombe!G73+Mikolongwe!G73+Migowi!G73+Nkando!G73</f>
        <v>0</v>
      </c>
      <c r="H73" s="22">
        <f>Mulanje!H73+Luchenza!H73+Thyolo!H73+Muloza!H73+MUST!H73+Phalombe!H73+Mikolongwe!H73+Migowi!H73+Nkando!H73</f>
        <v>0</v>
      </c>
      <c r="I73" s="22">
        <f>Mulanje!I73+Luchenza!I73+Thyolo!I73+Muloza!I73+MUST!I73+Phalombe!I73+Mikolongwe!I73+Migowi!I73+Nkando!I73</f>
        <v>0</v>
      </c>
      <c r="J73" s="22">
        <f>Mulanje!J73+Luchenza!J73+Thyolo!J73+Muloza!J73+MUST!J73+Phalombe!J73+Mikolongwe!J73+Migowi!J73+Nkando!J73</f>
        <v>0</v>
      </c>
      <c r="K73" s="22">
        <f>Mulanje!K73+Luchenza!K73+Thyolo!K73+Muloza!K73+MUST!K73+Phalombe!K73+Mikolongwe!K73+Migowi!K73+Nkando!K73</f>
        <v>0</v>
      </c>
      <c r="L73" s="22">
        <f>Mulanje!L73+Luchenza!L73+Thyolo!L73+Muloza!L73+MUST!L73+Phalombe!L73+Mikolongwe!L73+Migowi!L73+Nkando!L73</f>
        <v>0</v>
      </c>
      <c r="M73" s="22">
        <f>Mulanje!M73+Luchenza!M73+Thyolo!M73+Muloza!M73+MUST!M73+Phalombe!M73+Mikolongwe!M73+Migowi!M73+Nkando!M73</f>
        <v>0</v>
      </c>
      <c r="N73" s="22">
        <f>Mulanje!N73+Luchenza!N73+Thyolo!N73+Muloza!N73+MUST!N73+Phalombe!N73+Mikolongwe!N73+Migowi!N73+Nkando!N73</f>
        <v>0</v>
      </c>
      <c r="O73" s="22">
        <f>Mulanje!O73+Luchenza!O73+Thyolo!O73+Muloza!O73+MUST!O73+Phalombe!O73+Mikolongwe!O73+Migowi!O73+Nkando!O73</f>
        <v>0</v>
      </c>
      <c r="P73" s="31">
        <f>SUM(D73:O73)</f>
        <v>2</v>
      </c>
    </row>
    <row r="74" spans="1:16" ht="26.25" x14ac:dyDescent="0.25">
      <c r="A74" s="174"/>
      <c r="B74" s="21" t="s">
        <v>105</v>
      </c>
      <c r="C74" s="4" t="s">
        <v>3</v>
      </c>
      <c r="D74" s="22">
        <f>Mulanje!D74+Luchenza!D74+Thyolo!D74+Muloza!D74+MUST!D74+Phalombe!D74+Mikolongwe!D74+Migowi!D74+Nkando!D74</f>
        <v>0</v>
      </c>
      <c r="E74" s="22">
        <f>Mulanje!E74+Luchenza!E74+Thyolo!E74+Muloza!E74+MUST!E74+Phalombe!E74+Mikolongwe!E74+Migowi!E74+Nkando!E74</f>
        <v>1</v>
      </c>
      <c r="F74" s="22">
        <f>Mulanje!F74+Luchenza!F74+Thyolo!F74+Muloza!F74+MUST!F74+Phalombe!F74+Mikolongwe!F74+Migowi!F74+Nkando!F74</f>
        <v>0</v>
      </c>
      <c r="G74" s="22">
        <f>Mulanje!G74+Luchenza!G74+Thyolo!G74+Muloza!G74+MUST!G74+Phalombe!G74+Mikolongwe!G74+Migowi!G74+Nkando!G74</f>
        <v>0</v>
      </c>
      <c r="H74" s="22">
        <f>Mulanje!H74+Luchenza!H74+Thyolo!H74+Muloza!H74+MUST!H74+Phalombe!H74+Mikolongwe!H74+Migowi!H74+Nkando!H74</f>
        <v>0</v>
      </c>
      <c r="I74" s="22">
        <f>Mulanje!I74+Luchenza!I74+Thyolo!I74+Muloza!I74+MUST!I74+Phalombe!I74+Mikolongwe!I74+Migowi!I74+Nkando!I74</f>
        <v>0</v>
      </c>
      <c r="J74" s="22">
        <f>Mulanje!J74+Luchenza!J74+Thyolo!J74+Muloza!J74+MUST!J74+Phalombe!J74+Mikolongwe!J74+Migowi!J74+Nkando!J74</f>
        <v>0</v>
      </c>
      <c r="K74" s="22">
        <f>Mulanje!K74+Luchenza!K74+Thyolo!K74+Muloza!K74+MUST!K74+Phalombe!K74+Mikolongwe!K74+Migowi!K74+Nkando!K74</f>
        <v>0</v>
      </c>
      <c r="L74" s="22">
        <f>Mulanje!L74+Luchenza!L74+Thyolo!L74+Muloza!L74+MUST!L74+Phalombe!L74+Mikolongwe!L74+Migowi!L74+Nkando!L74</f>
        <v>0</v>
      </c>
      <c r="M74" s="22">
        <f>Mulanje!M74+Luchenza!M74+Thyolo!M74+Muloza!M74+MUST!M74+Phalombe!M74+Mikolongwe!M74+Migowi!M74+Nkando!M74</f>
        <v>0</v>
      </c>
      <c r="N74" s="22">
        <f>Mulanje!N74+Luchenza!N74+Thyolo!N74+Muloza!N74+MUST!N74+Phalombe!N74+Mikolongwe!N74+Migowi!N74+Nkando!N74</f>
        <v>0</v>
      </c>
      <c r="O74" s="22">
        <f>Mulanje!O74+Luchenza!O74+Thyolo!O74+Muloza!O74+MUST!O74+Phalombe!O74+Mikolongwe!O74+Migowi!O74+Nkando!O74</f>
        <v>0</v>
      </c>
      <c r="P74" s="31">
        <f>SUM(D74:O74)</f>
        <v>1</v>
      </c>
    </row>
    <row r="75" spans="1:16" ht="26.25" x14ac:dyDescent="0.25">
      <c r="A75" s="174"/>
      <c r="B75" s="21" t="s">
        <v>104</v>
      </c>
      <c r="C75" s="4" t="s">
        <v>3</v>
      </c>
      <c r="D75" s="22">
        <f>Mulanje!D75+Luchenza!D75+Thyolo!D75+Muloza!D75+MUST!D75+Phalombe!D75+Mikolongwe!D75+Migowi!D75+Nkando!D75</f>
        <v>0</v>
      </c>
      <c r="E75" s="22">
        <f>Mulanje!E75+Luchenza!E75+Thyolo!E75+Muloza!E75+MUST!E75+Phalombe!E75+Mikolongwe!E75+Migowi!E75+Nkando!E75</f>
        <v>1</v>
      </c>
      <c r="F75" s="22">
        <f>Mulanje!F75+Luchenza!F75+Thyolo!F75+Muloza!F75+MUST!F75+Phalombe!F75+Mikolongwe!F75+Migowi!F75+Nkando!F75</f>
        <v>0</v>
      </c>
      <c r="G75" s="22">
        <f>Mulanje!G75+Luchenza!G75+Thyolo!G75+Muloza!G75+MUST!G75+Phalombe!G75+Mikolongwe!G75+Migowi!G75+Nkando!G75</f>
        <v>0</v>
      </c>
      <c r="H75" s="22">
        <f>Mulanje!H75+Luchenza!H75+Thyolo!H75+Muloza!H75+MUST!H75+Phalombe!H75+Mikolongwe!H75+Migowi!H75+Nkando!H75</f>
        <v>0</v>
      </c>
      <c r="I75" s="22">
        <f>Mulanje!I75+Luchenza!I75+Thyolo!I75+Muloza!I75+MUST!I75+Phalombe!I75+Mikolongwe!I75+Migowi!I75+Nkando!I75</f>
        <v>0</v>
      </c>
      <c r="J75" s="22">
        <f>Mulanje!J75+Luchenza!J75+Thyolo!J75+Muloza!J75+MUST!J75+Phalombe!J75+Mikolongwe!J75+Migowi!J75+Nkando!J75</f>
        <v>0</v>
      </c>
      <c r="K75" s="22">
        <f>Mulanje!K75+Luchenza!K75+Thyolo!K75+Muloza!K75+MUST!K75+Phalombe!K75+Mikolongwe!K75+Migowi!K75+Nkando!K75</f>
        <v>0</v>
      </c>
      <c r="L75" s="22">
        <f>Mulanje!L75+Luchenza!L75+Thyolo!L75+Muloza!L75+MUST!L75+Phalombe!L75+Mikolongwe!L75+Migowi!L75+Nkando!L75</f>
        <v>0</v>
      </c>
      <c r="M75" s="22">
        <f>Mulanje!M75+Luchenza!M75+Thyolo!M75+Muloza!M75+MUST!M75+Phalombe!M75+Mikolongwe!M75+Migowi!M75+Nkando!M75</f>
        <v>0</v>
      </c>
      <c r="N75" s="22">
        <f>Mulanje!N75+Luchenza!N75+Thyolo!N75+Muloza!N75+MUST!N75+Phalombe!N75+Mikolongwe!N75+Migowi!N75+Nkando!N75</f>
        <v>0</v>
      </c>
      <c r="O75" s="22">
        <f>Mulanje!O75+Luchenza!O75+Thyolo!O75+Muloza!O75+MUST!O75+Phalombe!O75+Mikolongwe!O75+Migowi!O75+Nkando!O75</f>
        <v>0</v>
      </c>
      <c r="P75" s="31"/>
    </row>
    <row r="76" spans="1:16" x14ac:dyDescent="0.25">
      <c r="A76" s="174"/>
      <c r="B76" s="21" t="s">
        <v>190</v>
      </c>
      <c r="C76" s="4" t="s">
        <v>3</v>
      </c>
      <c r="D76" s="22">
        <f>Mulanje!D76+Luchenza!D76+Thyolo!D76+Muloza!D76+MUST!D76+Phalombe!D76+Mikolongwe!D76+Migowi!D76+Nkando!D76</f>
        <v>0</v>
      </c>
      <c r="E76" s="22">
        <f>Mulanje!E76+Luchenza!E76+Thyolo!E76+Muloza!E76+MUST!E76+Phalombe!E76+Mikolongwe!E76+Migowi!E76+Nkando!E76</f>
        <v>2</v>
      </c>
      <c r="F76" s="22">
        <f>Mulanje!F76+Luchenza!F76+Thyolo!F76+Muloza!F76+MUST!F76+Phalombe!F76+Mikolongwe!F76+Migowi!F76+Nkando!F76</f>
        <v>0</v>
      </c>
      <c r="G76" s="22">
        <f>Mulanje!G76+Luchenza!G76+Thyolo!G76+Muloza!G76+MUST!G76+Phalombe!G76+Mikolongwe!G76+Migowi!G76+Nkando!G76</f>
        <v>0</v>
      </c>
      <c r="H76" s="22">
        <f>Mulanje!H76+Luchenza!H76+Thyolo!H76+Muloza!H76+MUST!H76+Phalombe!H76+Mikolongwe!H76+Migowi!H76+Nkando!H76</f>
        <v>0</v>
      </c>
      <c r="I76" s="22">
        <f>Mulanje!I76+Luchenza!I76+Thyolo!I76+Muloza!I76+MUST!I76+Phalombe!I76+Mikolongwe!I76+Migowi!I76+Nkando!I76</f>
        <v>0</v>
      </c>
      <c r="J76" s="22">
        <f>Mulanje!J76+Luchenza!J76+Thyolo!J76+Muloza!J76+MUST!J76+Phalombe!J76+Mikolongwe!J76+Migowi!J76+Nkando!J76</f>
        <v>0</v>
      </c>
      <c r="K76" s="22">
        <f>Mulanje!K76+Luchenza!K76+Thyolo!K76+Muloza!K76+MUST!K76+Phalombe!K76+Mikolongwe!K76+Migowi!K76+Nkando!K76</f>
        <v>0</v>
      </c>
      <c r="L76" s="22">
        <f>Mulanje!L76+Luchenza!L76+Thyolo!L76+Muloza!L76+MUST!L76+Phalombe!L76+Mikolongwe!L76+Migowi!L76+Nkando!L76</f>
        <v>0</v>
      </c>
      <c r="M76" s="22">
        <f>Mulanje!M76+Luchenza!M76+Thyolo!M76+Muloza!M76+MUST!M76+Phalombe!M76+Mikolongwe!M76+Migowi!M76+Nkando!M76</f>
        <v>0</v>
      </c>
      <c r="N76" s="22">
        <f>Mulanje!N76+Luchenza!N76+Thyolo!N76+Muloza!N76+MUST!N76+Phalombe!N76+Mikolongwe!N76+Migowi!N76+Nkando!N76</f>
        <v>0</v>
      </c>
      <c r="O76" s="22">
        <f>Mulanje!O76+Luchenza!O76+Thyolo!O76+Muloza!O76+MUST!O76+Phalombe!O76+Mikolongwe!O76+Migowi!O76+Nkando!O76</f>
        <v>0</v>
      </c>
      <c r="P76" s="94">
        <f t="shared" ref="P76" si="20">P74+P75</f>
        <v>1</v>
      </c>
    </row>
    <row r="77" spans="1:16" x14ac:dyDescent="0.25">
      <c r="A77" s="175"/>
      <c r="B77" s="21" t="s">
        <v>81</v>
      </c>
      <c r="C77" s="4" t="s">
        <v>3</v>
      </c>
      <c r="D77" s="22">
        <f>Mulanje!D77+Luchenza!D77+Thyolo!D77+Muloza!D77+MUST!D77+Phalombe!D77+Mikolongwe!D77+Migowi!D77+Nkando!D77</f>
        <v>2</v>
      </c>
      <c r="E77" s="22">
        <f>Mulanje!E77+Luchenza!E77+Thyolo!E77+Muloza!E77+MUST!E77+Phalombe!E77+Mikolongwe!E77+Migowi!E77+Nkando!E77</f>
        <v>0</v>
      </c>
      <c r="F77" s="22">
        <f>Mulanje!F77+Luchenza!F77+Thyolo!F77+Muloza!F77+MUST!F77+Phalombe!F77+Mikolongwe!F77+Migowi!F77+Nkando!F77</f>
        <v>0</v>
      </c>
      <c r="G77" s="22">
        <f>Mulanje!G77+Luchenza!G77+Thyolo!G77+Muloza!G77+MUST!G77+Phalombe!G77+Mikolongwe!G77+Migowi!G77+Nkando!G77</f>
        <v>0</v>
      </c>
      <c r="H77" s="22">
        <f>Mulanje!H77+Luchenza!H77+Thyolo!H77+Muloza!H77+MUST!H77+Phalombe!H77+Mikolongwe!H77+Migowi!H77+Nkando!H77</f>
        <v>0</v>
      </c>
      <c r="I77" s="22">
        <f>Mulanje!I77+Luchenza!I77+Thyolo!I77+Muloza!I77+MUST!I77+Phalombe!I77+Mikolongwe!I77+Migowi!I77+Nkando!I77</f>
        <v>0</v>
      </c>
      <c r="J77" s="22">
        <f>Mulanje!J77+Luchenza!J77+Thyolo!J77+Muloza!J77+MUST!J77+Phalombe!J77+Mikolongwe!J77+Migowi!J77+Nkando!J77</f>
        <v>0</v>
      </c>
      <c r="K77" s="22">
        <f>Mulanje!K77+Luchenza!K77+Thyolo!K77+Muloza!K77+MUST!K77+Phalombe!K77+Mikolongwe!K77+Migowi!K77+Nkando!K77</f>
        <v>0</v>
      </c>
      <c r="L77" s="22">
        <f>Mulanje!L77+Luchenza!L77+Thyolo!L77+Muloza!L77+MUST!L77+Phalombe!L77+Mikolongwe!L77+Migowi!L77+Nkando!L77</f>
        <v>0</v>
      </c>
      <c r="M77" s="22">
        <f>Mulanje!M77+Luchenza!M77+Thyolo!M77+Muloza!M77+MUST!M77+Phalombe!M77+Mikolongwe!M77+Migowi!M77+Nkando!M77</f>
        <v>0</v>
      </c>
      <c r="N77" s="22">
        <f>Mulanje!N77+Luchenza!N77+Thyolo!N77+Muloza!N77+MUST!N77+Phalombe!N77+Mikolongwe!N77+Migowi!N77+Nkando!N77</f>
        <v>0</v>
      </c>
      <c r="O77" s="22">
        <f>Mulanje!O77+Luchenza!O77+Thyolo!O77+Muloza!O77+MUST!O77+Phalombe!O77+Mikolongwe!O77+Migowi!O77+Nkando!O77</f>
        <v>0</v>
      </c>
      <c r="P77" s="95">
        <f t="shared" ref="P77" si="21">P73+P74-P76</f>
        <v>2</v>
      </c>
    </row>
    <row r="78" spans="1:16" ht="15.6" customHeight="1" x14ac:dyDescent="0.25">
      <c r="A78" s="173" t="s">
        <v>109</v>
      </c>
      <c r="B78" s="21" t="s">
        <v>85</v>
      </c>
      <c r="C78" s="4" t="s">
        <v>3</v>
      </c>
      <c r="D78" s="22">
        <f>Mulanje!D78+Luchenza!D78+Thyolo!D78+Muloza!D78+MUST!D78+Phalombe!D78+Mikolongwe!D78+Migowi!D78+Nkando!D78</f>
        <v>6</v>
      </c>
      <c r="E78" s="22">
        <f>Mulanje!E78+Luchenza!E78+Thyolo!E78+Muloza!E78+MUST!E78+Phalombe!E78+Mikolongwe!E78+Migowi!E78+Nkando!E78</f>
        <v>6</v>
      </c>
      <c r="F78" s="22">
        <f>Mulanje!F78+Luchenza!F78+Thyolo!F78+Muloza!F78+MUST!F78+Phalombe!F78+Mikolongwe!F78+Migowi!F78+Nkando!F78</f>
        <v>7</v>
      </c>
      <c r="G78" s="22">
        <f>Mulanje!G78+Luchenza!G78+Thyolo!G78+Muloza!G78+MUST!G78+Phalombe!G78+Mikolongwe!G78+Migowi!G78+Nkando!G78</f>
        <v>0</v>
      </c>
      <c r="H78" s="22">
        <f>Mulanje!H78+Luchenza!H78+Thyolo!H78+Muloza!H78+MUST!H78+Phalombe!H78+Mikolongwe!H78+Migowi!H78+Nkando!H78</f>
        <v>0</v>
      </c>
      <c r="I78" s="22">
        <f>Mulanje!I78+Luchenza!I78+Thyolo!I78+Muloza!I78+MUST!I78+Phalombe!I78+Mikolongwe!I78+Migowi!I78+Nkando!I78</f>
        <v>0</v>
      </c>
      <c r="J78" s="22">
        <f>Mulanje!J78+Luchenza!J78+Thyolo!J78+Muloza!J78+MUST!J78+Phalombe!J78+Mikolongwe!J78+Migowi!J78+Nkando!J78</f>
        <v>0</v>
      </c>
      <c r="K78" s="22">
        <f>Mulanje!K78+Luchenza!K78+Thyolo!K78+Muloza!K78+MUST!K78+Phalombe!K78+Mikolongwe!K78+Migowi!K78+Nkando!K78</f>
        <v>0</v>
      </c>
      <c r="L78" s="22">
        <f>Mulanje!L78+Luchenza!L78+Thyolo!L78+Muloza!L78+MUST!L78+Phalombe!L78+Mikolongwe!L78+Migowi!L78+Nkando!L78</f>
        <v>0</v>
      </c>
      <c r="M78" s="22">
        <f>Mulanje!M78+Luchenza!M78+Thyolo!M78+Muloza!M78+MUST!M78+Phalombe!M78+Mikolongwe!M78+Migowi!M78+Nkando!M78</f>
        <v>0</v>
      </c>
      <c r="N78" s="22">
        <f>Mulanje!N78+Luchenza!N78+Thyolo!N78+Muloza!N78+MUST!N78+Phalombe!N78+Mikolongwe!N78+Migowi!N78+Nkando!N78</f>
        <v>0</v>
      </c>
      <c r="O78" s="22">
        <f>Mulanje!O78+Luchenza!O78+Thyolo!O78+Muloza!O78+MUST!O78+Phalombe!O78+Mikolongwe!O78+Migowi!O78+Nkando!O78</f>
        <v>0</v>
      </c>
      <c r="P78" s="31">
        <f>D78</f>
        <v>6</v>
      </c>
    </row>
    <row r="79" spans="1:16" x14ac:dyDescent="0.25">
      <c r="A79" s="174"/>
      <c r="B79" s="21" t="s">
        <v>106</v>
      </c>
      <c r="C79" s="4" t="s">
        <v>3</v>
      </c>
      <c r="D79" s="22">
        <f>Mulanje!D79+Luchenza!D79+Thyolo!D79+Muloza!D79+MUST!D79+Phalombe!D79+Mikolongwe!D79+Migowi!D79+Nkando!D79</f>
        <v>0</v>
      </c>
      <c r="E79" s="22">
        <f>Mulanje!E79+Luchenza!E79+Thyolo!E79+Muloza!E79+MUST!E79+Phalombe!E79+Mikolongwe!E79+Migowi!E79+Nkando!E79</f>
        <v>1</v>
      </c>
      <c r="F79" s="22">
        <f>Mulanje!F79+Luchenza!F79+Thyolo!F79+Muloza!F79+MUST!F79+Phalombe!F79+Mikolongwe!F79+Migowi!F79+Nkando!F79</f>
        <v>0</v>
      </c>
      <c r="G79" s="22">
        <f>Mulanje!G79+Luchenza!G79+Thyolo!G79+Muloza!G79+MUST!G79+Phalombe!G79+Mikolongwe!G79+Migowi!G79+Nkando!G79</f>
        <v>0</v>
      </c>
      <c r="H79" s="22">
        <f>Mulanje!H79+Luchenza!H79+Thyolo!H79+Muloza!H79+MUST!H79+Phalombe!H79+Mikolongwe!H79+Migowi!H79+Nkando!H79</f>
        <v>0</v>
      </c>
      <c r="I79" s="22">
        <f>Mulanje!I79+Luchenza!I79+Thyolo!I79+Muloza!I79+MUST!I79+Phalombe!I79+Mikolongwe!I79+Migowi!I79+Nkando!I79</f>
        <v>0</v>
      </c>
      <c r="J79" s="22">
        <f>Mulanje!J79+Luchenza!J79+Thyolo!J79+Muloza!J79+MUST!J79+Phalombe!J79+Mikolongwe!J79+Migowi!J79+Nkando!J79</f>
        <v>0</v>
      </c>
      <c r="K79" s="22">
        <f>Mulanje!K79+Luchenza!K79+Thyolo!K79+Muloza!K79+MUST!K79+Phalombe!K79+Mikolongwe!K79+Migowi!K79+Nkando!K79</f>
        <v>0</v>
      </c>
      <c r="L79" s="22">
        <f>Mulanje!L79+Luchenza!L79+Thyolo!L79+Muloza!L79+MUST!L79+Phalombe!L79+Mikolongwe!L79+Migowi!L79+Nkando!L79</f>
        <v>0</v>
      </c>
      <c r="M79" s="22">
        <f>Mulanje!M79+Luchenza!M79+Thyolo!M79+Muloza!M79+MUST!M79+Phalombe!M79+Mikolongwe!M79+Migowi!M79+Nkando!M79</f>
        <v>0</v>
      </c>
      <c r="N79" s="22">
        <f>Mulanje!N79+Luchenza!N79+Thyolo!N79+Muloza!N79+MUST!N79+Phalombe!N79+Mikolongwe!N79+Migowi!N79+Nkando!N79</f>
        <v>0</v>
      </c>
      <c r="O79" s="22">
        <f>Mulanje!O79+Luchenza!O79+Thyolo!O79+Muloza!O79+MUST!O79+Phalombe!O79+Mikolongwe!O79+Migowi!O79+Nkando!O79</f>
        <v>0</v>
      </c>
      <c r="P79" s="31">
        <f>SUM(D79:O79)</f>
        <v>1</v>
      </c>
    </row>
    <row r="80" spans="1:16" ht="26.25" x14ac:dyDescent="0.25">
      <c r="A80" s="174"/>
      <c r="B80" s="21" t="s">
        <v>105</v>
      </c>
      <c r="C80" s="4" t="s">
        <v>3</v>
      </c>
      <c r="D80" s="22">
        <f>Mulanje!D80+Luchenza!D80+Thyolo!D80+Muloza!D80+MUST!D80+Phalombe!D80+Mikolongwe!D80+Migowi!D80+Nkando!D80</f>
        <v>0</v>
      </c>
      <c r="E80" s="22">
        <f>Mulanje!E80+Luchenza!E80+Thyolo!E80+Muloza!E80+MUST!E80+Phalombe!E80+Mikolongwe!E80+Migowi!E80+Nkando!E80</f>
        <v>0</v>
      </c>
      <c r="F80" s="22">
        <f>Mulanje!F80+Luchenza!F80+Thyolo!F80+Muloza!F80+MUST!F80+Phalombe!F80+Mikolongwe!F80+Migowi!F80+Nkando!F80</f>
        <v>0</v>
      </c>
      <c r="G80" s="22">
        <f>Mulanje!G80+Luchenza!G80+Thyolo!G80+Muloza!G80+MUST!G80+Phalombe!G80+Mikolongwe!G80+Migowi!G80+Nkando!G80</f>
        <v>0</v>
      </c>
      <c r="H80" s="22">
        <f>Mulanje!H80+Luchenza!H80+Thyolo!H80+Muloza!H80+MUST!H80+Phalombe!H80+Mikolongwe!H80+Migowi!H80+Nkando!H80</f>
        <v>0</v>
      </c>
      <c r="I80" s="22">
        <f>Mulanje!I80+Luchenza!I80+Thyolo!I80+Muloza!I80+MUST!I80+Phalombe!I80+Mikolongwe!I80+Migowi!I80+Nkando!I80</f>
        <v>0</v>
      </c>
      <c r="J80" s="22">
        <f>Mulanje!J80+Luchenza!J80+Thyolo!J80+Muloza!J80+MUST!J80+Phalombe!J80+Mikolongwe!J80+Migowi!J80+Nkando!J80</f>
        <v>0</v>
      </c>
      <c r="K80" s="22">
        <f>Mulanje!K80+Luchenza!K80+Thyolo!K80+Muloza!K80+MUST!K80+Phalombe!K80+Mikolongwe!K80+Migowi!K80+Nkando!K80</f>
        <v>0</v>
      </c>
      <c r="L80" s="22">
        <f>Mulanje!L80+Luchenza!L80+Thyolo!L80+Muloza!L80+MUST!L80+Phalombe!L80+Mikolongwe!L80+Migowi!L80+Nkando!L80</f>
        <v>0</v>
      </c>
      <c r="M80" s="22">
        <f>Mulanje!M80+Luchenza!M80+Thyolo!M80+Muloza!M80+MUST!M80+Phalombe!M80+Mikolongwe!M80+Migowi!M80+Nkando!M80</f>
        <v>0</v>
      </c>
      <c r="N80" s="22">
        <f>Mulanje!N80+Luchenza!N80+Thyolo!N80+Muloza!N80+MUST!N80+Phalombe!N80+Mikolongwe!N80+Migowi!N80+Nkando!N80</f>
        <v>0</v>
      </c>
      <c r="O80" s="22">
        <f>Mulanje!O80+Luchenza!O80+Thyolo!O80+Muloza!O80+MUST!O80+Phalombe!O80+Mikolongwe!O80+Migowi!O80+Nkando!O80</f>
        <v>0</v>
      </c>
      <c r="P80" s="31"/>
    </row>
    <row r="81" spans="1:16" ht="26.25" x14ac:dyDescent="0.25">
      <c r="A81" s="174"/>
      <c r="B81" s="21" t="s">
        <v>104</v>
      </c>
      <c r="C81" s="4" t="s">
        <v>3</v>
      </c>
      <c r="D81" s="22">
        <f>Mulanje!D81+Luchenza!D81+Thyolo!D81+Muloza!D81+MUST!D81+Phalombe!D81+Mikolongwe!D81+Migowi!D81+Nkando!D81</f>
        <v>0</v>
      </c>
      <c r="E81" s="22">
        <f>Mulanje!E81+Luchenza!E81+Thyolo!E81+Muloza!E81+MUST!E81+Phalombe!E81+Mikolongwe!E81+Migowi!E81+Nkando!E81</f>
        <v>0</v>
      </c>
      <c r="F81" s="22">
        <f>Mulanje!F81+Luchenza!F81+Thyolo!F81+Muloza!F81+MUST!F81+Phalombe!F81+Mikolongwe!F81+Migowi!F81+Nkando!F81</f>
        <v>0</v>
      </c>
      <c r="G81" s="22">
        <f>Mulanje!G81+Luchenza!G81+Thyolo!G81+Muloza!G81+MUST!G81+Phalombe!G81+Mikolongwe!G81+Migowi!G81+Nkando!G81</f>
        <v>0</v>
      </c>
      <c r="H81" s="22">
        <f>Mulanje!H81+Luchenza!H81+Thyolo!H81+Muloza!H81+MUST!H81+Phalombe!H81+Mikolongwe!H81+Migowi!H81+Nkando!H81</f>
        <v>0</v>
      </c>
      <c r="I81" s="22">
        <f>Mulanje!I81+Luchenza!I81+Thyolo!I81+Muloza!I81+MUST!I81+Phalombe!I81+Mikolongwe!I81+Migowi!I81+Nkando!I81</f>
        <v>0</v>
      </c>
      <c r="J81" s="22">
        <f>Mulanje!J81+Luchenza!J81+Thyolo!J81+Muloza!J81+MUST!J81+Phalombe!J81+Mikolongwe!J81+Migowi!J81+Nkando!J81</f>
        <v>0</v>
      </c>
      <c r="K81" s="22">
        <f>Mulanje!K81+Luchenza!K81+Thyolo!K81+Muloza!K81+MUST!K81+Phalombe!K81+Mikolongwe!K81+Migowi!K81+Nkando!K81</f>
        <v>0</v>
      </c>
      <c r="L81" s="22">
        <f>Mulanje!L81+Luchenza!L81+Thyolo!L81+Muloza!L81+MUST!L81+Phalombe!L81+Mikolongwe!L81+Migowi!L81+Nkando!L81</f>
        <v>0</v>
      </c>
      <c r="M81" s="22">
        <f>Mulanje!M81+Luchenza!M81+Thyolo!M81+Muloza!M81+MUST!M81+Phalombe!M81+Mikolongwe!M81+Migowi!M81+Nkando!M81</f>
        <v>0</v>
      </c>
      <c r="N81" s="22">
        <f>Mulanje!N81+Luchenza!N81+Thyolo!N81+Muloza!N81+MUST!N81+Phalombe!N81+Mikolongwe!N81+Migowi!N81+Nkando!N81</f>
        <v>0</v>
      </c>
      <c r="O81" s="22">
        <f>Mulanje!O81+Luchenza!O81+Thyolo!O81+Muloza!O81+MUST!O81+Phalombe!O81+Mikolongwe!O81+Migowi!O81+Nkando!O81</f>
        <v>0</v>
      </c>
      <c r="P81" s="31">
        <f>SUM(D81:O81)</f>
        <v>0</v>
      </c>
    </row>
    <row r="82" spans="1:16" x14ac:dyDescent="0.25">
      <c r="A82" s="174"/>
      <c r="B82" s="21" t="s">
        <v>190</v>
      </c>
      <c r="C82" s="4" t="s">
        <v>3</v>
      </c>
      <c r="D82" s="22">
        <f>Mulanje!D82+Luchenza!D82+Thyolo!D82+Muloza!D82+MUST!D82+Phalombe!D82+Mikolongwe!D82+Migowi!D82+Nkando!D82</f>
        <v>0</v>
      </c>
      <c r="E82" s="22">
        <f>Mulanje!E82+Luchenza!E82+Thyolo!E82+Muloza!E82+MUST!E82+Phalombe!E82+Mikolongwe!E82+Migowi!E82+Nkando!E82</f>
        <v>0</v>
      </c>
      <c r="F82" s="22">
        <f>Mulanje!F82+Luchenza!F82+Thyolo!F82+Muloza!F82+MUST!F82+Phalombe!F82+Mikolongwe!F82+Migowi!F82+Nkando!F82</f>
        <v>0</v>
      </c>
      <c r="G82" s="22">
        <f>Mulanje!G82+Luchenza!G82+Thyolo!G82+Muloza!G82+MUST!G82+Phalombe!G82+Mikolongwe!G82+Migowi!G82+Nkando!G82</f>
        <v>0</v>
      </c>
      <c r="H82" s="22">
        <f>Mulanje!H82+Luchenza!H82+Thyolo!H82+Muloza!H82+MUST!H82+Phalombe!H82+Mikolongwe!H82+Migowi!H82+Nkando!H82</f>
        <v>0</v>
      </c>
      <c r="I82" s="22">
        <f>Mulanje!I82+Luchenza!I82+Thyolo!I82+Muloza!I82+MUST!I82+Phalombe!I82+Mikolongwe!I82+Migowi!I82+Nkando!I82</f>
        <v>0</v>
      </c>
      <c r="J82" s="22">
        <f>Mulanje!J82+Luchenza!J82+Thyolo!J82+Muloza!J82+MUST!J82+Phalombe!J82+Mikolongwe!J82+Migowi!J82+Nkando!J82</f>
        <v>0</v>
      </c>
      <c r="K82" s="22">
        <f>Mulanje!K82+Luchenza!K82+Thyolo!K82+Muloza!K82+MUST!K82+Phalombe!K82+Mikolongwe!K82+Migowi!K82+Nkando!K82</f>
        <v>0</v>
      </c>
      <c r="L82" s="22">
        <f>Mulanje!L82+Luchenza!L82+Thyolo!L82+Muloza!L82+MUST!L82+Phalombe!L82+Mikolongwe!L82+Migowi!L82+Nkando!L82</f>
        <v>0</v>
      </c>
      <c r="M82" s="22">
        <f>Mulanje!M82+Luchenza!M82+Thyolo!M82+Muloza!M82+MUST!M82+Phalombe!M82+Mikolongwe!M82+Migowi!M82+Nkando!M82</f>
        <v>0</v>
      </c>
      <c r="N82" s="22">
        <f>Mulanje!N82+Luchenza!N82+Thyolo!N82+Muloza!N82+MUST!N82+Phalombe!N82+Mikolongwe!N82+Migowi!N82+Nkando!N82</f>
        <v>0</v>
      </c>
      <c r="O82" s="22">
        <f>Mulanje!O82+Luchenza!O82+Thyolo!O82+Muloza!O82+MUST!O82+Phalombe!O82+Mikolongwe!O82+Migowi!O82+Nkando!O82</f>
        <v>0</v>
      </c>
      <c r="P82" s="94">
        <f t="shared" ref="P82" si="22">P81+P80</f>
        <v>0</v>
      </c>
    </row>
    <row r="83" spans="1:16" x14ac:dyDescent="0.25">
      <c r="A83" s="175"/>
      <c r="B83" s="21" t="s">
        <v>81</v>
      </c>
      <c r="C83" s="4" t="s">
        <v>3</v>
      </c>
      <c r="D83" s="22">
        <f>Mulanje!D83+Luchenza!D83+Thyolo!D83+Muloza!D83+MUST!D83+Phalombe!D83+Mikolongwe!D83+Migowi!D83+Nkando!D83</f>
        <v>6</v>
      </c>
      <c r="E83" s="22">
        <f>Mulanje!E83+Luchenza!E83+Thyolo!E83+Muloza!E83+MUST!E83+Phalombe!E83+Mikolongwe!E83+Migowi!E83+Nkando!E83</f>
        <v>7</v>
      </c>
      <c r="F83" s="22">
        <f>Mulanje!F83+Luchenza!F83+Thyolo!F83+Muloza!F83+MUST!F83+Phalombe!F83+Mikolongwe!F83+Migowi!F83+Nkando!F83</f>
        <v>7</v>
      </c>
      <c r="G83" s="22">
        <f>Mulanje!G83+Luchenza!G83+Thyolo!G83+Muloza!G83+MUST!G83+Phalombe!G83+Mikolongwe!G83+Migowi!G83+Nkando!G83</f>
        <v>0</v>
      </c>
      <c r="H83" s="22">
        <f>Mulanje!H83+Luchenza!H83+Thyolo!H83+Muloza!H83+MUST!H83+Phalombe!H83+Mikolongwe!H83+Migowi!H83+Nkando!H83</f>
        <v>0</v>
      </c>
      <c r="I83" s="22">
        <f>Mulanje!I83+Luchenza!I83+Thyolo!I83+Muloza!I83+MUST!I83+Phalombe!I83+Mikolongwe!I83+Migowi!I83+Nkando!I83</f>
        <v>0</v>
      </c>
      <c r="J83" s="22">
        <f>Mulanje!J83+Luchenza!J83+Thyolo!J83+Muloza!J83+MUST!J83+Phalombe!J83+Mikolongwe!J83+Migowi!J83+Nkando!J83</f>
        <v>0</v>
      </c>
      <c r="K83" s="22">
        <f>Mulanje!K83+Luchenza!K83+Thyolo!K83+Muloza!K83+MUST!K83+Phalombe!K83+Mikolongwe!K83+Migowi!K83+Nkando!K83</f>
        <v>0</v>
      </c>
      <c r="L83" s="22">
        <f>Mulanje!L83+Luchenza!L83+Thyolo!L83+Muloza!L83+MUST!L83+Phalombe!L83+Mikolongwe!L83+Migowi!L83+Nkando!L83</f>
        <v>0</v>
      </c>
      <c r="M83" s="22">
        <f>Mulanje!M83+Luchenza!M83+Thyolo!M83+Muloza!M83+MUST!M83+Phalombe!M83+Mikolongwe!M83+Migowi!M83+Nkando!M83</f>
        <v>0</v>
      </c>
      <c r="N83" s="22">
        <f>Mulanje!N83+Luchenza!N83+Thyolo!N83+Muloza!N83+MUST!N83+Phalombe!N83+Mikolongwe!N83+Migowi!N83+Nkando!N83</f>
        <v>0</v>
      </c>
      <c r="O83" s="22">
        <f>Mulanje!O83+Luchenza!O83+Thyolo!O83+Muloza!O83+MUST!O83+Phalombe!O83+Mikolongwe!O83+Migowi!O83+Nkando!O83</f>
        <v>0</v>
      </c>
      <c r="P83" s="95">
        <f t="shared" ref="P83" si="23">P78+P79-P82</f>
        <v>7</v>
      </c>
    </row>
    <row r="84" spans="1:16" x14ac:dyDescent="0.25">
      <c r="A84" s="200" t="s">
        <v>108</v>
      </c>
      <c r="B84" s="21" t="s">
        <v>85</v>
      </c>
      <c r="C84" s="4" t="s">
        <v>3</v>
      </c>
      <c r="D84" s="22">
        <f>Mulanje!D84+Luchenza!D84+Thyolo!D84+Muloza!D84+MUST!D84+Phalombe!D84+Mikolongwe!D84+Migowi!D84+Nkando!D84</f>
        <v>0</v>
      </c>
      <c r="E84" s="22">
        <f>Mulanje!E84+Luchenza!E84+Thyolo!E84+Muloza!E84+MUST!E84+Phalombe!E84+Mikolongwe!E84+Migowi!E84+Nkando!E84</f>
        <v>0</v>
      </c>
      <c r="F84" s="22">
        <f>Mulanje!F84+Luchenza!F84+Thyolo!F84+Muloza!F84+MUST!F84+Phalombe!F84+Mikolongwe!F84+Migowi!F84+Nkando!F84</f>
        <v>0</v>
      </c>
      <c r="G84" s="22">
        <f>Mulanje!G84+Luchenza!G84+Thyolo!G84+Muloza!G84+MUST!G84+Phalombe!G84+Mikolongwe!G84+Migowi!G84+Nkando!G84</f>
        <v>0</v>
      </c>
      <c r="H84" s="22">
        <f>Mulanje!H84+Luchenza!H84+Thyolo!H84+Muloza!H84+MUST!H84+Phalombe!H84+Mikolongwe!H84+Migowi!H84+Nkando!H84</f>
        <v>0</v>
      </c>
      <c r="I84" s="22">
        <f>Mulanje!I84+Luchenza!I84+Thyolo!I84+Muloza!I84+MUST!I84+Phalombe!I84+Mikolongwe!I84+Migowi!I84+Nkando!I84</f>
        <v>0</v>
      </c>
      <c r="J84" s="22">
        <f>Mulanje!J84+Luchenza!J84+Thyolo!J84+Muloza!J84+MUST!J84+Phalombe!J84+Mikolongwe!J84+Migowi!J84+Nkando!J84</f>
        <v>0</v>
      </c>
      <c r="K84" s="22">
        <f>Mulanje!K84+Luchenza!K84+Thyolo!K84+Muloza!K84+MUST!K84+Phalombe!K84+Mikolongwe!K84+Migowi!K84+Nkando!K84</f>
        <v>0</v>
      </c>
      <c r="L84" s="22">
        <f>Mulanje!L84+Luchenza!L84+Thyolo!L84+Muloza!L84+MUST!L84+Phalombe!L84+Mikolongwe!L84+Migowi!L84+Nkando!L84</f>
        <v>0</v>
      </c>
      <c r="M84" s="22">
        <f>Mulanje!M84+Luchenza!M84+Thyolo!M84+Muloza!M84+MUST!M84+Phalombe!M84+Mikolongwe!M84+Migowi!M84+Nkando!M84</f>
        <v>0</v>
      </c>
      <c r="N84" s="22">
        <f>Mulanje!N84+Luchenza!N84+Thyolo!N84+Muloza!N84+MUST!N84+Phalombe!N84+Mikolongwe!N84+Migowi!N84+Nkando!N84</f>
        <v>0</v>
      </c>
      <c r="O84" s="22">
        <f>Mulanje!O84+Luchenza!O84+Thyolo!O84+Muloza!O84+MUST!O84+Phalombe!O84+Mikolongwe!O84+Migowi!O84+Nkando!O84</f>
        <v>0</v>
      </c>
      <c r="P84" s="31">
        <f>D84</f>
        <v>0</v>
      </c>
    </row>
    <row r="85" spans="1:16" x14ac:dyDescent="0.25">
      <c r="A85" s="201"/>
      <c r="B85" s="21" t="s">
        <v>106</v>
      </c>
      <c r="C85" s="4" t="s">
        <v>3</v>
      </c>
      <c r="D85" s="22">
        <f>Mulanje!D85+Luchenza!D85+Thyolo!D85+Muloza!D85+MUST!D85+Phalombe!D85+Mikolongwe!D85+Migowi!D85+Nkando!D85</f>
        <v>0</v>
      </c>
      <c r="E85" s="22">
        <f>Mulanje!E85+Luchenza!E85+Thyolo!E85+Muloza!E85+MUST!E85+Phalombe!E85+Mikolongwe!E85+Migowi!E85+Nkando!E85</f>
        <v>0</v>
      </c>
      <c r="F85" s="22">
        <f>Mulanje!F85+Luchenza!F85+Thyolo!F85+Muloza!F85+MUST!F85+Phalombe!F85+Mikolongwe!F85+Migowi!F85+Nkando!F85</f>
        <v>0</v>
      </c>
      <c r="G85" s="22">
        <f>Mulanje!G85+Luchenza!G85+Thyolo!G85+Muloza!G85+MUST!G85+Phalombe!G85+Mikolongwe!G85+Migowi!G85+Nkando!G85</f>
        <v>0</v>
      </c>
      <c r="H85" s="22">
        <f>Mulanje!H85+Luchenza!H85+Thyolo!H85+Muloza!H85+MUST!H85+Phalombe!H85+Mikolongwe!H85+Migowi!H85+Nkando!H85</f>
        <v>0</v>
      </c>
      <c r="I85" s="22">
        <f>Mulanje!I85+Luchenza!I85+Thyolo!I85+Muloza!I85+MUST!I85+Phalombe!I85+Mikolongwe!I85+Migowi!I85+Nkando!I85</f>
        <v>0</v>
      </c>
      <c r="J85" s="22">
        <f>Mulanje!J85+Luchenza!J85+Thyolo!J85+Muloza!J85+MUST!J85+Phalombe!J85+Mikolongwe!J85+Migowi!J85+Nkando!J85</f>
        <v>0</v>
      </c>
      <c r="K85" s="22">
        <f>Mulanje!K85+Luchenza!K85+Thyolo!K85+Muloza!K85+MUST!K85+Phalombe!K85+Mikolongwe!K85+Migowi!K85+Nkando!K85</f>
        <v>0</v>
      </c>
      <c r="L85" s="22">
        <f>Mulanje!L85+Luchenza!L85+Thyolo!L85+Muloza!L85+MUST!L85+Phalombe!L85+Mikolongwe!L85+Migowi!L85+Nkando!L85</f>
        <v>0</v>
      </c>
      <c r="M85" s="22">
        <f>Mulanje!M85+Luchenza!M85+Thyolo!M85+Muloza!M85+MUST!M85+Phalombe!M85+Mikolongwe!M85+Migowi!M85+Nkando!M85</f>
        <v>0</v>
      </c>
      <c r="N85" s="22">
        <f>Mulanje!N85+Luchenza!N85+Thyolo!N85+Muloza!N85+MUST!N85+Phalombe!N85+Mikolongwe!N85+Migowi!N85+Nkando!N85</f>
        <v>0</v>
      </c>
      <c r="O85" s="22">
        <f>Mulanje!O85+Luchenza!O85+Thyolo!O85+Muloza!O85+MUST!O85+Phalombe!O85+Mikolongwe!O85+Migowi!O85+Nkando!O85</f>
        <v>0</v>
      </c>
      <c r="P85" s="31">
        <f>SUM(D85:O85)</f>
        <v>0</v>
      </c>
    </row>
    <row r="86" spans="1:16" ht="26.25" x14ac:dyDescent="0.25">
      <c r="A86" s="201"/>
      <c r="B86" s="21" t="s">
        <v>105</v>
      </c>
      <c r="C86" s="4" t="s">
        <v>3</v>
      </c>
      <c r="D86" s="22">
        <f>Mulanje!D86+Luchenza!D86+Thyolo!D86+Muloza!D86+MUST!D86+Phalombe!D86+Mikolongwe!D86+Migowi!D86+Nkando!D86</f>
        <v>0</v>
      </c>
      <c r="E86" s="22">
        <f>Mulanje!E86+Luchenza!E86+Thyolo!E86+Muloza!E86+MUST!E86+Phalombe!E86+Mikolongwe!E86+Migowi!E86+Nkando!E86</f>
        <v>0</v>
      </c>
      <c r="F86" s="22">
        <f>Mulanje!F86+Luchenza!F86+Thyolo!F86+Muloza!F86+MUST!F86+Phalombe!F86+Mikolongwe!F86+Migowi!F86+Nkando!F86</f>
        <v>0</v>
      </c>
      <c r="G86" s="22">
        <f>Mulanje!G86+Luchenza!G86+Thyolo!G86+Muloza!G86+MUST!G86+Phalombe!G86+Mikolongwe!G86+Migowi!G86+Nkando!G86</f>
        <v>0</v>
      </c>
      <c r="H86" s="22">
        <f>Mulanje!H86+Luchenza!H86+Thyolo!H86+Muloza!H86+MUST!H86+Phalombe!H86+Mikolongwe!H86+Migowi!H86+Nkando!H86</f>
        <v>0</v>
      </c>
      <c r="I86" s="22">
        <f>Mulanje!I86+Luchenza!I86+Thyolo!I86+Muloza!I86+MUST!I86+Phalombe!I86+Mikolongwe!I86+Migowi!I86+Nkando!I86</f>
        <v>0</v>
      </c>
      <c r="J86" s="22">
        <f>Mulanje!J86+Luchenza!J86+Thyolo!J86+Muloza!J86+MUST!J86+Phalombe!J86+Mikolongwe!J86+Migowi!J86+Nkando!J86</f>
        <v>0</v>
      </c>
      <c r="K86" s="22">
        <f>Mulanje!K86+Luchenza!K86+Thyolo!K86+Muloza!K86+MUST!K86+Phalombe!K86+Mikolongwe!K86+Migowi!K86+Nkando!K86</f>
        <v>0</v>
      </c>
      <c r="L86" s="22">
        <f>Mulanje!L86+Luchenza!L86+Thyolo!L86+Muloza!L86+MUST!L86+Phalombe!L86+Mikolongwe!L86+Migowi!L86+Nkando!L86</f>
        <v>0</v>
      </c>
      <c r="M86" s="22">
        <f>Mulanje!M86+Luchenza!M86+Thyolo!M86+Muloza!M86+MUST!M86+Phalombe!M86+Mikolongwe!M86+Migowi!M86+Nkando!M86</f>
        <v>0</v>
      </c>
      <c r="N86" s="22">
        <f>Mulanje!N86+Luchenza!N86+Thyolo!N86+Muloza!N86+MUST!N86+Phalombe!N86+Mikolongwe!N86+Migowi!N86+Nkando!N86</f>
        <v>0</v>
      </c>
      <c r="O86" s="22">
        <f>Mulanje!O86+Luchenza!O86+Thyolo!O86+Muloza!O86+MUST!O86+Phalombe!O86+Mikolongwe!O86+Migowi!O86+Nkando!O86</f>
        <v>0</v>
      </c>
      <c r="P86" s="31"/>
    </row>
    <row r="87" spans="1:16" ht="26.25" x14ac:dyDescent="0.25">
      <c r="A87" s="201"/>
      <c r="B87" s="21" t="s">
        <v>104</v>
      </c>
      <c r="C87" s="4" t="s">
        <v>3</v>
      </c>
      <c r="D87" s="22">
        <f>Mulanje!D87+Luchenza!D87+Thyolo!D87+Muloza!D87+MUST!D87+Phalombe!D87+Mikolongwe!D87+Migowi!D87+Nkando!D87</f>
        <v>0</v>
      </c>
      <c r="E87" s="22">
        <f>Mulanje!E87+Luchenza!E87+Thyolo!E87+Muloza!E87+MUST!E87+Phalombe!E87+Mikolongwe!E87+Migowi!E87+Nkando!E87</f>
        <v>0</v>
      </c>
      <c r="F87" s="22">
        <f>Mulanje!F87+Luchenza!F87+Thyolo!F87+Muloza!F87+MUST!F87+Phalombe!F87+Mikolongwe!F87+Migowi!F87+Nkando!F87</f>
        <v>0</v>
      </c>
      <c r="G87" s="22">
        <f>Mulanje!G87+Luchenza!G87+Thyolo!G87+Muloza!G87+MUST!G87+Phalombe!G87+Mikolongwe!G87+Migowi!G87+Nkando!G87</f>
        <v>0</v>
      </c>
      <c r="H87" s="22">
        <f>Mulanje!H87+Luchenza!H87+Thyolo!H87+Muloza!H87+MUST!H87+Phalombe!H87+Mikolongwe!H87+Migowi!H87+Nkando!H87</f>
        <v>0</v>
      </c>
      <c r="I87" s="22">
        <f>Mulanje!I87+Luchenza!I87+Thyolo!I87+Muloza!I87+MUST!I87+Phalombe!I87+Mikolongwe!I87+Migowi!I87+Nkando!I87</f>
        <v>0</v>
      </c>
      <c r="J87" s="22">
        <f>Mulanje!J87+Luchenza!J87+Thyolo!J87+Muloza!J87+MUST!J87+Phalombe!J87+Mikolongwe!J87+Migowi!J87+Nkando!J87</f>
        <v>0</v>
      </c>
      <c r="K87" s="22">
        <f>Mulanje!K87+Luchenza!K87+Thyolo!K87+Muloza!K87+MUST!K87+Phalombe!K87+Mikolongwe!K87+Migowi!K87+Nkando!K87</f>
        <v>0</v>
      </c>
      <c r="L87" s="22">
        <f>Mulanje!L87+Luchenza!L87+Thyolo!L87+Muloza!L87+MUST!L87+Phalombe!L87+Mikolongwe!L87+Migowi!L87+Nkando!L87</f>
        <v>0</v>
      </c>
      <c r="M87" s="22">
        <f>Mulanje!M87+Luchenza!M87+Thyolo!M87+Muloza!M87+MUST!M87+Phalombe!M87+Mikolongwe!M87+Migowi!M87+Nkando!M87</f>
        <v>0</v>
      </c>
      <c r="N87" s="22">
        <f>Mulanje!N87+Luchenza!N87+Thyolo!N87+Muloza!N87+MUST!N87+Phalombe!N87+Mikolongwe!N87+Migowi!N87+Nkando!N87</f>
        <v>0</v>
      </c>
      <c r="O87" s="22">
        <f>Mulanje!O87+Luchenza!O87+Thyolo!O87+Muloza!O87+MUST!O87+Phalombe!O87+Mikolongwe!O87+Migowi!O87+Nkando!O87</f>
        <v>0</v>
      </c>
      <c r="P87" s="31">
        <f>SUM(D87:O87)</f>
        <v>0</v>
      </c>
    </row>
    <row r="88" spans="1:16" x14ac:dyDescent="0.25">
      <c r="A88" s="201"/>
      <c r="B88" s="21" t="s">
        <v>190</v>
      </c>
      <c r="C88" s="4" t="s">
        <v>3</v>
      </c>
      <c r="D88" s="22">
        <f>Mulanje!D88+Luchenza!D88+Thyolo!D88+Muloza!D88+MUST!D88+Phalombe!D88+Mikolongwe!D88+Migowi!D88+Nkando!D88</f>
        <v>0</v>
      </c>
      <c r="E88" s="22">
        <f>Mulanje!E88+Luchenza!E88+Thyolo!E88+Muloza!E88+MUST!E88+Phalombe!E88+Mikolongwe!E88+Migowi!E88+Nkando!E88</f>
        <v>0</v>
      </c>
      <c r="F88" s="22">
        <f>Mulanje!F88+Luchenza!F88+Thyolo!F88+Muloza!F88+MUST!F88+Phalombe!F88+Mikolongwe!F88+Migowi!F88+Nkando!F88</f>
        <v>0</v>
      </c>
      <c r="G88" s="22">
        <f>Mulanje!G88+Luchenza!G88+Thyolo!G88+Muloza!G88+MUST!G88+Phalombe!G88+Mikolongwe!G88+Migowi!G88+Nkando!G88</f>
        <v>0</v>
      </c>
      <c r="H88" s="22">
        <f>Mulanje!H88+Luchenza!H88+Thyolo!H88+Muloza!H88+MUST!H88+Phalombe!H88+Mikolongwe!H88+Migowi!H88+Nkando!H88</f>
        <v>0</v>
      </c>
      <c r="I88" s="22">
        <f>Mulanje!I88+Luchenza!I88+Thyolo!I88+Muloza!I88+MUST!I88+Phalombe!I88+Mikolongwe!I88+Migowi!I88+Nkando!I88</f>
        <v>0</v>
      </c>
      <c r="J88" s="22">
        <f>Mulanje!J88+Luchenza!J88+Thyolo!J88+Muloza!J88+MUST!J88+Phalombe!J88+Mikolongwe!J88+Migowi!J88+Nkando!J88</f>
        <v>0</v>
      </c>
      <c r="K88" s="22">
        <f>Mulanje!K88+Luchenza!K88+Thyolo!K88+Muloza!K88+MUST!K88+Phalombe!K88+Mikolongwe!K88+Migowi!K88+Nkando!K88</f>
        <v>0</v>
      </c>
      <c r="L88" s="22">
        <f>Mulanje!L88+Luchenza!L88+Thyolo!L88+Muloza!L88+MUST!L88+Phalombe!L88+Mikolongwe!L88+Migowi!L88+Nkando!L88</f>
        <v>0</v>
      </c>
      <c r="M88" s="22">
        <f>Mulanje!M88+Luchenza!M88+Thyolo!M88+Muloza!M88+MUST!M88+Phalombe!M88+Mikolongwe!M88+Migowi!M88+Nkando!M88</f>
        <v>0</v>
      </c>
      <c r="N88" s="22">
        <f>Mulanje!N88+Luchenza!N88+Thyolo!N88+Muloza!N88+MUST!N88+Phalombe!N88+Mikolongwe!N88+Migowi!N88+Nkando!N88</f>
        <v>0</v>
      </c>
      <c r="O88" s="22">
        <f>Mulanje!O88+Luchenza!O88+Thyolo!O88+Muloza!O88+MUST!O88+Phalombe!O88+Mikolongwe!O88+Migowi!O88+Nkando!O88</f>
        <v>0</v>
      </c>
      <c r="P88" s="31"/>
    </row>
    <row r="89" spans="1:16" x14ac:dyDescent="0.25">
      <c r="A89" s="202"/>
      <c r="B89" s="32" t="s">
        <v>81</v>
      </c>
      <c r="C89" s="4" t="s">
        <v>3</v>
      </c>
      <c r="D89" s="22">
        <f>Mulanje!D89+Luchenza!D89+Thyolo!D89+Muloza!D89+MUST!D89+Phalombe!D89+Mikolongwe!D89+Migowi!D89+Nkando!D89</f>
        <v>0</v>
      </c>
      <c r="E89" s="22">
        <f>Mulanje!E89+Luchenza!E89+Thyolo!E89+Muloza!E89+MUST!E89+Phalombe!E89+Mikolongwe!E89+Migowi!E89+Nkando!E89</f>
        <v>0</v>
      </c>
      <c r="F89" s="22">
        <f>Mulanje!F89+Luchenza!F89+Thyolo!F89+Muloza!F89+MUST!F89+Phalombe!F89+Mikolongwe!F89+Migowi!F89+Nkando!F89</f>
        <v>0</v>
      </c>
      <c r="G89" s="22">
        <f>Mulanje!G89+Luchenza!G89+Thyolo!G89+Muloza!G89+MUST!G89+Phalombe!G89+Mikolongwe!G89+Migowi!G89+Nkando!G89</f>
        <v>0</v>
      </c>
      <c r="H89" s="22">
        <f>Mulanje!H89+Luchenza!H89+Thyolo!H89+Muloza!H89+MUST!H89+Phalombe!H89+Mikolongwe!H89+Migowi!H89+Nkando!H89</f>
        <v>0</v>
      </c>
      <c r="I89" s="22">
        <f>Mulanje!I89+Luchenza!I89+Thyolo!I89+Muloza!I89+MUST!I89+Phalombe!I89+Mikolongwe!I89+Migowi!I89+Nkando!I89</f>
        <v>0</v>
      </c>
      <c r="J89" s="22">
        <f>Mulanje!J89+Luchenza!J89+Thyolo!J89+Muloza!J89+MUST!J89+Phalombe!J89+Mikolongwe!J89+Migowi!J89+Nkando!J89</f>
        <v>0</v>
      </c>
      <c r="K89" s="22">
        <f>Mulanje!K89+Luchenza!K89+Thyolo!K89+Muloza!K89+MUST!K89+Phalombe!K89+Mikolongwe!K89+Migowi!K89+Nkando!K89</f>
        <v>0</v>
      </c>
      <c r="L89" s="22">
        <f>Mulanje!L89+Luchenza!L89+Thyolo!L89+Muloza!L89+MUST!L89+Phalombe!L89+Mikolongwe!L89+Migowi!L89+Nkando!L89</f>
        <v>0</v>
      </c>
      <c r="M89" s="22">
        <f>Mulanje!M89+Luchenza!M89+Thyolo!M89+Muloza!M89+MUST!M89+Phalombe!M89+Mikolongwe!M89+Migowi!M89+Nkando!M89</f>
        <v>0</v>
      </c>
      <c r="N89" s="22">
        <f>Mulanje!N89+Luchenza!N89+Thyolo!N89+Muloza!N89+MUST!N89+Phalombe!N89+Mikolongwe!N89+Migowi!N89+Nkando!N89</f>
        <v>0</v>
      </c>
      <c r="O89" s="22">
        <f>Mulanje!O89+Luchenza!O89+Thyolo!O89+Muloza!O89+MUST!O89+Phalombe!O89+Mikolongwe!O89+Migowi!O89+Nkando!O89</f>
        <v>0</v>
      </c>
      <c r="P89" s="95">
        <f t="shared" ref="P89" si="24">P84+P85-P86-P87</f>
        <v>0</v>
      </c>
    </row>
    <row r="90" spans="1:16" x14ac:dyDescent="0.25">
      <c r="A90" s="200" t="s">
        <v>107</v>
      </c>
      <c r="B90" s="21" t="s">
        <v>85</v>
      </c>
      <c r="C90" s="4" t="s">
        <v>3</v>
      </c>
      <c r="D90" s="122">
        <f>D66+D72+D78+D84</f>
        <v>159</v>
      </c>
      <c r="E90" s="122">
        <f>E66+E72+E78+E84</f>
        <v>197</v>
      </c>
      <c r="F90" s="122">
        <f>F66+F72+F78+F84</f>
        <v>203</v>
      </c>
      <c r="G90" s="122">
        <f>G66+G72+G78+G84</f>
        <v>191</v>
      </c>
      <c r="H90" s="122">
        <f>H66+H72+H78+H84</f>
        <v>191</v>
      </c>
      <c r="I90" s="122">
        <f t="shared" ref="I90:O90" si="25">I66+I72+I78+I84</f>
        <v>191</v>
      </c>
      <c r="J90" s="122">
        <f t="shared" si="25"/>
        <v>191</v>
      </c>
      <c r="K90" s="122">
        <f t="shared" si="25"/>
        <v>191</v>
      </c>
      <c r="L90" s="122">
        <f t="shared" si="25"/>
        <v>191</v>
      </c>
      <c r="M90" s="122">
        <f>M66+M72+M78+M84</f>
        <v>191</v>
      </c>
      <c r="N90" s="122">
        <f t="shared" si="25"/>
        <v>191</v>
      </c>
      <c r="O90" s="122">
        <f t="shared" si="25"/>
        <v>132</v>
      </c>
      <c r="P90" s="31">
        <f>D90</f>
        <v>159</v>
      </c>
    </row>
    <row r="91" spans="1:16" x14ac:dyDescent="0.25">
      <c r="A91" s="201"/>
      <c r="B91" s="21" t="s">
        <v>106</v>
      </c>
      <c r="C91" s="4" t="s">
        <v>3</v>
      </c>
      <c r="D91" s="122">
        <f t="shared" ref="D91:E93" si="26">D67+D73+D79+D85</f>
        <v>74</v>
      </c>
      <c r="E91" s="122">
        <f t="shared" si="26"/>
        <v>69</v>
      </c>
      <c r="F91" s="122">
        <f t="shared" ref="F91:G91" si="27">F67+F73+F79+F85</f>
        <v>97</v>
      </c>
      <c r="G91" s="122">
        <f t="shared" si="27"/>
        <v>0</v>
      </c>
      <c r="H91" s="122">
        <f t="shared" ref="H91:O91" si="28">H67+H73+H79+H85</f>
        <v>0</v>
      </c>
      <c r="I91" s="122">
        <f t="shared" si="28"/>
        <v>0</v>
      </c>
      <c r="J91" s="122">
        <f t="shared" si="28"/>
        <v>0</v>
      </c>
      <c r="K91" s="122">
        <f t="shared" si="28"/>
        <v>0</v>
      </c>
      <c r="L91" s="122">
        <f t="shared" si="28"/>
        <v>0</v>
      </c>
      <c r="M91" s="122">
        <f t="shared" si="28"/>
        <v>0</v>
      </c>
      <c r="N91" s="122">
        <f t="shared" si="28"/>
        <v>0</v>
      </c>
      <c r="O91" s="122">
        <f t="shared" si="28"/>
        <v>0</v>
      </c>
      <c r="P91" s="31">
        <f>SUM(D91:O91)</f>
        <v>240</v>
      </c>
    </row>
    <row r="92" spans="1:16" ht="26.25" x14ac:dyDescent="0.25">
      <c r="A92" s="201"/>
      <c r="B92" s="21" t="s">
        <v>105</v>
      </c>
      <c r="C92" s="4" t="s">
        <v>3</v>
      </c>
      <c r="D92" s="122">
        <f t="shared" si="26"/>
        <v>0</v>
      </c>
      <c r="E92" s="122">
        <f t="shared" si="26"/>
        <v>4</v>
      </c>
      <c r="F92" s="122">
        <f t="shared" ref="F92:G92" si="29">F68+F74+F80+F86</f>
        <v>16</v>
      </c>
      <c r="G92" s="122">
        <f t="shared" si="29"/>
        <v>0</v>
      </c>
      <c r="H92" s="122">
        <f t="shared" ref="H92:O92" si="30">H68+H74+H80+H86</f>
        <v>0</v>
      </c>
      <c r="I92" s="122">
        <f t="shared" si="30"/>
        <v>0</v>
      </c>
      <c r="J92" s="122">
        <f t="shared" si="30"/>
        <v>0</v>
      </c>
      <c r="K92" s="122">
        <f t="shared" si="30"/>
        <v>0</v>
      </c>
      <c r="L92" s="122">
        <f t="shared" si="30"/>
        <v>0</v>
      </c>
      <c r="M92" s="122">
        <f t="shared" si="30"/>
        <v>0</v>
      </c>
      <c r="N92" s="122">
        <f t="shared" si="30"/>
        <v>0</v>
      </c>
      <c r="O92" s="122">
        <f t="shared" si="30"/>
        <v>0</v>
      </c>
      <c r="P92" s="31">
        <f>SUM(D92:O92)</f>
        <v>20</v>
      </c>
    </row>
    <row r="93" spans="1:16" ht="26.25" x14ac:dyDescent="0.25">
      <c r="A93" s="201"/>
      <c r="B93" s="21" t="s">
        <v>104</v>
      </c>
      <c r="C93" s="4"/>
      <c r="D93" s="122">
        <f t="shared" si="26"/>
        <v>36</v>
      </c>
      <c r="E93" s="122">
        <f t="shared" si="26"/>
        <v>59</v>
      </c>
      <c r="F93" s="122">
        <f t="shared" ref="F93:G93" si="31">F69+F75+F81+F87</f>
        <v>86</v>
      </c>
      <c r="G93" s="122">
        <f t="shared" si="31"/>
        <v>0</v>
      </c>
      <c r="H93" s="122">
        <f t="shared" ref="H93:O93" si="32">H69+H75+H81+H87</f>
        <v>0</v>
      </c>
      <c r="I93" s="122">
        <f t="shared" si="32"/>
        <v>0</v>
      </c>
      <c r="J93" s="122">
        <f t="shared" si="32"/>
        <v>0</v>
      </c>
      <c r="K93" s="122">
        <f t="shared" si="32"/>
        <v>0</v>
      </c>
      <c r="L93" s="122">
        <f t="shared" si="32"/>
        <v>0</v>
      </c>
      <c r="M93" s="122">
        <f t="shared" si="32"/>
        <v>0</v>
      </c>
      <c r="N93" s="122">
        <f t="shared" si="32"/>
        <v>0</v>
      </c>
      <c r="O93" s="122">
        <f t="shared" si="32"/>
        <v>0</v>
      </c>
      <c r="P93" s="31">
        <f>SUM(D93:O93)</f>
        <v>181</v>
      </c>
    </row>
    <row r="94" spans="1:16" x14ac:dyDescent="0.25">
      <c r="A94" s="201"/>
      <c r="B94" s="21" t="s">
        <v>190</v>
      </c>
      <c r="C94" s="4" t="s">
        <v>3</v>
      </c>
      <c r="D94" s="123">
        <f>D93+D92</f>
        <v>36</v>
      </c>
      <c r="E94" s="123">
        <f t="shared" ref="E94:P94" si="33">E93+E92</f>
        <v>63</v>
      </c>
      <c r="F94" s="123">
        <f t="shared" si="33"/>
        <v>102</v>
      </c>
      <c r="G94" s="123">
        <f t="shared" ref="G94:H94" si="34">G93+G92</f>
        <v>0</v>
      </c>
      <c r="H94" s="123">
        <f t="shared" si="34"/>
        <v>0</v>
      </c>
      <c r="I94" s="123">
        <f t="shared" ref="I94:O94" si="35">I93+I92</f>
        <v>0</v>
      </c>
      <c r="J94" s="123">
        <f t="shared" si="35"/>
        <v>0</v>
      </c>
      <c r="K94" s="123">
        <f t="shared" si="35"/>
        <v>0</v>
      </c>
      <c r="L94" s="123">
        <f t="shared" si="35"/>
        <v>0</v>
      </c>
      <c r="M94" s="123">
        <f t="shared" si="35"/>
        <v>0</v>
      </c>
      <c r="N94" s="123">
        <f t="shared" si="35"/>
        <v>0</v>
      </c>
      <c r="O94" s="123">
        <f t="shared" si="35"/>
        <v>0</v>
      </c>
      <c r="P94" s="130">
        <f t="shared" si="33"/>
        <v>201</v>
      </c>
    </row>
    <row r="95" spans="1:16" ht="16.5" thickBot="1" x14ac:dyDescent="0.3">
      <c r="A95" s="202"/>
      <c r="B95" s="21" t="s">
        <v>81</v>
      </c>
      <c r="C95" s="4" t="s">
        <v>3</v>
      </c>
      <c r="D95" s="124">
        <f>D90+D91-D94</f>
        <v>197</v>
      </c>
      <c r="E95" s="124">
        <f t="shared" ref="E95:H95" si="36">E90+E91-E94</f>
        <v>203</v>
      </c>
      <c r="F95" s="124">
        <f t="shared" si="36"/>
        <v>198</v>
      </c>
      <c r="G95" s="124">
        <f t="shared" si="36"/>
        <v>191</v>
      </c>
      <c r="H95" s="124">
        <f t="shared" si="36"/>
        <v>191</v>
      </c>
      <c r="I95" s="124">
        <f t="shared" ref="I95:O95" si="37">I90+I91-I94</f>
        <v>191</v>
      </c>
      <c r="J95" s="124">
        <f t="shared" si="37"/>
        <v>191</v>
      </c>
      <c r="K95" s="124">
        <f t="shared" si="37"/>
        <v>191</v>
      </c>
      <c r="L95" s="124">
        <f t="shared" si="37"/>
        <v>191</v>
      </c>
      <c r="M95" s="124">
        <f t="shared" si="37"/>
        <v>191</v>
      </c>
      <c r="N95" s="124">
        <f t="shared" si="37"/>
        <v>191</v>
      </c>
      <c r="O95" s="124">
        <f t="shared" si="37"/>
        <v>132</v>
      </c>
      <c r="P95" s="131">
        <f t="shared" ref="P95" si="38">P90+P91-P94</f>
        <v>198</v>
      </c>
    </row>
    <row r="96" spans="1:16" ht="16.5" thickBot="1" x14ac:dyDescent="0.3">
      <c r="A96" s="77"/>
      <c r="B96" s="62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16" ht="15.75" customHeight="1" thickBot="1" x14ac:dyDescent="0.3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5"/>
    </row>
    <row r="98" spans="1:16" x14ac:dyDescent="0.25">
      <c r="A98" s="73" t="s">
        <v>192</v>
      </c>
      <c r="B98" s="63"/>
      <c r="C98" s="4" t="s">
        <v>3</v>
      </c>
      <c r="D98" s="22">
        <f>Mulanje!D98+Luchenza!D98+Thyolo!D98+Muloza!D98+MUST!D98+Phalombe!D98+Mikolongwe!D98+Migowi!D98+Nkando!D98</f>
        <v>36</v>
      </c>
      <c r="E98" s="22">
        <f>Mulanje!E98+Luchenza!E98+Thyolo!E98+Muloza!E98+MUST!E98+Phalombe!E98+Mikolongwe!E98+Migowi!E98+Nkando!E98</f>
        <v>77</v>
      </c>
      <c r="F98" s="22">
        <f>Mulanje!F98+Luchenza!F98+Thyolo!F98+Muloza!F98+MUST!F98+Phalombe!F98+Mikolongwe!F98+Migowi!F98+Nkando!F98</f>
        <v>129</v>
      </c>
      <c r="G98" s="22">
        <f>Mulanje!G98+Luchenza!G98+Thyolo!G98+Muloza!G98+MUST!G98+Phalombe!G98+Mikolongwe!G98+Migowi!G98+Nkando!G98</f>
        <v>0</v>
      </c>
      <c r="H98" s="22">
        <f>Mulanje!H98+Luchenza!H98+Thyolo!H98+Muloza!H98+MUST!H98+Phalombe!H98+Mikolongwe!H98+Migowi!H98+Nkando!H98</f>
        <v>0</v>
      </c>
      <c r="I98" s="22">
        <f>Mulanje!I98+Luchenza!I98+Thyolo!I98+Muloza!I98+MUST!I98+Phalombe!I98+Mikolongwe!I98+Migowi!I98+Nkando!I98</f>
        <v>0</v>
      </c>
      <c r="J98" s="22">
        <f>Mulanje!J98+Luchenza!J98+Thyolo!J98+Muloza!J98+MUST!J98+Phalombe!J98+Mikolongwe!J98+Migowi!J98+Nkando!J98</f>
        <v>0</v>
      </c>
      <c r="K98" s="22">
        <f>Mulanje!K98+Luchenza!K98+Thyolo!K98+Muloza!K98+MUST!K98+Phalombe!K98+Mikolongwe!K98+Migowi!K98+Nkando!K98</f>
        <v>0</v>
      </c>
      <c r="L98" s="22">
        <f>Mulanje!L98+Luchenza!L98+Thyolo!L98+Muloza!L98+MUST!L98+Phalombe!L98+Mikolongwe!L98+Migowi!L98+Nkando!L98</f>
        <v>0</v>
      </c>
      <c r="M98" s="22">
        <f>Mulanje!M98+Luchenza!M98+Thyolo!M98+Muloza!M98+MUST!M98+Phalombe!M98+Mikolongwe!M98+Migowi!M98+Nkando!M98</f>
        <v>0</v>
      </c>
      <c r="N98" s="22">
        <f>Mulanje!N98+Luchenza!N98+Thyolo!N98+Muloza!N98+MUST!N98+Phalombe!N98+Mikolongwe!N98+Migowi!N98+Nkando!N98</f>
        <v>0</v>
      </c>
      <c r="O98" s="22">
        <f>Mulanje!O98+Luchenza!O98+Thyolo!O98+Muloza!O98+MUST!O98+Phalombe!O98+Mikolongwe!O98+Migowi!O98+Nkando!O98</f>
        <v>0</v>
      </c>
      <c r="P98" s="97">
        <f>SUM(D98:O98)</f>
        <v>242</v>
      </c>
    </row>
    <row r="99" spans="1:16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16" ht="15" x14ac:dyDescent="0.25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1"/>
    </row>
    <row r="101" spans="1:16" x14ac:dyDescent="0.25">
      <c r="A101" s="176" t="s">
        <v>102</v>
      </c>
      <c r="B101" s="177"/>
      <c r="C101" s="4" t="s">
        <v>3</v>
      </c>
      <c r="D101" s="22">
        <f>Mulanje!D101+Luchenza!D101+Thyolo!D101+Muloza!D101+MUST!D101+Phalombe!D101+Mikolongwe!D101+Migowi!D101+Nkando!D101</f>
        <v>2777</v>
      </c>
      <c r="E101" s="22">
        <f>Mulanje!E101+Luchenza!E101+Thyolo!E101+Muloza!E101+MUST!E101+Phalombe!E101+Mikolongwe!E101+Migowi!E101+Nkando!E101</f>
        <v>2707</v>
      </c>
      <c r="F101" s="22">
        <f>Mulanje!F101+Luchenza!F101+Thyolo!F101+Muloza!F101+MUST!F101+Phalombe!F101+Mikolongwe!F101+Migowi!F101+Nkando!F101</f>
        <v>2677</v>
      </c>
      <c r="G101" s="22">
        <f>Mulanje!G101+Luchenza!G101+Thyolo!G101+Muloza!G101+MUST!G101+Phalombe!G101+Mikolongwe!G101+Migowi!G101+Nkando!G101</f>
        <v>0</v>
      </c>
      <c r="H101" s="22">
        <f>Mulanje!H101+Luchenza!H101+Thyolo!H101+Muloza!H101+MUST!H101+Phalombe!H101+Mikolongwe!H101+Migowi!H101+Nkando!H101</f>
        <v>0</v>
      </c>
      <c r="I101" s="22">
        <f>Mulanje!I101+Luchenza!I101+Thyolo!I101+Muloza!I101+MUST!I101+Phalombe!I101+Mikolongwe!I101+Migowi!I101+Nkando!I101</f>
        <v>0</v>
      </c>
      <c r="J101" s="22">
        <f>Mulanje!J101+Luchenza!J101+Thyolo!J101+Muloza!J101+MUST!J101+Phalombe!J101+Mikolongwe!J101+Migowi!J101+Nkando!J101</f>
        <v>0</v>
      </c>
      <c r="K101" s="22">
        <f>Mulanje!K101+Luchenza!K101+Thyolo!K101+Muloza!K101+MUST!K101+Phalombe!K101+Mikolongwe!K101+Migowi!K101+Nkando!K101</f>
        <v>0</v>
      </c>
      <c r="L101" s="22">
        <f>Mulanje!L101+Luchenza!L101+Thyolo!L101+Muloza!L101+MUST!L101+Phalombe!L101+Mikolongwe!L101+Migowi!L101+Nkando!L101</f>
        <v>0</v>
      </c>
      <c r="M101" s="22">
        <f>Mulanje!M101+Luchenza!M101+Thyolo!M101+Muloza!M101+MUST!M101+Phalombe!M101+Mikolongwe!M101+Migowi!M101+Nkando!M101</f>
        <v>0</v>
      </c>
      <c r="N101" s="22">
        <f>Mulanje!N101+Luchenza!N101+Thyolo!N101+Muloza!N101+MUST!N101+Phalombe!N101+Mikolongwe!N101+Migowi!N101+Nkando!N101</f>
        <v>0</v>
      </c>
      <c r="O101" s="22">
        <f>Mulanje!O101+Luchenza!O101+Thyolo!O101+Muloza!O101+MUST!O101+Phalombe!O101+Mikolongwe!O101+Migowi!O101+Nkando!O101</f>
        <v>0</v>
      </c>
      <c r="P101" s="28">
        <f t="shared" ref="P101:P111" si="39">O101</f>
        <v>0</v>
      </c>
    </row>
    <row r="102" spans="1:16" x14ac:dyDescent="0.25">
      <c r="A102" s="176" t="s">
        <v>101</v>
      </c>
      <c r="B102" s="177"/>
      <c r="C102" s="4" t="s">
        <v>3</v>
      </c>
      <c r="D102" s="22">
        <f>Mulanje!D102+Luchenza!D102+Thyolo!D102+Muloza!D102+MUST!D102+Phalombe!D102+Mikolongwe!D102+Migowi!D102+Nkando!D102</f>
        <v>87</v>
      </c>
      <c r="E102" s="22">
        <f>Mulanje!E102+Luchenza!E102+Thyolo!E102+Muloza!E102+MUST!E102+Phalombe!E102+Mikolongwe!E102+Migowi!E102+Nkando!E102</f>
        <v>81</v>
      </c>
      <c r="F102" s="22">
        <f>Mulanje!F102+Luchenza!F102+Thyolo!F102+Muloza!F102+MUST!F102+Phalombe!F102+Mikolongwe!F102+Migowi!F102+Nkando!F102</f>
        <v>69</v>
      </c>
      <c r="G102" s="22">
        <f>Mulanje!G102+Luchenza!G102+Thyolo!G102+Muloza!G102+MUST!G102+Phalombe!G102+Mikolongwe!G102+Migowi!G102+Nkando!G102</f>
        <v>0</v>
      </c>
      <c r="H102" s="22">
        <f>Mulanje!H102+Luchenza!H102+Thyolo!H102+Muloza!H102+MUST!H102+Phalombe!H102+Mikolongwe!H102+Migowi!H102+Nkando!H102</f>
        <v>0</v>
      </c>
      <c r="I102" s="22">
        <f>Mulanje!I102+Luchenza!I102+Thyolo!I102+Muloza!I102+MUST!I102+Phalombe!I102+Mikolongwe!I102+Migowi!I102+Nkando!I102</f>
        <v>0</v>
      </c>
      <c r="J102" s="22">
        <f>Mulanje!J102+Luchenza!J102+Thyolo!J102+Muloza!J102+MUST!J102+Phalombe!J102+Mikolongwe!J102+Migowi!J102+Nkando!J102</f>
        <v>0</v>
      </c>
      <c r="K102" s="22">
        <f>Mulanje!K102+Luchenza!K102+Thyolo!K102+Muloza!K102+MUST!K102+Phalombe!K102+Mikolongwe!K102+Migowi!K102+Nkando!K102</f>
        <v>0</v>
      </c>
      <c r="L102" s="22">
        <f>Mulanje!L102+Luchenza!L102+Thyolo!L102+Muloza!L102+MUST!L102+Phalombe!L102+Mikolongwe!L102+Migowi!L102+Nkando!L102</f>
        <v>0</v>
      </c>
      <c r="M102" s="22">
        <f>Mulanje!M102+Luchenza!M102+Thyolo!M102+Muloza!M102+MUST!M102+Phalombe!M102+Mikolongwe!M102+Migowi!M102+Nkando!M102</f>
        <v>0</v>
      </c>
      <c r="N102" s="22">
        <f>Mulanje!N102+Luchenza!N102+Thyolo!N102+Muloza!N102+MUST!N102+Phalombe!N102+Mikolongwe!N102+Migowi!N102+Nkando!N102</f>
        <v>0</v>
      </c>
      <c r="O102" s="22">
        <f>Mulanje!O102+Luchenza!O102+Thyolo!O102+Muloza!O102+MUST!O102+Phalombe!O102+Mikolongwe!O102+Migowi!O102+Nkando!O102</f>
        <v>0</v>
      </c>
      <c r="P102" s="28">
        <f t="shared" si="39"/>
        <v>0</v>
      </c>
    </row>
    <row r="103" spans="1:16" ht="15.6" customHeight="1" x14ac:dyDescent="0.25">
      <c r="A103" s="182" t="s">
        <v>100</v>
      </c>
      <c r="B103" s="183"/>
      <c r="C103" s="4" t="s">
        <v>3</v>
      </c>
      <c r="D103" s="22">
        <f>Mulanje!D103+Luchenza!D103+Thyolo!D103+Muloza!D103+MUST!D103+Phalombe!D103+Mikolongwe!D103+Migowi!D103+Nkando!D103</f>
        <v>213</v>
      </c>
      <c r="E103" s="22">
        <f>Mulanje!E103+Luchenza!E103+Thyolo!E103+Muloza!E103+MUST!E103+Phalombe!E103+Mikolongwe!E103+Migowi!E103+Nkando!E103</f>
        <v>213</v>
      </c>
      <c r="F103" s="22">
        <f>Mulanje!F103+Luchenza!F103+Thyolo!F103+Muloza!F103+MUST!F103+Phalombe!F103+Mikolongwe!F103+Migowi!F103+Nkando!F103</f>
        <v>213</v>
      </c>
      <c r="G103" s="22">
        <f>Mulanje!G103+Luchenza!G103+Thyolo!G103+Muloza!G103+MUST!G103+Phalombe!G103+Mikolongwe!G103+Migowi!G103+Nkando!G103</f>
        <v>0</v>
      </c>
      <c r="H103" s="22">
        <f>Mulanje!H103+Luchenza!H103+Thyolo!H103+Muloza!H103+MUST!H103+Phalombe!H103+Mikolongwe!H103+Migowi!H103+Nkando!H103</f>
        <v>0</v>
      </c>
      <c r="I103" s="22">
        <f>Mulanje!I103+Luchenza!I103+Thyolo!I103+Muloza!I103+MUST!I103+Phalombe!I103+Mikolongwe!I103+Migowi!I103+Nkando!I103</f>
        <v>0</v>
      </c>
      <c r="J103" s="22">
        <f>Mulanje!J103+Luchenza!J103+Thyolo!J103+Muloza!J103+MUST!J103+Phalombe!J103+Mikolongwe!J103+Migowi!J103+Nkando!J103</f>
        <v>0</v>
      </c>
      <c r="K103" s="22">
        <f>Mulanje!K103+Luchenza!K103+Thyolo!K103+Muloza!K103+MUST!K103+Phalombe!K103+Mikolongwe!K103+Migowi!K103+Nkando!K103</f>
        <v>0</v>
      </c>
      <c r="L103" s="22">
        <f>Mulanje!L103+Luchenza!L103+Thyolo!L103+Muloza!L103+MUST!L103+Phalombe!L103+Mikolongwe!L103+Migowi!L103+Nkando!L103</f>
        <v>0</v>
      </c>
      <c r="M103" s="22">
        <f>Mulanje!M103+Luchenza!M103+Thyolo!M103+Muloza!M103+MUST!M103+Phalombe!M103+Mikolongwe!M103+Migowi!M103+Nkando!M103</f>
        <v>0</v>
      </c>
      <c r="N103" s="22">
        <f>Mulanje!N103+Luchenza!N103+Thyolo!N103+Muloza!N103+MUST!N103+Phalombe!N103+Mikolongwe!N103+Migowi!N103+Nkando!N103</f>
        <v>0</v>
      </c>
      <c r="O103" s="22">
        <f>Mulanje!O103+Luchenza!O103+Thyolo!O103+Muloza!O103+MUST!O103+Phalombe!O103+Mikolongwe!O103+Migowi!O103+Nkando!O103</f>
        <v>0</v>
      </c>
      <c r="P103" s="28">
        <f t="shared" si="39"/>
        <v>0</v>
      </c>
    </row>
    <row r="104" spans="1:16" x14ac:dyDescent="0.25">
      <c r="A104" s="182" t="s">
        <v>99</v>
      </c>
      <c r="B104" s="183"/>
      <c r="C104" s="4" t="s">
        <v>3</v>
      </c>
      <c r="D104" s="22">
        <f>Mulanje!D104+Luchenza!D104+Thyolo!D104+Muloza!D104+MUST!D104+Phalombe!D104+Mikolongwe!D104+Migowi!D104+Nkando!D104</f>
        <v>66</v>
      </c>
      <c r="E104" s="22">
        <f>Mulanje!E104+Luchenza!E104+Thyolo!E104+Muloza!E104+MUST!E104+Phalombe!E104+Mikolongwe!E104+Migowi!E104+Nkando!E104</f>
        <v>66</v>
      </c>
      <c r="F104" s="22">
        <f>Mulanje!F104+Luchenza!F104+Thyolo!F104+Muloza!F104+MUST!F104+Phalombe!F104+Mikolongwe!F104+Migowi!F104+Nkando!F104</f>
        <v>66</v>
      </c>
      <c r="G104" s="22">
        <f>Mulanje!G104+Luchenza!G104+Thyolo!G104+Muloza!G104+MUST!G104+Phalombe!G104+Mikolongwe!G104+Migowi!G104+Nkando!G104</f>
        <v>0</v>
      </c>
      <c r="H104" s="22">
        <f>Mulanje!H104+Luchenza!H104+Thyolo!H104+Muloza!H104+MUST!H104+Phalombe!H104+Mikolongwe!H104+Migowi!H104+Nkando!H104</f>
        <v>0</v>
      </c>
      <c r="I104" s="22">
        <f>Mulanje!I104+Luchenza!I104+Thyolo!I104+Muloza!I104+MUST!I104+Phalombe!I104+Mikolongwe!I104+Migowi!I104+Nkando!I104</f>
        <v>0</v>
      </c>
      <c r="J104" s="22">
        <f>Mulanje!J104+Luchenza!J104+Thyolo!J104+Muloza!J104+MUST!J104+Phalombe!J104+Mikolongwe!J104+Migowi!J104+Nkando!J104</f>
        <v>0</v>
      </c>
      <c r="K104" s="22">
        <f>Mulanje!K104+Luchenza!K104+Thyolo!K104+Muloza!K104+MUST!K104+Phalombe!K104+Mikolongwe!K104+Migowi!K104+Nkando!K104</f>
        <v>0</v>
      </c>
      <c r="L104" s="22">
        <f>Mulanje!L104+Luchenza!L104+Thyolo!L104+Muloza!L104+MUST!L104+Phalombe!L104+Mikolongwe!L104+Migowi!L104+Nkando!L104</f>
        <v>0</v>
      </c>
      <c r="M104" s="22">
        <f>Mulanje!M104+Luchenza!M104+Thyolo!M104+Muloza!M104+MUST!M104+Phalombe!M104+Mikolongwe!M104+Migowi!M104+Nkando!M104</f>
        <v>0</v>
      </c>
      <c r="N104" s="22">
        <f>Mulanje!N104+Luchenza!N104+Thyolo!N104+Muloza!N104+MUST!N104+Phalombe!N104+Mikolongwe!N104+Migowi!N104+Nkando!N104</f>
        <v>0</v>
      </c>
      <c r="O104" s="22">
        <f>Mulanje!O104+Luchenza!O104+Thyolo!O104+Muloza!O104+MUST!O104+Phalombe!O104+Mikolongwe!O104+Migowi!O104+Nkando!O104</f>
        <v>0</v>
      </c>
      <c r="P104" s="28">
        <f t="shared" si="39"/>
        <v>0</v>
      </c>
    </row>
    <row r="105" spans="1:16" x14ac:dyDescent="0.25">
      <c r="A105" s="198" t="s">
        <v>98</v>
      </c>
      <c r="B105" s="199"/>
      <c r="C105" s="4" t="s">
        <v>3</v>
      </c>
      <c r="D105" s="29">
        <f>SUM(D101:D104)</f>
        <v>3143</v>
      </c>
      <c r="E105" s="29">
        <f t="shared" ref="E105:O105" si="40">SUM(E101:E104)</f>
        <v>3067</v>
      </c>
      <c r="F105" s="29">
        <f t="shared" si="40"/>
        <v>3025</v>
      </c>
      <c r="G105" s="29">
        <f t="shared" ref="G105" si="41">SUM(G101:G104)</f>
        <v>0</v>
      </c>
      <c r="H105" s="29">
        <f t="shared" si="40"/>
        <v>0</v>
      </c>
      <c r="I105" s="29">
        <f t="shared" si="40"/>
        <v>0</v>
      </c>
      <c r="J105" s="29">
        <f t="shared" si="40"/>
        <v>0</v>
      </c>
      <c r="K105" s="29">
        <f t="shared" si="40"/>
        <v>0</v>
      </c>
      <c r="L105" s="29">
        <f t="shared" si="40"/>
        <v>0</v>
      </c>
      <c r="M105" s="29">
        <f t="shared" si="40"/>
        <v>0</v>
      </c>
      <c r="N105" s="29">
        <f t="shared" si="40"/>
        <v>0</v>
      </c>
      <c r="O105" s="29">
        <f t="shared" si="40"/>
        <v>0</v>
      </c>
      <c r="P105" s="28">
        <f t="shared" si="39"/>
        <v>0</v>
      </c>
    </row>
    <row r="106" spans="1:16" ht="15.6" customHeight="1" x14ac:dyDescent="0.25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9"/>
    </row>
    <row r="107" spans="1:16" x14ac:dyDescent="0.25">
      <c r="A107" s="176" t="s">
        <v>195</v>
      </c>
      <c r="B107" s="177"/>
      <c r="C107" s="4" t="s">
        <v>3</v>
      </c>
      <c r="D107" s="22">
        <f>Mulanje!D107+Luchenza!D107+Thyolo!D107+Muloza!D107+MUST!D107+Phalombe!D107+Mikolongwe!D107+Migowi!D113+Nkando!D107</f>
        <v>4419</v>
      </c>
      <c r="E107" s="22">
        <f>Mulanje!E107+Luchenza!E107+Thyolo!E107+Muloza!E107+MUST!E107+Phalombe!E107+Mikolongwe!E107+Migowi!E113+Nkando!E107</f>
        <v>4416</v>
      </c>
      <c r="F107" s="22">
        <f>Mulanje!F107+Luchenza!F107+Thyolo!F107+Muloza!F107+MUST!F107+Phalombe!F107+Mikolongwe!F107+Migowi!F107+Nkando!F107</f>
        <v>4220</v>
      </c>
      <c r="G107" s="22">
        <f>Mulanje!G107+Luchenza!G107+Thyolo!G107+Muloza!G107+MUST!G107+Phalombe!G107+Mikolongwe!G107+Migowi!G107+Nkando!G107</f>
        <v>0</v>
      </c>
      <c r="H107" s="22">
        <f>Mulanje!H107+Luchenza!H107+Thyolo!H107+Muloza!H107+MUST!H107+Phalombe!H107+Mikolongwe!H107+Migowi!H107+Nkando!H107</f>
        <v>0</v>
      </c>
      <c r="I107" s="22">
        <f>Mulanje!I107+Luchenza!I107+Thyolo!I107+Muloza!I107+MUST!I107+Phalombe!I107+Mikolongwe!I107+Migowi!I107+Nkando!I107</f>
        <v>0</v>
      </c>
      <c r="J107" s="22">
        <f>Mulanje!J107+Luchenza!J107+Thyolo!J107+Muloza!J107+MUST!J107+Phalombe!J107+Mikolongwe!J107+Migowi!J107+Nkando!J107</f>
        <v>0</v>
      </c>
      <c r="K107" s="22">
        <f>Mulanje!K107+Luchenza!K107+Thyolo!K107+Muloza!K107+MUST!K107+Phalombe!K107+Mikolongwe!K107+Migowi!K107+Nkando!K107</f>
        <v>0</v>
      </c>
      <c r="L107" s="22">
        <f>Mulanje!L107+Luchenza!L107+Thyolo!L107+Muloza!L107+MUST!L107+Phalombe!L107+Mikolongwe!L107+Migowi!L107+Nkando!L107</f>
        <v>0</v>
      </c>
      <c r="M107" s="22">
        <f>Mulanje!M107+Luchenza!M107+Thyolo!M107+Muloza!M107+MUST!M107+Phalombe!M107+Mikolongwe!M107+Migowi!M107+Nkando!M107</f>
        <v>0</v>
      </c>
      <c r="N107" s="22">
        <f>Mulanje!N107+Luchenza!N107+Thyolo!N107+Muloza!N107+MUST!N107+Phalombe!N107+Mikolongwe!N107+Migowi!N107+Nkando!N107</f>
        <v>0</v>
      </c>
      <c r="O107" s="22">
        <f>Mulanje!O107+Luchenza!O107+Thyolo!O107+Muloza!O107+MUST!O107+Phalombe!O107+Mikolongwe!O107+Migowi!O107+Nkando!O107</f>
        <v>0</v>
      </c>
      <c r="P107" s="28">
        <f t="shared" si="39"/>
        <v>0</v>
      </c>
    </row>
    <row r="108" spans="1:16" x14ac:dyDescent="0.25">
      <c r="A108" s="176" t="s">
        <v>196</v>
      </c>
      <c r="B108" s="177"/>
      <c r="C108" s="4" t="s">
        <v>3</v>
      </c>
      <c r="D108" s="22">
        <f>Mulanje!D108+Luchenza!D108+Thyolo!D108+Muloza!D108+MUST!D108+Phalombe!D108+Mikolongwe!D108+Migowi!D114+Nkando!D108</f>
        <v>20</v>
      </c>
      <c r="E108" s="22">
        <f>Mulanje!E108+Luchenza!E108+Thyolo!E108+Muloza!E108+MUST!E108+Phalombe!E108+Mikolongwe!E108+Migowi!E114+Nkando!E108</f>
        <v>21</v>
      </c>
      <c r="F108" s="22">
        <f>Mulanje!F108+Luchenza!F108+Thyolo!F108+Muloza!F108+MUST!F108+Phalombe!F108+Mikolongwe!F108+Migowi!F108+Nkando!F108</f>
        <v>15</v>
      </c>
      <c r="G108" s="22">
        <f>Mulanje!G108+Luchenza!G108+Thyolo!G108+Muloza!G108+MUST!G108+Phalombe!G108+Mikolongwe!G108+Migowi!G108+Nkando!G108</f>
        <v>0</v>
      </c>
      <c r="H108" s="22">
        <f>Mulanje!H108+Luchenza!H108+Thyolo!H108+Muloza!H108+MUST!H108+Phalombe!H108+Mikolongwe!H108+Migowi!H108+Nkando!H108</f>
        <v>0</v>
      </c>
      <c r="I108" s="22">
        <f>Mulanje!I108+Luchenza!I108+Thyolo!I108+Muloza!I108+MUST!I108+Phalombe!I108+Mikolongwe!I108+Migowi!I108+Nkando!I108</f>
        <v>0</v>
      </c>
      <c r="J108" s="22">
        <f>Mulanje!J108+Luchenza!J108+Thyolo!J108+Muloza!J108+MUST!J108+Phalombe!J108+Mikolongwe!J108+Migowi!J108+Nkando!J108</f>
        <v>0</v>
      </c>
      <c r="K108" s="22">
        <f>Mulanje!K108+Luchenza!K108+Thyolo!K108+Muloza!K108+MUST!K108+Phalombe!K108+Mikolongwe!K108+Migowi!K108+Nkando!K108</f>
        <v>0</v>
      </c>
      <c r="L108" s="22">
        <f>Mulanje!L108+Luchenza!L108+Thyolo!L108+Muloza!L108+MUST!L108+Phalombe!L108+Mikolongwe!L108+Migowi!L108+Nkando!L108</f>
        <v>0</v>
      </c>
      <c r="M108" s="22">
        <f>Mulanje!M108+Luchenza!M108+Thyolo!M108+Muloza!M108+MUST!M108+Phalombe!M108+Mikolongwe!M108+Migowi!M108+Nkando!M108</f>
        <v>0</v>
      </c>
      <c r="N108" s="22">
        <f>Mulanje!N108+Luchenza!N108+Thyolo!N108+Muloza!N108+MUST!N108+Phalombe!N108+Mikolongwe!N108+Migowi!N108+Nkando!N108</f>
        <v>0</v>
      </c>
      <c r="O108" s="22">
        <f>Mulanje!O108+Luchenza!O108+Thyolo!O108+Muloza!O108+MUST!O108+Phalombe!O108+Mikolongwe!O108+Migowi!O108+Nkando!O108</f>
        <v>0</v>
      </c>
      <c r="P108" s="28">
        <f t="shared" si="39"/>
        <v>0</v>
      </c>
    </row>
    <row r="109" spans="1:16" x14ac:dyDescent="0.25">
      <c r="A109" s="176" t="s">
        <v>197</v>
      </c>
      <c r="B109" s="177"/>
      <c r="C109" s="4" t="s">
        <v>3</v>
      </c>
      <c r="D109" s="22">
        <f>Mulanje!D109+Luchenza!D109+Thyolo!D109+Muloza!D109+MUST!D109+Phalombe!D109+Mikolongwe!D109+Migowi!D109+Nkando!D109</f>
        <v>22</v>
      </c>
      <c r="E109" s="22">
        <f>Mulanje!E109+Luchenza!E109+Thyolo!E109+Muloza!E109+MUST!E109+Phalombe!E109+Mikolongwe!E109+Migowi!E109+Nkando!E109</f>
        <v>21</v>
      </c>
      <c r="F109" s="22">
        <f>Mulanje!F109+Luchenza!F109+Thyolo!F109+Muloza!F109+MUST!F109+Phalombe!F109+Mikolongwe!F109+Migowi!F109+Nkando!F109</f>
        <v>21</v>
      </c>
      <c r="G109" s="22">
        <f>Mulanje!G109+Luchenza!G109+Thyolo!G109+Muloza!G109+MUST!G109+Phalombe!G109+Mikolongwe!G109+Migowi!G109+Nkando!G109</f>
        <v>0</v>
      </c>
      <c r="H109" s="22">
        <f>Mulanje!H109+Luchenza!H109+Thyolo!H109+Muloza!H109+MUST!H109+Phalombe!H109+Mikolongwe!H109+Migowi!H109+Nkando!H109</f>
        <v>0</v>
      </c>
      <c r="I109" s="22">
        <f>Mulanje!I109+Luchenza!I109+Thyolo!I109+Muloza!I109+MUST!I109+Phalombe!I109+Mikolongwe!I109+Migowi!I109+Nkando!I109</f>
        <v>0</v>
      </c>
      <c r="J109" s="22">
        <f>Mulanje!J109+Luchenza!J109+Thyolo!J109+Muloza!J109+MUST!J109+Phalombe!J109+Mikolongwe!J109+Migowi!J109+Nkando!J109</f>
        <v>0</v>
      </c>
      <c r="K109" s="22">
        <f>Mulanje!K109+Luchenza!K109+Thyolo!K109+Muloza!K109+MUST!K109+Phalombe!K109+Mikolongwe!K109+Migowi!K109+Nkando!K109</f>
        <v>0</v>
      </c>
      <c r="L109" s="22">
        <f>Mulanje!L109+Luchenza!L109+Thyolo!L109+Muloza!L109+MUST!L109+Phalombe!L109+Mikolongwe!L109+Migowi!L109+Nkando!L109</f>
        <v>0</v>
      </c>
      <c r="M109" s="22">
        <f>Mulanje!M109+Luchenza!M109+Thyolo!M109+Muloza!M109+MUST!M109+Phalombe!M109+Mikolongwe!M109+Migowi!M109+Nkando!M109</f>
        <v>0</v>
      </c>
      <c r="N109" s="22">
        <f>Mulanje!N109+Luchenza!N109+Thyolo!N109+Muloza!N109+MUST!N109+Phalombe!N109+Mikolongwe!N109+Migowi!N109+Nkando!N109</f>
        <v>0</v>
      </c>
      <c r="O109" s="22">
        <f>Mulanje!O109+Luchenza!O109+Thyolo!O109+Muloza!O109+MUST!O109+Phalombe!O109+Mikolongwe!O109+Migowi!O109+Nkando!O109</f>
        <v>0</v>
      </c>
      <c r="P109" s="28">
        <f t="shared" si="39"/>
        <v>0</v>
      </c>
    </row>
    <row r="110" spans="1:16" x14ac:dyDescent="0.25">
      <c r="A110" s="176" t="s">
        <v>198</v>
      </c>
      <c r="B110" s="177"/>
      <c r="C110" s="4" t="s">
        <v>3</v>
      </c>
      <c r="D110" s="22">
        <f>Mulanje!D110+Luchenza!D110+Thyolo!D110+Muloza!D110+MUST!D110+Phalombe!D110+Mikolongwe!D110+Migowi!D110+Nkando!D110</f>
        <v>17</v>
      </c>
      <c r="E110" s="22">
        <f>Mulanje!E110+Luchenza!E110+Thyolo!E110+Muloza!E110+MUST!E110+Phalombe!E110+Mikolongwe!E110+Migowi!E110+Nkando!E110</f>
        <v>17</v>
      </c>
      <c r="F110" s="22">
        <f>Mulanje!F110+Luchenza!F110+Thyolo!F110+Muloza!F110+MUST!F110+Phalombe!F110+Mikolongwe!F110+Migowi!F110+Nkando!F110</f>
        <v>17</v>
      </c>
      <c r="G110" s="22">
        <f>Mulanje!G110+Luchenza!G110+Thyolo!G110+Muloza!G110+MUST!G110+Phalombe!G110+Mikolongwe!G110+Migowi!G110+Nkando!G110</f>
        <v>0</v>
      </c>
      <c r="H110" s="22">
        <f>Mulanje!H110+Luchenza!H110+Thyolo!H110+Muloza!H110+MUST!H110+Phalombe!H110+Mikolongwe!H110+Migowi!H110+Nkando!H110</f>
        <v>0</v>
      </c>
      <c r="I110" s="22">
        <f>Mulanje!I110+Luchenza!I110+Thyolo!I110+Muloza!I110+MUST!I110+Phalombe!I110+Mikolongwe!I110+Migowi!I110+Nkando!I110</f>
        <v>0</v>
      </c>
      <c r="J110" s="22">
        <f>Mulanje!J110+Luchenza!J110+Thyolo!J110+Muloza!J110+MUST!J110+Phalombe!J110+Mikolongwe!J110+Migowi!J110+Nkando!J110</f>
        <v>0</v>
      </c>
      <c r="K110" s="22">
        <f>Mulanje!K110+Luchenza!K110+Thyolo!K110+Muloza!K110+MUST!K110+Phalombe!K110+Mikolongwe!K110+Migowi!K110+Nkando!K110</f>
        <v>0</v>
      </c>
      <c r="L110" s="22">
        <f>Mulanje!L110+Luchenza!L110+Thyolo!L110+Muloza!L110+MUST!L110+Phalombe!L110+Mikolongwe!L110+Migowi!L110+Nkando!L110</f>
        <v>0</v>
      </c>
      <c r="M110" s="22">
        <f>Mulanje!M110+Luchenza!M110+Thyolo!M110+Muloza!M110+MUST!M110+Phalombe!M110+Mikolongwe!M110+Migowi!M110+Nkando!M110</f>
        <v>0</v>
      </c>
      <c r="N110" s="22">
        <f>Mulanje!N110+Luchenza!N110+Thyolo!N110+Muloza!N110+MUST!N110+Phalombe!N110+Mikolongwe!N110+Migowi!N110+Nkando!N110</f>
        <v>0</v>
      </c>
      <c r="O110" s="22">
        <f>Mulanje!O110+Luchenza!O110+Thyolo!O110+Muloza!O110+MUST!O110+Phalombe!O110+Mikolongwe!O110+Migowi!O110+Nkando!O110</f>
        <v>0</v>
      </c>
      <c r="P110" s="28">
        <f t="shared" si="39"/>
        <v>0</v>
      </c>
    </row>
    <row r="111" spans="1:16" x14ac:dyDescent="0.25">
      <c r="A111" s="178" t="s">
        <v>97</v>
      </c>
      <c r="B111" s="179"/>
      <c r="C111" s="4" t="s">
        <v>3</v>
      </c>
      <c r="D111" s="29">
        <f>SUM(D107:D110)</f>
        <v>4478</v>
      </c>
      <c r="E111" s="29">
        <f t="shared" ref="E111:O111" si="42">SUM(E107:E110)</f>
        <v>4475</v>
      </c>
      <c r="F111" s="29">
        <f t="shared" si="42"/>
        <v>4273</v>
      </c>
      <c r="G111" s="29">
        <f t="shared" ref="G111" si="43">SUM(G107:G110)</f>
        <v>0</v>
      </c>
      <c r="H111" s="29">
        <f t="shared" si="42"/>
        <v>0</v>
      </c>
      <c r="I111" s="29">
        <f t="shared" si="42"/>
        <v>0</v>
      </c>
      <c r="J111" s="29">
        <f t="shared" si="42"/>
        <v>0</v>
      </c>
      <c r="K111" s="29">
        <f t="shared" si="42"/>
        <v>0</v>
      </c>
      <c r="L111" s="29">
        <f t="shared" si="42"/>
        <v>0</v>
      </c>
      <c r="M111" s="29">
        <f t="shared" si="42"/>
        <v>0</v>
      </c>
      <c r="N111" s="29">
        <f t="shared" si="42"/>
        <v>0</v>
      </c>
      <c r="O111" s="29">
        <f t="shared" si="42"/>
        <v>0</v>
      </c>
      <c r="P111" s="28">
        <f t="shared" si="39"/>
        <v>0</v>
      </c>
    </row>
    <row r="112" spans="1:16" ht="15.6" customHeight="1" x14ac:dyDescent="0.25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1"/>
    </row>
    <row r="113" spans="1:16" x14ac:dyDescent="0.25">
      <c r="A113" s="176" t="s">
        <v>199</v>
      </c>
      <c r="B113" s="177"/>
      <c r="C113" s="4" t="s">
        <v>3</v>
      </c>
      <c r="D113" s="22">
        <f>Mulanje!D113+Luchenza!D113+Thyolo!D113+Muloza!D113+MUST!D113+Phalombe!D113+Mikolongwe!D113+Migowi!D113+Nkando!D113</f>
        <v>5109</v>
      </c>
      <c r="E113" s="22">
        <f>Mulanje!E113+Luchenza!E113+Thyolo!E113+Muloza!E113+MUST!E113+Phalombe!E113+Mikolongwe!E113+Migowi!E113+Nkando!E113</f>
        <v>5199</v>
      </c>
      <c r="F113" s="22">
        <f>Mulanje!F113+Luchenza!F113+Thyolo!F113+Muloza!F113+MUST!F113+Phalombe!F113+Mikolongwe!F113+Migowi!F113+Nkando!F113</f>
        <v>5465</v>
      </c>
      <c r="G113" s="22">
        <f>Mulanje!G113+Luchenza!G113+Thyolo!G113+Muloza!G113+MUST!G113+Phalombe!G113+Mikolongwe!G113+Migowi!G113+Nkando!G113</f>
        <v>0</v>
      </c>
      <c r="H113" s="22">
        <f>Mulanje!H113+Luchenza!H113+Thyolo!H113+Muloza!H113+MUST!H113+Phalombe!H113+Mikolongwe!H113+Migowi!H113+Nkando!H113</f>
        <v>0</v>
      </c>
      <c r="I113" s="22">
        <f>Mulanje!I113+Luchenza!I113+Thyolo!I113+Muloza!I113+MUST!I113+Phalombe!I113+Mikolongwe!I113+Migowi!I113+Nkando!I113</f>
        <v>0</v>
      </c>
      <c r="J113" s="22">
        <f>Mulanje!J113+Luchenza!J113+Thyolo!J113+Muloza!J113+MUST!J113+Phalombe!J113+Mikolongwe!J113+Migowi!J113+Nkando!J113</f>
        <v>0</v>
      </c>
      <c r="K113" s="22">
        <f>Mulanje!K113+Luchenza!K113+Thyolo!K113+Muloza!K113+MUST!K113+Phalombe!K113+Mikolongwe!K113+Migowi!K113+Nkando!K113</f>
        <v>0</v>
      </c>
      <c r="L113" s="22">
        <f>Mulanje!L113+Luchenza!L113+Thyolo!L113+Muloza!L113+MUST!L113+Phalombe!L113+Mikolongwe!L113+Migowi!L113+Nkando!L113</f>
        <v>0</v>
      </c>
      <c r="M113" s="22">
        <f>Mulanje!M113+Luchenza!M113+Thyolo!M113+Muloza!M113+MUST!M113+Phalombe!M113+Mikolongwe!M113+Migowi!M113+Nkando!M113</f>
        <v>0</v>
      </c>
      <c r="N113" s="22">
        <f>Mulanje!N113+Luchenza!N113+Thyolo!N113+Muloza!N113+MUST!N113+Phalombe!N113+Mikolongwe!N113+Migowi!N113+Nkando!N113</f>
        <v>0</v>
      </c>
      <c r="O113" s="22">
        <f>Mulanje!O113+Luchenza!O113+Thyolo!O113+Muloza!O113+MUST!O113+Phalombe!O113+Mikolongwe!O113+Migowi!O113+Nkando!O113</f>
        <v>0</v>
      </c>
      <c r="P113" s="28">
        <f>O113</f>
        <v>0</v>
      </c>
    </row>
    <row r="114" spans="1:16" x14ac:dyDescent="0.25">
      <c r="A114" s="176" t="s">
        <v>200</v>
      </c>
      <c r="B114" s="177"/>
      <c r="C114" s="4" t="s">
        <v>3</v>
      </c>
      <c r="D114" s="22">
        <f>Mulanje!D114+Luchenza!D114+Thyolo!D114+Muloza!D114+MUST!D114+Phalombe!D114+Mikolongwe!D114+Migowi!D114+Nkando!D114</f>
        <v>257</v>
      </c>
      <c r="E114" s="22">
        <f>Mulanje!E114+Luchenza!E114+Thyolo!E114+Muloza!E114+MUST!E114+Phalombe!E114+Mikolongwe!E114+Migowi!E114+Nkando!E114</f>
        <v>269</v>
      </c>
      <c r="F114" s="22">
        <f>Mulanje!F114+Luchenza!F114+Thyolo!F114+Muloza!F114+MUST!F114+Phalombe!F114+Mikolongwe!F114+Migowi!F114+Nkando!F114</f>
        <v>292</v>
      </c>
      <c r="G114" s="22">
        <f>Mulanje!G114+Luchenza!G114+Thyolo!G114+Muloza!G114+MUST!G114+Phalombe!G114+Mikolongwe!G114+Migowi!G114+Nkando!G114</f>
        <v>0</v>
      </c>
      <c r="H114" s="22">
        <f>Mulanje!H114+Luchenza!H114+Thyolo!H114+Muloza!H114+MUST!H114+Phalombe!H114+Mikolongwe!H114+Migowi!H114+Nkando!H114</f>
        <v>0</v>
      </c>
      <c r="I114" s="22">
        <f>Mulanje!I114+Luchenza!I114+Thyolo!I114+Muloza!I114+MUST!I114+Phalombe!I114+Mikolongwe!I114+Migowi!I114+Nkando!I114</f>
        <v>0</v>
      </c>
      <c r="J114" s="22">
        <f>Mulanje!J114+Luchenza!J114+Thyolo!J114+Muloza!J114+MUST!J114+Phalombe!J114+Mikolongwe!J114+Migowi!J114+Nkando!J114</f>
        <v>0</v>
      </c>
      <c r="K114" s="22">
        <f>Mulanje!K114+Luchenza!K114+Thyolo!K114+Muloza!K114+MUST!K114+Phalombe!K114+Mikolongwe!K114+Migowi!K114+Nkando!K114</f>
        <v>0</v>
      </c>
      <c r="L114" s="22">
        <f>Mulanje!L114+Luchenza!L114+Thyolo!L114+Muloza!L114+MUST!L114+Phalombe!L114+Mikolongwe!L114+Migowi!L114+Nkando!L114</f>
        <v>0</v>
      </c>
      <c r="M114" s="22">
        <f>Mulanje!M114+Luchenza!M114+Thyolo!M114+Muloza!M114+MUST!M114+Phalombe!M114+Mikolongwe!M114+Migowi!M114+Nkando!M114</f>
        <v>0</v>
      </c>
      <c r="N114" s="22">
        <f>Mulanje!N114+Luchenza!N114+Thyolo!N114+Muloza!N114+MUST!N114+Phalombe!N114+Mikolongwe!N114+Migowi!N114+Nkando!N114</f>
        <v>0</v>
      </c>
      <c r="O114" s="22">
        <f>Mulanje!O114+Luchenza!O114+Thyolo!O114+Muloza!O114+MUST!O114+Phalombe!O114+Mikolongwe!O114+Migowi!O114+Nkando!O114</f>
        <v>0</v>
      </c>
      <c r="P114" s="28">
        <f>O114</f>
        <v>0</v>
      </c>
    </row>
    <row r="115" spans="1:16" x14ac:dyDescent="0.25">
      <c r="A115" s="176" t="s">
        <v>201</v>
      </c>
      <c r="B115" s="177"/>
      <c r="C115" s="4" t="s">
        <v>3</v>
      </c>
      <c r="D115" s="22">
        <f>Mulanje!D115+Luchenza!D115+Thyolo!D115+Muloza!D115+MUST!D115+Phalombe!D115+Mikolongwe!D115+Migowi!D115+Nkando!D115</f>
        <v>375</v>
      </c>
      <c r="E115" s="22">
        <f>Mulanje!E115+Luchenza!E115+Thyolo!E115+Muloza!E115+MUST!E115+Phalombe!E115+Mikolongwe!E115+Migowi!E115+Nkando!E115</f>
        <v>395</v>
      </c>
      <c r="F115" s="22">
        <f>Mulanje!F115+Luchenza!F115+Thyolo!F115+Muloza!F115+MUST!F115+Phalombe!F115+Mikolongwe!F115+Migowi!F115+Nkando!F115</f>
        <v>407</v>
      </c>
      <c r="G115" s="22">
        <f>Mulanje!G115+Luchenza!G115+Thyolo!G115+Muloza!G115+MUST!G115+Phalombe!G115+Mikolongwe!G115+Migowi!G115+Nkando!G115</f>
        <v>0</v>
      </c>
      <c r="H115" s="22">
        <f>Mulanje!H115+Luchenza!H115+Thyolo!H115+Muloza!H115+MUST!H115+Phalombe!H115+Mikolongwe!H115+Migowi!H115+Nkando!H115</f>
        <v>0</v>
      </c>
      <c r="I115" s="22">
        <f>Mulanje!I115+Luchenza!I115+Thyolo!I115+Muloza!I115+MUST!I115+Phalombe!I115+Mikolongwe!I115+Migowi!I115+Nkando!I115</f>
        <v>0</v>
      </c>
      <c r="J115" s="22">
        <f>Mulanje!J115+Luchenza!J115+Thyolo!J115+Muloza!J115+MUST!J115+Phalombe!J115+Mikolongwe!J115+Migowi!J115+Nkando!J115</f>
        <v>0</v>
      </c>
      <c r="K115" s="22">
        <f>Mulanje!K115+Luchenza!K115+Thyolo!K115+Muloza!K115+MUST!K115+Phalombe!K115+Mikolongwe!K115+Migowi!K115+Nkando!K115</f>
        <v>0</v>
      </c>
      <c r="L115" s="22">
        <f>Mulanje!L115+Luchenza!L115+Thyolo!L115+Muloza!L115+MUST!L115+Phalombe!L115+Mikolongwe!L115+Migowi!L115+Nkando!L115</f>
        <v>0</v>
      </c>
      <c r="M115" s="22">
        <f>Mulanje!M115+Luchenza!M115+Thyolo!M115+Muloza!M115+MUST!M115+Phalombe!M115+Mikolongwe!M115+Migowi!M115+Nkando!M115</f>
        <v>0</v>
      </c>
      <c r="N115" s="22">
        <f>Mulanje!N115+Luchenza!N115+Thyolo!N115+Muloza!N115+MUST!N115+Phalombe!N115+Mikolongwe!N115+Migowi!N115+Nkando!N115</f>
        <v>0</v>
      </c>
      <c r="O115" s="22">
        <f>Mulanje!O115+Luchenza!O115+Thyolo!O115+Muloza!O115+MUST!O115+Phalombe!O115+Mikolongwe!O115+Migowi!O115+Nkando!O115</f>
        <v>0</v>
      </c>
      <c r="P115" s="28">
        <f t="shared" ref="P115:P116" si="44">O115</f>
        <v>0</v>
      </c>
    </row>
    <row r="116" spans="1:16" x14ac:dyDescent="0.25">
      <c r="A116" s="176" t="s">
        <v>202</v>
      </c>
      <c r="B116" s="177"/>
      <c r="C116" s="4" t="s">
        <v>3</v>
      </c>
      <c r="D116" s="22">
        <f>Mulanje!D116+Luchenza!D116+Thyolo!D116+Muloza!D116+MUST!D116+Phalombe!D116+Mikolongwe!D116+Migowi!D116+Nkando!D116</f>
        <v>23</v>
      </c>
      <c r="E116" s="22">
        <f>Mulanje!E116+Luchenza!E116+Thyolo!E116+Muloza!E116+MUST!E116+Phalombe!E116+Mikolongwe!E116+Migowi!E116+Nkando!E116</f>
        <v>23</v>
      </c>
      <c r="F116" s="22">
        <f>Mulanje!F116+Luchenza!F116+Thyolo!F116+Muloza!F116+MUST!F116+Phalombe!F116+Mikolongwe!F116+Migowi!F116+Nkando!F116</f>
        <v>23</v>
      </c>
      <c r="G116" s="22">
        <f>Mulanje!G116+Luchenza!G116+Thyolo!G116+Muloza!G116+MUST!G116+Phalombe!G116+Mikolongwe!G116+Migowi!G116+Nkando!G116</f>
        <v>0</v>
      </c>
      <c r="H116" s="22">
        <f>Mulanje!H116+Luchenza!H116+Thyolo!H116+Muloza!H116+MUST!H116+Phalombe!H116+Mikolongwe!H116+Migowi!H116+Nkando!H116</f>
        <v>0</v>
      </c>
      <c r="I116" s="22">
        <f>Mulanje!I116+Luchenza!I116+Thyolo!I116+Muloza!I116+MUST!I116+Phalombe!I116+Mikolongwe!I116+Migowi!I116+Nkando!I116</f>
        <v>0</v>
      </c>
      <c r="J116" s="22">
        <f>Mulanje!J116+Luchenza!J116+Thyolo!J116+Muloza!J116+MUST!J116+Phalombe!J116+Mikolongwe!J116+Migowi!J116+Nkando!J116</f>
        <v>0</v>
      </c>
      <c r="K116" s="22">
        <f>Mulanje!K116+Luchenza!K116+Thyolo!K116+Muloza!K116+MUST!K116+Phalombe!K116+Mikolongwe!K116+Migowi!K116+Nkando!K116</f>
        <v>0</v>
      </c>
      <c r="L116" s="22">
        <f>Mulanje!L116+Luchenza!L116+Thyolo!L116+Muloza!L116+MUST!L116+Phalombe!L116+Mikolongwe!L116+Migowi!L116+Nkando!L116</f>
        <v>0</v>
      </c>
      <c r="M116" s="22">
        <f>Mulanje!M116+Luchenza!M116+Thyolo!M116+Muloza!M116+MUST!M116+Phalombe!M116+Mikolongwe!M116+Migowi!M116+Nkando!M116</f>
        <v>0</v>
      </c>
      <c r="N116" s="22">
        <f>Mulanje!N116+Luchenza!N116+Thyolo!N116+Muloza!N116+MUST!N116+Phalombe!N116+Mikolongwe!N116+Migowi!N116+Nkando!N116</f>
        <v>0</v>
      </c>
      <c r="O116" s="22">
        <f>Mulanje!O116+Luchenza!O116+Thyolo!O116+Muloza!O116+MUST!O116+Phalombe!O116+Mikolongwe!O116+Migowi!O116+Nkando!O116</f>
        <v>0</v>
      </c>
      <c r="P116" s="28">
        <f t="shared" si="44"/>
        <v>0</v>
      </c>
    </row>
    <row r="117" spans="1:16" x14ac:dyDescent="0.25">
      <c r="A117" s="178" t="s">
        <v>96</v>
      </c>
      <c r="B117" s="179"/>
      <c r="C117" s="4" t="s">
        <v>3</v>
      </c>
      <c r="D117" s="29">
        <f>SUM(D113:D116)</f>
        <v>5764</v>
      </c>
      <c r="E117" s="29">
        <f>SUM(E113:E116)</f>
        <v>5886</v>
      </c>
      <c r="F117" s="29">
        <f>SUM(F113:F116)</f>
        <v>6187</v>
      </c>
      <c r="G117" s="29">
        <f>SUM(G113:G116)</f>
        <v>0</v>
      </c>
      <c r="H117" s="29">
        <f>SUM(H113:H116)</f>
        <v>0</v>
      </c>
      <c r="I117" s="29">
        <f t="shared" ref="I117:O117" si="45">SUM(I113:I116)</f>
        <v>0</v>
      </c>
      <c r="J117" s="29">
        <f t="shared" si="45"/>
        <v>0</v>
      </c>
      <c r="K117" s="29">
        <f t="shared" si="45"/>
        <v>0</v>
      </c>
      <c r="L117" s="29">
        <f t="shared" si="45"/>
        <v>0</v>
      </c>
      <c r="M117" s="29">
        <f t="shared" si="45"/>
        <v>0</v>
      </c>
      <c r="N117" s="29">
        <f t="shared" si="45"/>
        <v>0</v>
      </c>
      <c r="O117" s="29">
        <f t="shared" si="45"/>
        <v>0</v>
      </c>
      <c r="P117" s="50">
        <f t="shared" ref="P117" si="46">SUM(P113:P116)</f>
        <v>0</v>
      </c>
    </row>
    <row r="118" spans="1:16" x14ac:dyDescent="0.25">
      <c r="A118" s="70" t="s">
        <v>193</v>
      </c>
      <c r="B118" s="71"/>
      <c r="C118" s="4" t="s">
        <v>3</v>
      </c>
      <c r="D118" s="29">
        <f>D111+D117</f>
        <v>10242</v>
      </c>
      <c r="E118" s="29">
        <f>E111+E117</f>
        <v>10361</v>
      </c>
      <c r="F118" s="29">
        <f>F111+F117</f>
        <v>10460</v>
      </c>
      <c r="G118" s="29">
        <f>G111+G117</f>
        <v>0</v>
      </c>
      <c r="H118" s="29">
        <f>H111+H117</f>
        <v>0</v>
      </c>
      <c r="I118" s="29">
        <f t="shared" ref="I118:P118" si="47">I111+I117</f>
        <v>0</v>
      </c>
      <c r="J118" s="29">
        <f t="shared" si="47"/>
        <v>0</v>
      </c>
      <c r="K118" s="29">
        <f t="shared" si="47"/>
        <v>0</v>
      </c>
      <c r="L118" s="29">
        <f t="shared" si="47"/>
        <v>0</v>
      </c>
      <c r="M118" s="29">
        <f t="shared" si="47"/>
        <v>0</v>
      </c>
      <c r="N118" s="29">
        <f t="shared" si="47"/>
        <v>0</v>
      </c>
      <c r="O118" s="29">
        <f t="shared" si="47"/>
        <v>0</v>
      </c>
      <c r="P118" s="50">
        <f t="shared" si="47"/>
        <v>0</v>
      </c>
    </row>
    <row r="119" spans="1:16" x14ac:dyDescent="0.25">
      <c r="A119" s="178" t="s">
        <v>194</v>
      </c>
      <c r="B119" s="179"/>
      <c r="C119" s="4" t="s">
        <v>3</v>
      </c>
      <c r="D119" s="29">
        <f>D118+D105</f>
        <v>13385</v>
      </c>
      <c r="E119" s="29">
        <f>E118+E105</f>
        <v>13428</v>
      </c>
      <c r="F119" s="401">
        <f>F118+F105</f>
        <v>13485</v>
      </c>
      <c r="G119" s="29">
        <f>G118+G105</f>
        <v>0</v>
      </c>
      <c r="H119" s="29">
        <f>H118+H105</f>
        <v>0</v>
      </c>
      <c r="I119" s="29">
        <f t="shared" ref="I119:P119" si="48">I118+I105</f>
        <v>0</v>
      </c>
      <c r="J119" s="29">
        <f t="shared" si="48"/>
        <v>0</v>
      </c>
      <c r="K119" s="29">
        <f t="shared" si="48"/>
        <v>0</v>
      </c>
      <c r="L119" s="29">
        <f t="shared" si="48"/>
        <v>0</v>
      </c>
      <c r="M119" s="29">
        <f t="shared" si="48"/>
        <v>0</v>
      </c>
      <c r="N119" s="29">
        <f t="shared" si="48"/>
        <v>0</v>
      </c>
      <c r="O119" s="29">
        <f t="shared" si="48"/>
        <v>0</v>
      </c>
      <c r="P119" s="50">
        <f t="shared" si="48"/>
        <v>0</v>
      </c>
    </row>
    <row r="120" spans="1:16" ht="15" x14ac:dyDescent="0.25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4"/>
    </row>
    <row r="121" spans="1:16" x14ac:dyDescent="0.25">
      <c r="A121" s="176" t="s">
        <v>95</v>
      </c>
      <c r="B121" s="177"/>
      <c r="C121" s="4" t="s">
        <v>3</v>
      </c>
      <c r="D121" s="22">
        <f>Mulanje!D121+Luchenza!D121+Thyolo!D121+Muloza!D121+MUST!D121+Phalombe!D121+Mikolongwe!D121+Migowi!D121+Nkando!D121</f>
        <v>83448</v>
      </c>
      <c r="E121" s="22">
        <f>Mulanje!E121+Luchenza!E121+Thyolo!E121+Muloza!E121+MUST!E121+Phalombe!E121+Mikolongwe!E121+Migowi!E121+Nkando!E121</f>
        <v>83448</v>
      </c>
      <c r="F121" s="22">
        <f>Mulanje!F121+Luchenza!F121+Thyolo!F121+Muloza!F121+MUST!F121+Phalombe!F121+Mikolongwe!F121+Migowi!F121+Nkando!F121</f>
        <v>83448</v>
      </c>
      <c r="G121" s="22">
        <f>Mulanje!G121+Luchenza!G121+Thyolo!G121+Muloza!G121+MUST!G121+Phalombe!G121+Mikolongwe!G121+Migowi!G121+Nkando!G121</f>
        <v>0</v>
      </c>
      <c r="H121" s="22">
        <f>Mulanje!H121+Luchenza!H121+Thyolo!H121+Muloza!H121+MUST!H121+Phalombe!H121+Mikolongwe!H121+Migowi!H121+Nkando!H121</f>
        <v>0</v>
      </c>
      <c r="I121" s="22">
        <f>Mulanje!I121+Luchenza!I121+Thyolo!I121+Muloza!I121+MUST!I121+Phalombe!I121+Mikolongwe!I121+Migowi!I121+Nkando!I121</f>
        <v>0</v>
      </c>
      <c r="J121" s="22">
        <f>Mulanje!J121+Luchenza!J121+Thyolo!J121+Muloza!J121+MUST!J121+Phalombe!J121+Mikolongwe!J121+Migowi!J121+Nkando!J121</f>
        <v>0</v>
      </c>
      <c r="K121" s="22">
        <f>Mulanje!K121+Luchenza!K121+Thyolo!K121+Muloza!K121+MUST!K121+Phalombe!K121+Mikolongwe!K121+Migowi!K121+Nkando!K121</f>
        <v>0</v>
      </c>
      <c r="L121" s="22">
        <f>Mulanje!L121+Luchenza!L121+Thyolo!L121+Muloza!L121+MUST!L121+Phalombe!L121+Mikolongwe!L121+Migowi!L121+Nkando!L121</f>
        <v>0</v>
      </c>
      <c r="M121" s="22">
        <f>Mulanje!M121+Luchenza!M121+Thyolo!M121+Muloza!M121+MUST!M121+Phalombe!M121+Mikolongwe!M121+Migowi!M121+Nkando!M121</f>
        <v>0</v>
      </c>
      <c r="N121" s="22">
        <f>Mulanje!N121+Luchenza!N121+Thyolo!N121+Muloza!N121+MUST!N121+Phalombe!N121+Mikolongwe!N121+Migowi!N121+Nkando!N121</f>
        <v>0</v>
      </c>
      <c r="O121" s="22">
        <f>Mulanje!O121+Luchenza!O121+Thyolo!O121+Muloza!O121+MUST!O121+Phalombe!O121+Mikolongwe!O121+Migowi!O121+Nkando!O121</f>
        <v>0</v>
      </c>
      <c r="P121" s="27">
        <f>O121</f>
        <v>0</v>
      </c>
    </row>
    <row r="122" spans="1:16" x14ac:dyDescent="0.25">
      <c r="A122" s="176" t="s">
        <v>94</v>
      </c>
      <c r="B122" s="177"/>
      <c r="C122" s="4" t="s">
        <v>3</v>
      </c>
      <c r="D122" s="22">
        <f>Mulanje!D122+Luchenza!D122+Thyolo!D122+Muloza!D122+MUST!D122+Phalombe!D122+Mikolongwe!D122+Migowi!D122+Nkando!D122</f>
        <v>71360</v>
      </c>
      <c r="E122" s="22">
        <f>Mulanje!E122+Luchenza!E122+Thyolo!E122+Muloza!E122+MUST!E122+Phalombe!E122+Mikolongwe!E122+Migowi!E122+Nkando!E122</f>
        <v>71405</v>
      </c>
      <c r="F122" s="22">
        <f>Mulanje!F122+Luchenza!F122+Thyolo!F122+Muloza!F122+MUST!F122+Phalombe!F122+Mikolongwe!F122+Migowi!F122+Nkando!F122</f>
        <v>71500</v>
      </c>
      <c r="G122" s="22">
        <f>Mulanje!G122+Luchenza!G122+Thyolo!G122+Muloza!G122+MUST!G122+Phalombe!G122+Mikolongwe!G122+Migowi!G122+Nkando!G122</f>
        <v>0</v>
      </c>
      <c r="H122" s="22">
        <f>Mulanje!H122+Luchenza!H122+Thyolo!H122+Muloza!H122+MUST!H122+Phalombe!H122+Mikolongwe!H122+Migowi!H122+Nkando!H122</f>
        <v>0</v>
      </c>
      <c r="I122" s="22">
        <f>Mulanje!I122+Luchenza!I122+Thyolo!I122+Muloza!I122+MUST!I122+Phalombe!I122+Mikolongwe!I122+Migowi!I122+Nkando!I122</f>
        <v>0</v>
      </c>
      <c r="J122" s="22">
        <f>Mulanje!J122+Luchenza!J122+Thyolo!J122+Muloza!J122+MUST!J122+Phalombe!J122+Mikolongwe!J122+Migowi!J122+Nkando!J122</f>
        <v>0</v>
      </c>
      <c r="K122" s="22">
        <f>Mulanje!K122+Luchenza!K122+Thyolo!K122+Muloza!K122+MUST!K122+Phalombe!K122+Mikolongwe!K122+Migowi!K122+Nkando!K122</f>
        <v>0</v>
      </c>
      <c r="L122" s="22">
        <f>Mulanje!L122+Luchenza!L122+Thyolo!L122+Muloza!L122+MUST!L122+Phalombe!L122+Mikolongwe!L122+Migowi!L122+Nkando!L122</f>
        <v>0</v>
      </c>
      <c r="M122" s="22">
        <f>Mulanje!M122+Luchenza!M122+Thyolo!M122+Muloza!M122+MUST!M122+Phalombe!M122+Mikolongwe!M122+Migowi!M122+Nkando!M122</f>
        <v>0</v>
      </c>
      <c r="N122" s="22">
        <f>Mulanje!N122+Luchenza!N122+Thyolo!N122+Muloza!N122+MUST!N122+Phalombe!N122+Mikolongwe!N122+Migowi!N122+Nkando!N122</f>
        <v>0</v>
      </c>
      <c r="O122" s="22">
        <f>Mulanje!O122+Luchenza!O122+Thyolo!O122+Muloza!O122+MUST!O122+Phalombe!O122+Mikolongwe!O122+Migowi!O122+Nkando!O122</f>
        <v>0</v>
      </c>
      <c r="P122" s="27">
        <f>O122</f>
        <v>0</v>
      </c>
    </row>
    <row r="123" spans="1:16" x14ac:dyDescent="0.25">
      <c r="A123" s="215" t="s">
        <v>93</v>
      </c>
      <c r="B123" s="216"/>
      <c r="C123" s="26" t="s">
        <v>6</v>
      </c>
      <c r="D123" s="25">
        <f t="shared" ref="D123:P123" si="49">D122/D121</f>
        <v>0.85514332278784388</v>
      </c>
      <c r="E123" s="25">
        <f t="shared" si="49"/>
        <v>0.85568258076886206</v>
      </c>
      <c r="F123" s="25">
        <f t="shared" si="49"/>
        <v>0.85682101428434476</v>
      </c>
      <c r="G123" s="25" t="e">
        <f t="shared" si="49"/>
        <v>#DIV/0!</v>
      </c>
      <c r="H123" s="25" t="e">
        <f t="shared" si="49"/>
        <v>#DIV/0!</v>
      </c>
      <c r="I123" s="25" t="e">
        <f t="shared" si="49"/>
        <v>#DIV/0!</v>
      </c>
      <c r="J123" s="25" t="e">
        <f t="shared" si="49"/>
        <v>#DIV/0!</v>
      </c>
      <c r="K123" s="25" t="e">
        <f t="shared" si="49"/>
        <v>#DIV/0!</v>
      </c>
      <c r="L123" s="25" t="e">
        <f t="shared" si="49"/>
        <v>#DIV/0!</v>
      </c>
      <c r="M123" s="25" t="e">
        <f t="shared" si="49"/>
        <v>#DIV/0!</v>
      </c>
      <c r="N123" s="25" t="e">
        <f t="shared" si="49"/>
        <v>#DIV/0!</v>
      </c>
      <c r="O123" s="25" t="e">
        <f t="shared" si="49"/>
        <v>#DIV/0!</v>
      </c>
      <c r="P123" s="98" t="e">
        <f t="shared" si="49"/>
        <v>#DIV/0!</v>
      </c>
    </row>
    <row r="124" spans="1:16" ht="15" x14ac:dyDescent="0.25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40"/>
    </row>
    <row r="125" spans="1:16" x14ac:dyDescent="0.25">
      <c r="A125" s="173" t="s">
        <v>91</v>
      </c>
      <c r="B125" s="21" t="s">
        <v>85</v>
      </c>
      <c r="C125" s="4" t="s">
        <v>3</v>
      </c>
      <c r="D125" s="128">
        <f>Mulanje!D125+Luchenza!D125+Thyolo!D125+Muloza!D125+MUST!D125+Phalombe!D125+Mikolongwe!D125+Migowi!D125+Nkando!D125</f>
        <v>16</v>
      </c>
      <c r="E125" s="128">
        <f>Mulanje!E125+Luchenza!E125+Thyolo!E125+Muloza!E125+MUST!E125+Phalombe!E125+Mikolongwe!E125+Migowi!E125+Nkando!E125</f>
        <v>0</v>
      </c>
      <c r="F125" s="128">
        <f>Mulanje!F125+Luchenza!F125+Thyolo!F125+Muloza!F125+MUST!F125+Phalombe!F125+Mikolongwe!F125+Migowi!F125+Nkando!F125</f>
        <v>0</v>
      </c>
      <c r="G125" s="128">
        <f>Mulanje!G125+Luchenza!G125+Thyolo!G125+Muloza!G125+MUST!G125+Phalombe!G125+Mikolongwe!G125+Migowi!G125+Nkando!G125</f>
        <v>0</v>
      </c>
      <c r="H125" s="128">
        <f>Mulanje!H125+Luchenza!H125+Thyolo!H125+Muloza!H125+MUST!H125+Phalombe!H125+Mikolongwe!H125+Migowi!H125+Nkando!H125</f>
        <v>0</v>
      </c>
      <c r="I125" s="128">
        <f>Mulanje!I125+Luchenza!I125+Thyolo!I125+Muloza!I125+MUST!I125+Phalombe!I125+Mikolongwe!I125+Migowi!I125+Nkando!I125</f>
        <v>0</v>
      </c>
      <c r="J125" s="128">
        <f>Mulanje!J125+Luchenza!J125+Thyolo!J125+Muloza!J125+MUST!J125+Phalombe!J125+Mikolongwe!J125+Migowi!J125+Nkando!J125</f>
        <v>0</v>
      </c>
      <c r="K125" s="128">
        <f>Mulanje!K125+Luchenza!K125+Thyolo!K125+Muloza!K125+MUST!K125+Phalombe!K125+Mikolongwe!K125+Migowi!K125+Nkando!K125</f>
        <v>0</v>
      </c>
      <c r="L125" s="128">
        <f>Mulanje!L125+Luchenza!L125+Thyolo!L125+Muloza!L125+MUST!L125+Phalombe!L125+Mikolongwe!L125+Migowi!L125+Nkando!L125</f>
        <v>0</v>
      </c>
      <c r="M125" s="128">
        <f>Mulanje!M125+Luchenza!M125+Thyolo!M125+Muloza!M125+MUST!M125+Phalombe!M125+Mikolongwe!M125+Migowi!M125+Nkando!M125</f>
        <v>0</v>
      </c>
      <c r="N125" s="128">
        <f>Mulanje!N125+Luchenza!N125+Thyolo!N125+Muloza!N125+MUST!N125+Phalombe!N125+Mikolongwe!N125+Migowi!N125+Nkando!N125</f>
        <v>0</v>
      </c>
      <c r="O125" s="128">
        <f>Mulanje!O125+Luchenza!O125+Thyolo!O125+Muloza!O125+MUST!O125+Phalombe!O125+Mikolongwe!O125+Migowi!O125+Nkando!O125</f>
        <v>0</v>
      </c>
      <c r="P125" s="31">
        <f>D125</f>
        <v>16</v>
      </c>
    </row>
    <row r="126" spans="1:16" x14ac:dyDescent="0.25">
      <c r="A126" s="174"/>
      <c r="B126" s="21" t="s">
        <v>84</v>
      </c>
      <c r="C126" s="4" t="s">
        <v>3</v>
      </c>
      <c r="D126" s="128">
        <f>Mulanje!D126+Luchenza!D126+Thyolo!D126+Muloza!D126+MUST!D126+Phalombe!D126+Mikolongwe!D126+Migowi!D126+Nkando!D126</f>
        <v>6</v>
      </c>
      <c r="E126" s="128">
        <f>Mulanje!E126+Luchenza!E126+Thyolo!E126+Muloza!E126+MUST!E126+Phalombe!E126+Mikolongwe!E126+Migowi!E126+Nkando!E126</f>
        <v>9</v>
      </c>
      <c r="F126" s="128">
        <f>Mulanje!F126+Luchenza!F126+Thyolo!F126+Muloza!F126+MUST!F126+Phalombe!F126+Mikolongwe!F126+Migowi!F126+Nkando!F126</f>
        <v>0</v>
      </c>
      <c r="G126" s="128">
        <f>Mulanje!G126+Luchenza!G126+Thyolo!G126+Muloza!G126+MUST!G126+Phalombe!G126+Mikolongwe!G126+Migowi!G126+Nkando!G126</f>
        <v>0</v>
      </c>
      <c r="H126" s="128">
        <f>Mulanje!H126+Luchenza!H126+Thyolo!H126+Muloza!H126+MUST!H126+Phalombe!H126+Mikolongwe!H126+Migowi!H126+Nkando!H126</f>
        <v>0</v>
      </c>
      <c r="I126" s="128">
        <f>Mulanje!I126+Luchenza!I126+Thyolo!I126+Muloza!I126+MUST!I126+Phalombe!I126+Mikolongwe!I126+Migowi!I126+Nkando!I126</f>
        <v>0</v>
      </c>
      <c r="J126" s="128">
        <f>Mulanje!J126+Luchenza!J126+Thyolo!J126+Muloza!J126+MUST!J126+Phalombe!J126+Mikolongwe!J126+Migowi!J126+Nkando!J126</f>
        <v>0</v>
      </c>
      <c r="K126" s="128">
        <f>Mulanje!K126+Luchenza!K126+Thyolo!K126+Muloza!K126+MUST!K126+Phalombe!K126+Mikolongwe!K126+Migowi!K126+Nkando!K126</f>
        <v>0</v>
      </c>
      <c r="L126" s="128">
        <f>Mulanje!L126+Luchenza!L126+Thyolo!L126+Muloza!L126+MUST!L126+Phalombe!L126+Mikolongwe!L126+Migowi!L126+Nkando!L126</f>
        <v>0</v>
      </c>
      <c r="M126" s="128">
        <f>Mulanje!M126+Luchenza!M126+Thyolo!M126+Muloza!M126+MUST!M126+Phalombe!M126+Mikolongwe!M126+Migowi!M126+Nkando!M126</f>
        <v>0</v>
      </c>
      <c r="N126" s="128">
        <f>Mulanje!N126+Luchenza!N126+Thyolo!N126+Muloza!N126+MUST!N126+Phalombe!N126+Mikolongwe!N126+Migowi!N126+Nkando!N126</f>
        <v>0</v>
      </c>
      <c r="O126" s="128">
        <f>Mulanje!O126+Luchenza!O126+Thyolo!O126+Muloza!O126+MUST!O126+Phalombe!O126+Mikolongwe!O126+Migowi!O126+Nkando!O126</f>
        <v>0</v>
      </c>
      <c r="P126" s="31">
        <f>SUM(D126:O126)</f>
        <v>15</v>
      </c>
    </row>
    <row r="127" spans="1:16" x14ac:dyDescent="0.25">
      <c r="A127" s="174"/>
      <c r="B127" s="72" t="s">
        <v>88</v>
      </c>
      <c r="C127" s="4" t="s">
        <v>3</v>
      </c>
      <c r="D127" s="128">
        <f>Mulanje!D127+Luchenza!D127+Thyolo!D127+Muloza!D127+MUST!D127+Phalombe!D127+Mikolongwe!D127+Migowi!D127+Nkando!D127</f>
        <v>0</v>
      </c>
      <c r="E127" s="128">
        <f>Mulanje!E127+Luchenza!E127+Thyolo!E127+Muloza!E127+MUST!E127+Phalombe!E127+Mikolongwe!E127+Migowi!E127+Nkando!E127</f>
        <v>0</v>
      </c>
      <c r="F127" s="128">
        <f>Mulanje!F127+Luchenza!F127+Thyolo!F127+Muloza!F127+MUST!F127+Phalombe!F127+Mikolongwe!F127+Migowi!F127+Nkando!F127</f>
        <v>0</v>
      </c>
      <c r="G127" s="128">
        <f>Mulanje!G127+Luchenza!G127+Thyolo!G127+Muloza!G127+MUST!G127+Phalombe!G127+Mikolongwe!G127+Migowi!G127+Nkando!G127</f>
        <v>0</v>
      </c>
      <c r="H127" s="128">
        <f>Mulanje!H127+Luchenza!H127+Thyolo!H127+Muloza!H127+MUST!H127+Phalombe!H127+Mikolongwe!H127+Migowi!H127+Nkando!H127</f>
        <v>0</v>
      </c>
      <c r="I127" s="128">
        <f>Mulanje!I127+Luchenza!I127+Thyolo!I127+Muloza!I127+MUST!I127+Phalombe!I127+Mikolongwe!I127+Migowi!I127+Nkando!I127</f>
        <v>0</v>
      </c>
      <c r="J127" s="128">
        <f>Mulanje!J127+Luchenza!J127+Thyolo!J127+Muloza!J127+MUST!J127+Phalombe!J127+Mikolongwe!J127+Migowi!J127+Nkando!J127</f>
        <v>0</v>
      </c>
      <c r="K127" s="128">
        <f>Mulanje!K127+Luchenza!K127+Thyolo!K127+Muloza!K127+MUST!K127+Phalombe!K127+Mikolongwe!K127+Migowi!K127+Nkando!K127</f>
        <v>0</v>
      </c>
      <c r="L127" s="128">
        <f>Mulanje!L127+Luchenza!L127+Thyolo!L127+Muloza!L127+MUST!L127+Phalombe!L127+Mikolongwe!L127+Migowi!L127+Nkando!L127</f>
        <v>0</v>
      </c>
      <c r="M127" s="128">
        <f>Mulanje!M127+Luchenza!M127+Thyolo!M127+Muloza!M127+MUST!M127+Phalombe!M127+Mikolongwe!M127+Migowi!M127+Nkando!M127</f>
        <v>0</v>
      </c>
      <c r="N127" s="128">
        <f>Mulanje!N127+Luchenza!N127+Thyolo!N127+Muloza!N127+MUST!N127+Phalombe!N127+Mikolongwe!N127+Migowi!N127+Nkando!N127</f>
        <v>0</v>
      </c>
      <c r="O127" s="128">
        <f>Mulanje!O127+Luchenza!O127+Thyolo!O127+Muloza!O127+MUST!O127+Phalombe!O127+Mikolongwe!O127+Migowi!O127+Nkando!O127</f>
        <v>0</v>
      </c>
      <c r="P127" s="31">
        <f>SUM(D127:O127)</f>
        <v>0</v>
      </c>
    </row>
    <row r="128" spans="1:16" x14ac:dyDescent="0.25">
      <c r="A128" s="174"/>
      <c r="B128" s="21" t="s">
        <v>82</v>
      </c>
      <c r="C128" s="4" t="s">
        <v>3</v>
      </c>
      <c r="D128" s="128">
        <f>Mulanje!D128+Luchenza!D128+Thyolo!D128+Muloza!D128+MUST!D128+Phalombe!D128+Mikolongwe!D128+Migowi!D128+Nkando!D128</f>
        <v>22</v>
      </c>
      <c r="E128" s="128">
        <f>Mulanje!E128+Luchenza!E128+Thyolo!E128+Muloza!E128+MUST!E128+Phalombe!E128+Mikolongwe!E128+Migowi!E128+Nkando!E128</f>
        <v>0</v>
      </c>
      <c r="F128" s="128">
        <f>Mulanje!F128+Luchenza!F128+Thyolo!F128+Muloza!F128+MUST!F128+Phalombe!F128+Mikolongwe!F128+Migowi!F128+Nkando!F128</f>
        <v>0</v>
      </c>
      <c r="G128" s="128">
        <f>Mulanje!G128+Luchenza!G128+Thyolo!G128+Muloza!G128+MUST!G128+Phalombe!G128+Mikolongwe!G128+Migowi!G128+Nkando!G128</f>
        <v>0</v>
      </c>
      <c r="H128" s="128">
        <f>Mulanje!H128+Luchenza!H128+Thyolo!H128+Muloza!H128+MUST!H128+Phalombe!H128+Mikolongwe!H128+Migowi!H128+Nkando!H128</f>
        <v>0</v>
      </c>
      <c r="I128" s="128">
        <f>Mulanje!I128+Luchenza!I128+Thyolo!I128+Muloza!I128+MUST!I128+Phalombe!I128+Mikolongwe!I128+Migowi!I128+Nkando!I128</f>
        <v>0</v>
      </c>
      <c r="J128" s="128">
        <f>Mulanje!J128+Luchenza!J128+Thyolo!J128+Muloza!J128+MUST!J128+Phalombe!J128+Mikolongwe!J128+Migowi!J128+Nkando!J128</f>
        <v>0</v>
      </c>
      <c r="K128" s="128">
        <f>Mulanje!K128+Luchenza!K128+Thyolo!K128+Muloza!K128+MUST!K128+Phalombe!K128+Mikolongwe!K128+Migowi!K128+Nkando!K128</f>
        <v>0</v>
      </c>
      <c r="L128" s="128">
        <f>Mulanje!L128+Luchenza!L128+Thyolo!L128+Muloza!L128+MUST!L128+Phalombe!L128+Mikolongwe!L128+Migowi!L128+Nkando!L128</f>
        <v>0</v>
      </c>
      <c r="M128" s="128">
        <f>Mulanje!M128+Luchenza!M128+Thyolo!M128+Muloza!M128+MUST!M128+Phalombe!M128+Mikolongwe!M128+Migowi!M128+Nkando!M128</f>
        <v>0</v>
      </c>
      <c r="N128" s="128">
        <f>Mulanje!N128+Luchenza!N128+Thyolo!N128+Muloza!N128+MUST!N128+Phalombe!N128+Mikolongwe!N128+Migowi!N128+Nkando!N128</f>
        <v>0</v>
      </c>
      <c r="O128" s="128">
        <f>Mulanje!O128+Luchenza!O128+Thyolo!O128+Muloza!O128+MUST!O128+Phalombe!O128+Mikolongwe!O128+Migowi!O128+Nkando!O128</f>
        <v>0</v>
      </c>
      <c r="P128" s="31">
        <f>SUM(D128:O128)</f>
        <v>22</v>
      </c>
    </row>
    <row r="129" spans="1:16" x14ac:dyDescent="0.25">
      <c r="A129" s="175"/>
      <c r="B129" s="21" t="s">
        <v>81</v>
      </c>
      <c r="C129" s="4" t="s">
        <v>3</v>
      </c>
      <c r="D129" s="126">
        <f>D125+D126-D127-D128</f>
        <v>0</v>
      </c>
      <c r="E129" s="126">
        <f>E125+E126-E127-E128</f>
        <v>9</v>
      </c>
      <c r="F129" s="126">
        <f>F125+F126-F127-F128</f>
        <v>0</v>
      </c>
      <c r="G129" s="126">
        <f>G125+G126-G127-G128</f>
        <v>0</v>
      </c>
      <c r="H129" s="126">
        <f>H125+H126-H127-H128</f>
        <v>0</v>
      </c>
      <c r="I129" s="126">
        <f t="shared" ref="I129:O129" si="50">I125+I126-I127-I128</f>
        <v>0</v>
      </c>
      <c r="J129" s="126">
        <f t="shared" si="50"/>
        <v>0</v>
      </c>
      <c r="K129" s="126">
        <f t="shared" si="50"/>
        <v>0</v>
      </c>
      <c r="L129" s="126">
        <f t="shared" si="50"/>
        <v>0</v>
      </c>
      <c r="M129" s="126">
        <f t="shared" si="50"/>
        <v>0</v>
      </c>
      <c r="N129" s="126">
        <f t="shared" si="50"/>
        <v>0</v>
      </c>
      <c r="O129" s="126">
        <f t="shared" si="50"/>
        <v>0</v>
      </c>
      <c r="P129" s="31">
        <f>P125+P126-P127-P128</f>
        <v>9</v>
      </c>
    </row>
    <row r="130" spans="1:16" x14ac:dyDescent="0.25">
      <c r="A130" s="173" t="s">
        <v>90</v>
      </c>
      <c r="B130" s="24" t="s">
        <v>85</v>
      </c>
      <c r="C130" s="23" t="s">
        <v>3</v>
      </c>
      <c r="D130" s="128">
        <f>Mulanje!D130+Luchenza!D130+Thyolo!D130+Muloza!D130+MUST!D130+Phalombe!D130+Mikolongwe!D130+Migowi!D130+Nkando!D130</f>
        <v>0</v>
      </c>
      <c r="E130" s="128">
        <f>Mulanje!E130+Luchenza!E130+Thyolo!E130+Muloza!E130+MUST!E130+Phalombe!E130+Mikolongwe!E130+Migowi!E130+Nkando!E130</f>
        <v>0</v>
      </c>
      <c r="F130" s="128">
        <f>Mulanje!F130+Luchenza!F130+Thyolo!F130+Muloza!F130+MUST!F130+Phalombe!F130+Mikolongwe!F130+Migowi!F130+Nkando!F130</f>
        <v>0</v>
      </c>
      <c r="G130" s="128">
        <f>Mulanje!G130+Luchenza!G130+Thyolo!G130+Muloza!G130+MUST!G130+Phalombe!G130+Mikolongwe!G130+Migowi!G130+Nkando!G130</f>
        <v>0</v>
      </c>
      <c r="H130" s="128">
        <f>Mulanje!H130+Luchenza!H130+Thyolo!H130+Muloza!H130+MUST!H130+Phalombe!H130+Mikolongwe!H130+Migowi!H130+Nkando!H130</f>
        <v>0</v>
      </c>
      <c r="I130" s="128">
        <f>Mulanje!I130+Luchenza!I130+Thyolo!I130+Muloza!I130+MUST!I130+Phalombe!I130+Mikolongwe!I130+Migowi!I130+Nkando!I130</f>
        <v>0</v>
      </c>
      <c r="J130" s="128">
        <f>Mulanje!J130+Luchenza!J130+Thyolo!J130+Muloza!J130+MUST!J130+Phalombe!J130+Mikolongwe!J130+Migowi!J130+Nkando!J130</f>
        <v>0</v>
      </c>
      <c r="K130" s="128">
        <f>Mulanje!K130+Luchenza!K130+Thyolo!K130+Muloza!K130+MUST!K130+Phalombe!K130+Mikolongwe!K130+Migowi!K130+Nkando!K130</f>
        <v>0</v>
      </c>
      <c r="L130" s="128">
        <f>Mulanje!L130+Luchenza!L130+Thyolo!L130+Muloza!L130+MUST!L130+Phalombe!L130+Mikolongwe!L130+Migowi!L130+Nkando!L130</f>
        <v>0</v>
      </c>
      <c r="M130" s="128">
        <f>Mulanje!M130+Luchenza!M130+Thyolo!M130+Muloza!M130+MUST!M130+Phalombe!M130+Mikolongwe!M130+Migowi!M130+Nkando!M130</f>
        <v>0</v>
      </c>
      <c r="N130" s="128">
        <f>Mulanje!N130+Luchenza!N130+Thyolo!N130+Muloza!N130+MUST!N130+Phalombe!N130+Mikolongwe!N130+Migowi!N130+Nkando!N130</f>
        <v>0</v>
      </c>
      <c r="O130" s="128">
        <f>Mulanje!O130+Luchenza!O130+Thyolo!O130+Muloza!O130+MUST!O130+Phalombe!O130+Mikolongwe!O130+Migowi!O130+Nkando!O130</f>
        <v>0</v>
      </c>
      <c r="P130" s="31">
        <f>D130</f>
        <v>0</v>
      </c>
    </row>
    <row r="131" spans="1:16" x14ac:dyDescent="0.25">
      <c r="A131" s="174"/>
      <c r="B131" s="21" t="s">
        <v>84</v>
      </c>
      <c r="C131" s="4" t="s">
        <v>3</v>
      </c>
      <c r="D131" s="128">
        <f>Mulanje!D131+Luchenza!D131+Thyolo!D131+Muloza!D131+MUST!D131+Phalombe!D131+Mikolongwe!D131+Migowi!D131+Nkando!D131</f>
        <v>0</v>
      </c>
      <c r="E131" s="128">
        <f>Mulanje!E131+Luchenza!E131+Thyolo!E131+Muloza!E131+MUST!E131+Phalombe!E131+Mikolongwe!E131+Migowi!E131+Nkando!E131</f>
        <v>0</v>
      </c>
      <c r="F131" s="128">
        <f>Mulanje!F131+Luchenza!F131+Thyolo!F131+Muloza!F131+MUST!F131+Phalombe!F131+Mikolongwe!F131+Migowi!F131+Nkando!F131</f>
        <v>0</v>
      </c>
      <c r="G131" s="128">
        <f>Mulanje!G131+Luchenza!G131+Thyolo!G131+Muloza!G131+MUST!G131+Phalombe!G131+Mikolongwe!G131+Migowi!G131+Nkando!G131</f>
        <v>0</v>
      </c>
      <c r="H131" s="128">
        <f>Mulanje!H131+Luchenza!H131+Thyolo!H131+Muloza!H131+MUST!H131+Phalombe!H131+Mikolongwe!H131+Migowi!H131+Nkando!H131</f>
        <v>0</v>
      </c>
      <c r="I131" s="128">
        <f>Mulanje!I131+Luchenza!I131+Thyolo!I131+Muloza!I131+MUST!I131+Phalombe!I131+Mikolongwe!I131+Migowi!I131+Nkando!I131</f>
        <v>0</v>
      </c>
      <c r="J131" s="128">
        <f>Mulanje!J131+Luchenza!J131+Thyolo!J131+Muloza!J131+MUST!J131+Phalombe!J131+Mikolongwe!J131+Migowi!J131+Nkando!J131</f>
        <v>0</v>
      </c>
      <c r="K131" s="128">
        <f>Mulanje!K131+Luchenza!K131+Thyolo!K131+Muloza!K131+MUST!K131+Phalombe!K131+Mikolongwe!K131+Migowi!K131+Nkando!K131</f>
        <v>0</v>
      </c>
      <c r="L131" s="128">
        <f>Mulanje!L131+Luchenza!L131+Thyolo!L131+Muloza!L131+MUST!L131+Phalombe!L131+Mikolongwe!L131+Migowi!L131+Nkando!L131</f>
        <v>0</v>
      </c>
      <c r="M131" s="128">
        <f>Mulanje!M131+Luchenza!M131+Thyolo!M131+Muloza!M131+MUST!M131+Phalombe!M131+Mikolongwe!M131+Migowi!M131+Nkando!M131</f>
        <v>0</v>
      </c>
      <c r="N131" s="128">
        <f>Mulanje!N131+Luchenza!N131+Thyolo!N131+Muloza!N131+MUST!N131+Phalombe!N131+Mikolongwe!N131+Migowi!N131+Nkando!N131</f>
        <v>0</v>
      </c>
      <c r="O131" s="128">
        <f>Mulanje!O131+Luchenza!O131+Thyolo!O131+Muloza!O131+MUST!O131+Phalombe!O131+Mikolongwe!O131+Migowi!O131+Nkando!O131</f>
        <v>0</v>
      </c>
      <c r="P131" s="31">
        <f>SUM(D131:O131)</f>
        <v>0</v>
      </c>
    </row>
    <row r="132" spans="1:16" x14ac:dyDescent="0.25">
      <c r="A132" s="174"/>
      <c r="B132" s="72" t="s">
        <v>88</v>
      </c>
      <c r="C132" s="4" t="s">
        <v>3</v>
      </c>
      <c r="D132" s="128">
        <f>Mulanje!D132+Luchenza!D132+Thyolo!D132+Muloza!D132+MUST!D132+Phalombe!D132+Mikolongwe!D132+Migowi!D132+Nkando!D132</f>
        <v>0</v>
      </c>
      <c r="E132" s="128">
        <f>Mulanje!E132+Luchenza!E132+Thyolo!E132+Muloza!E132+MUST!E132+Phalombe!E132+Mikolongwe!E132+Migowi!E132+Nkando!E132</f>
        <v>0</v>
      </c>
      <c r="F132" s="128">
        <f>Mulanje!F132+Luchenza!F132+Thyolo!F132+Muloza!F132+MUST!F132+Phalombe!F132+Mikolongwe!F132+Migowi!F132+Nkando!F132</f>
        <v>0</v>
      </c>
      <c r="G132" s="128">
        <f>Mulanje!G132+Luchenza!G132+Thyolo!G132+Muloza!G132+MUST!G132+Phalombe!G132+Mikolongwe!G132+Migowi!G132+Nkando!G132</f>
        <v>0</v>
      </c>
      <c r="H132" s="128">
        <f>Mulanje!H132+Luchenza!H132+Thyolo!H132+Muloza!H132+MUST!H132+Phalombe!H132+Mikolongwe!H132+Migowi!H132+Nkando!H132</f>
        <v>0</v>
      </c>
      <c r="I132" s="128">
        <f>Mulanje!I132+Luchenza!I132+Thyolo!I132+Muloza!I132+MUST!I132+Phalombe!I132+Mikolongwe!I132+Migowi!I132+Nkando!I132</f>
        <v>0</v>
      </c>
      <c r="J132" s="128">
        <f>Mulanje!J132+Luchenza!J132+Thyolo!J132+Muloza!J132+MUST!J132+Phalombe!J132+Mikolongwe!J132+Migowi!J132+Nkando!J132</f>
        <v>0</v>
      </c>
      <c r="K132" s="128">
        <f>Mulanje!K132+Luchenza!K132+Thyolo!K132+Muloza!K132+MUST!K132+Phalombe!K132+Mikolongwe!K132+Migowi!K132+Nkando!K132</f>
        <v>0</v>
      </c>
      <c r="L132" s="128">
        <f>Mulanje!L132+Luchenza!L132+Thyolo!L132+Muloza!L132+MUST!L132+Phalombe!L132+Mikolongwe!L132+Migowi!L132+Nkando!L132</f>
        <v>0</v>
      </c>
      <c r="M132" s="128">
        <f>Mulanje!M132+Luchenza!M132+Thyolo!M132+Muloza!M132+MUST!M132+Phalombe!M132+Mikolongwe!M132+Migowi!M132+Nkando!M132</f>
        <v>0</v>
      </c>
      <c r="N132" s="128">
        <f>Mulanje!N132+Luchenza!N132+Thyolo!N132+Muloza!N132+MUST!N132+Phalombe!N132+Mikolongwe!N132+Migowi!N132+Nkando!N132</f>
        <v>0</v>
      </c>
      <c r="O132" s="128">
        <f>Mulanje!O132+Luchenza!O132+Thyolo!O132+Muloza!O132+MUST!O132+Phalombe!O132+Mikolongwe!O132+Migowi!O132+Nkando!O132</f>
        <v>0</v>
      </c>
      <c r="P132" s="31">
        <f>SUM(D132:O132)</f>
        <v>0</v>
      </c>
    </row>
    <row r="133" spans="1:16" x14ac:dyDescent="0.25">
      <c r="A133" s="174"/>
      <c r="B133" s="21" t="s">
        <v>82</v>
      </c>
      <c r="C133" s="4" t="s">
        <v>3</v>
      </c>
      <c r="D133" s="128">
        <f>Mulanje!D133+Luchenza!D133+Thyolo!D133+Muloza!D133+MUST!D133+Phalombe!D133+Mikolongwe!D133+Migowi!D133+Nkando!D133</f>
        <v>0</v>
      </c>
      <c r="E133" s="128">
        <f>Mulanje!E133+Luchenza!E133+Thyolo!E133+Muloza!E133+MUST!E133+Phalombe!E133+Mikolongwe!E133+Migowi!E133+Nkando!E133</f>
        <v>0</v>
      </c>
      <c r="F133" s="128">
        <f>Mulanje!F133+Luchenza!F133+Thyolo!F133+Muloza!F133+MUST!F133+Phalombe!F133+Mikolongwe!F133+Migowi!F133+Nkando!F133</f>
        <v>0</v>
      </c>
      <c r="G133" s="128">
        <f>Mulanje!G133+Luchenza!G133+Thyolo!G133+Muloza!G133+MUST!G133+Phalombe!G133+Mikolongwe!G133+Migowi!G133+Nkando!G133</f>
        <v>0</v>
      </c>
      <c r="H133" s="128">
        <f>Mulanje!H133+Luchenza!H133+Thyolo!H133+Muloza!H133+MUST!H133+Phalombe!H133+Mikolongwe!H133+Migowi!H133+Nkando!H133</f>
        <v>0</v>
      </c>
      <c r="I133" s="128">
        <f>Mulanje!I133+Luchenza!I133+Thyolo!I133+Muloza!I133+MUST!I133+Phalombe!I133+Mikolongwe!I133+Migowi!I133+Nkando!I133</f>
        <v>0</v>
      </c>
      <c r="J133" s="128">
        <f>Mulanje!J133+Luchenza!J133+Thyolo!J133+Muloza!J133+MUST!J133+Phalombe!J133+Mikolongwe!J133+Migowi!J133+Nkando!J133</f>
        <v>0</v>
      </c>
      <c r="K133" s="128">
        <f>Mulanje!K133+Luchenza!K133+Thyolo!K133+Muloza!K133+MUST!K133+Phalombe!K133+Mikolongwe!K133+Migowi!K133+Nkando!K133</f>
        <v>0</v>
      </c>
      <c r="L133" s="128">
        <f>Mulanje!L133+Luchenza!L133+Thyolo!L133+Muloza!L133+MUST!L133+Phalombe!L133+Mikolongwe!L133+Migowi!L133+Nkando!L133</f>
        <v>0</v>
      </c>
      <c r="M133" s="128">
        <f>Mulanje!M133+Luchenza!M133+Thyolo!M133+Muloza!M133+MUST!M133+Phalombe!M133+Mikolongwe!M133+Migowi!M133+Nkando!M133</f>
        <v>0</v>
      </c>
      <c r="N133" s="128">
        <f>Mulanje!N133+Luchenza!N133+Thyolo!N133+Muloza!N133+MUST!N133+Phalombe!N133+Mikolongwe!N133+Migowi!N133+Nkando!N133</f>
        <v>0</v>
      </c>
      <c r="O133" s="128">
        <f>Mulanje!O133+Luchenza!O133+Thyolo!O133+Muloza!O133+MUST!O133+Phalombe!O133+Mikolongwe!O133+Migowi!O133+Nkando!O133</f>
        <v>0</v>
      </c>
      <c r="P133" s="31">
        <f>SUM(D133:O133)</f>
        <v>0</v>
      </c>
    </row>
    <row r="134" spans="1:16" x14ac:dyDescent="0.25">
      <c r="A134" s="175"/>
      <c r="B134" s="21" t="s">
        <v>81</v>
      </c>
      <c r="C134" s="4" t="s">
        <v>3</v>
      </c>
      <c r="D134" s="126">
        <f>D130+D131-D132-D133</f>
        <v>0</v>
      </c>
      <c r="E134" s="126">
        <f>E130+E131-E132-E133</f>
        <v>0</v>
      </c>
      <c r="F134" s="126">
        <f>F130+F131-F132-F133</f>
        <v>0</v>
      </c>
      <c r="G134" s="126">
        <f>G130+G131-G132-G133</f>
        <v>0</v>
      </c>
      <c r="H134" s="126">
        <f>H130+H131-H132-H133</f>
        <v>0</v>
      </c>
      <c r="I134" s="126">
        <f t="shared" ref="I134:O134" si="51">I130+I131-I132-I133</f>
        <v>0</v>
      </c>
      <c r="J134" s="126">
        <f t="shared" si="51"/>
        <v>0</v>
      </c>
      <c r="K134" s="126">
        <f t="shared" si="51"/>
        <v>0</v>
      </c>
      <c r="L134" s="126">
        <f t="shared" si="51"/>
        <v>0</v>
      </c>
      <c r="M134" s="126">
        <f t="shared" si="51"/>
        <v>0</v>
      </c>
      <c r="N134" s="126">
        <f t="shared" si="51"/>
        <v>0</v>
      </c>
      <c r="O134" s="126">
        <f t="shared" si="51"/>
        <v>0</v>
      </c>
      <c r="P134" s="31">
        <f>P130+P131-P132-P133</f>
        <v>0</v>
      </c>
    </row>
    <row r="135" spans="1:16" x14ac:dyDescent="0.25">
      <c r="A135" s="173" t="s">
        <v>89</v>
      </c>
      <c r="B135" s="21" t="s">
        <v>85</v>
      </c>
      <c r="C135" s="4" t="s">
        <v>3</v>
      </c>
      <c r="D135" s="128">
        <f>Mulanje!D135+Luchenza!D135+Thyolo!D135+Muloza!D135+MUST!D135+Phalombe!D135+Mikolongwe!D135+Migowi!D135+Nkando!D135</f>
        <v>0</v>
      </c>
      <c r="E135" s="128">
        <f>Mulanje!E135+Luchenza!E135+Thyolo!E135+Muloza!E135+MUST!E135+Phalombe!E135+Mikolongwe!E135+Migowi!E135+Nkando!E135</f>
        <v>0</v>
      </c>
      <c r="F135" s="128">
        <f>Mulanje!F135+Luchenza!F135+Thyolo!F135+Muloza!F135+MUST!F135+Phalombe!F135+Mikolongwe!F135+Migowi!F135+Nkando!F135</f>
        <v>0</v>
      </c>
      <c r="G135" s="128">
        <f>Mulanje!G135+Luchenza!G135+Thyolo!G135+Muloza!G135+MUST!G135+Phalombe!G135+Mikolongwe!G135+Migowi!G135+Nkando!G135</f>
        <v>0</v>
      </c>
      <c r="H135" s="128">
        <f>Mulanje!H135+Luchenza!H135+Thyolo!H135+Muloza!H135+MUST!H135+Phalombe!H135+Mikolongwe!H135+Migowi!H135+Nkando!H135</f>
        <v>0</v>
      </c>
      <c r="I135" s="128">
        <f>Mulanje!I135+Luchenza!I135+Thyolo!I135+Muloza!I135+MUST!I135+Phalombe!I135+Mikolongwe!I135+Migowi!I135+Nkando!I135</f>
        <v>0</v>
      </c>
      <c r="J135" s="128">
        <f>Mulanje!J135+Luchenza!J135+Thyolo!J135+Muloza!J135+MUST!J135+Phalombe!J135+Mikolongwe!J135+Migowi!J135+Nkando!J135</f>
        <v>0</v>
      </c>
      <c r="K135" s="128">
        <f>Mulanje!K135+Luchenza!K135+Thyolo!K135+Muloza!K135+MUST!K135+Phalombe!K135+Mikolongwe!K135+Migowi!K135+Nkando!K135</f>
        <v>0</v>
      </c>
      <c r="L135" s="128">
        <f>Mulanje!L135+Luchenza!L135+Thyolo!L135+Muloza!L135+MUST!L135+Phalombe!L135+Mikolongwe!L135+Migowi!L135+Nkando!L135</f>
        <v>0</v>
      </c>
      <c r="M135" s="128">
        <f>Mulanje!M135+Luchenza!M135+Thyolo!M135+Muloza!M135+MUST!M135+Phalombe!M135+Mikolongwe!M135+Migowi!M135+Nkando!M135</f>
        <v>0</v>
      </c>
      <c r="N135" s="128">
        <f>Mulanje!N135+Luchenza!N135+Thyolo!N135+Muloza!N135+MUST!N135+Phalombe!N135+Mikolongwe!N135+Migowi!N135+Nkando!N135</f>
        <v>0</v>
      </c>
      <c r="O135" s="128">
        <f>Mulanje!O135+Luchenza!O135+Thyolo!O135+Muloza!O135+MUST!O135+Phalombe!O135+Mikolongwe!O135+Migowi!O135+Nkando!O135</f>
        <v>0</v>
      </c>
      <c r="P135" s="31">
        <f>D135</f>
        <v>0</v>
      </c>
    </row>
    <row r="136" spans="1:16" x14ac:dyDescent="0.25">
      <c r="A136" s="174"/>
      <c r="B136" s="21" t="s">
        <v>84</v>
      </c>
      <c r="C136" s="4" t="s">
        <v>3</v>
      </c>
      <c r="D136" s="128">
        <f>Mulanje!D136+Luchenza!D136+Thyolo!D136+Muloza!D136+MUST!D136+Phalombe!D136+Mikolongwe!D136+Migowi!D136+Nkando!D136</f>
        <v>0</v>
      </c>
      <c r="E136" s="128">
        <f>Mulanje!E136+Luchenza!E136+Thyolo!E136+Muloza!E136+MUST!E136+Phalombe!E136+Mikolongwe!E136+Migowi!E136+Nkando!E136</f>
        <v>0</v>
      </c>
      <c r="F136" s="128">
        <f>Mulanje!F136+Luchenza!F136+Thyolo!F136+Muloza!F136+MUST!F136+Phalombe!F136+Mikolongwe!F136+Migowi!F136+Nkando!F136</f>
        <v>0</v>
      </c>
      <c r="G136" s="128">
        <f>Mulanje!G136+Luchenza!G136+Thyolo!G136+Muloza!G136+MUST!G136+Phalombe!G136+Mikolongwe!G136+Migowi!G136+Nkando!G136</f>
        <v>0</v>
      </c>
      <c r="H136" s="128">
        <f>Mulanje!H136+Luchenza!H136+Thyolo!H136+Muloza!H136+MUST!H136+Phalombe!H136+Mikolongwe!H136+Migowi!H136+Nkando!H136</f>
        <v>0</v>
      </c>
      <c r="I136" s="128">
        <f>Mulanje!I136+Luchenza!I136+Thyolo!I136+Muloza!I136+MUST!I136+Phalombe!I136+Mikolongwe!I136+Migowi!I136+Nkando!I136</f>
        <v>0</v>
      </c>
      <c r="J136" s="128">
        <f>Mulanje!J136+Luchenza!J136+Thyolo!J136+Muloza!J136+MUST!J136+Phalombe!J136+Mikolongwe!J136+Migowi!J136+Nkando!J136</f>
        <v>0</v>
      </c>
      <c r="K136" s="128">
        <f>Mulanje!K136+Luchenza!K136+Thyolo!K136+Muloza!K136+MUST!K136+Phalombe!K136+Mikolongwe!K136+Migowi!K136+Nkando!K136</f>
        <v>0</v>
      </c>
      <c r="L136" s="128">
        <f>Mulanje!L136+Luchenza!L136+Thyolo!L136+Muloza!L136+MUST!L136+Phalombe!L136+Mikolongwe!L136+Migowi!L136+Nkando!L136</f>
        <v>0</v>
      </c>
      <c r="M136" s="128">
        <f>Mulanje!M136+Luchenza!M136+Thyolo!M136+Muloza!M136+MUST!M136+Phalombe!M136+Mikolongwe!M136+Migowi!M136+Nkando!M136</f>
        <v>0</v>
      </c>
      <c r="N136" s="128">
        <f>Mulanje!N136+Luchenza!N136+Thyolo!N136+Muloza!N136+MUST!N136+Phalombe!N136+Mikolongwe!N136+Migowi!N136+Nkando!N136</f>
        <v>0</v>
      </c>
      <c r="O136" s="128">
        <f>Mulanje!O136+Luchenza!O136+Thyolo!O136+Muloza!O136+MUST!O136+Phalombe!O136+Mikolongwe!O136+Migowi!O136+Nkando!O136</f>
        <v>0</v>
      </c>
      <c r="P136" s="31">
        <f>SUM(D136:O136)</f>
        <v>0</v>
      </c>
    </row>
    <row r="137" spans="1:16" x14ac:dyDescent="0.25">
      <c r="A137" s="174"/>
      <c r="B137" s="72" t="s">
        <v>88</v>
      </c>
      <c r="C137" s="4" t="s">
        <v>3</v>
      </c>
      <c r="D137" s="128">
        <f>Mulanje!D137+Luchenza!D137+Thyolo!D137+Muloza!D137+MUST!D137+Phalombe!D137+Mikolongwe!D137+Migowi!D137+Nkando!D137</f>
        <v>0</v>
      </c>
      <c r="E137" s="128">
        <f>Mulanje!E137+Luchenza!E137+Thyolo!E137+Muloza!E137+MUST!E137+Phalombe!E137+Mikolongwe!E137+Migowi!E137+Nkando!E137</f>
        <v>0</v>
      </c>
      <c r="F137" s="128">
        <f>Mulanje!F137+Luchenza!F137+Thyolo!F137+Muloza!F137+MUST!F137+Phalombe!F137+Mikolongwe!F137+Migowi!F137+Nkando!F137</f>
        <v>0</v>
      </c>
      <c r="G137" s="128">
        <f>Mulanje!G137+Luchenza!G137+Thyolo!G137+Muloza!G137+MUST!G137+Phalombe!G137+Mikolongwe!G137+Migowi!G137+Nkando!G137</f>
        <v>0</v>
      </c>
      <c r="H137" s="128">
        <f>Mulanje!H137+Luchenza!H137+Thyolo!H137+Muloza!H137+MUST!H137+Phalombe!H137+Mikolongwe!H137+Migowi!H137+Nkando!H137</f>
        <v>0</v>
      </c>
      <c r="I137" s="128">
        <f>Mulanje!I137+Luchenza!I137+Thyolo!I137+Muloza!I137+MUST!I137+Phalombe!I137+Mikolongwe!I137+Migowi!I137+Nkando!I137</f>
        <v>0</v>
      </c>
      <c r="J137" s="128">
        <f>Mulanje!J137+Luchenza!J137+Thyolo!J137+Muloza!J137+MUST!J137+Phalombe!J137+Mikolongwe!J137+Migowi!J137+Nkando!J137</f>
        <v>0</v>
      </c>
      <c r="K137" s="128">
        <f>Mulanje!K137+Luchenza!K137+Thyolo!K137+Muloza!K137+MUST!K137+Phalombe!K137+Mikolongwe!K137+Migowi!K137+Nkando!K137</f>
        <v>0</v>
      </c>
      <c r="L137" s="128">
        <f>Mulanje!L137+Luchenza!L137+Thyolo!L137+Muloza!L137+MUST!L137+Phalombe!L137+Mikolongwe!L137+Migowi!L137+Nkando!L137</f>
        <v>0</v>
      </c>
      <c r="M137" s="128">
        <f>Mulanje!M137+Luchenza!M137+Thyolo!M137+Muloza!M137+MUST!M137+Phalombe!M137+Mikolongwe!M137+Migowi!M137+Nkando!M137</f>
        <v>0</v>
      </c>
      <c r="N137" s="128">
        <f>Mulanje!N137+Luchenza!N137+Thyolo!N137+Muloza!N137+MUST!N137+Phalombe!N137+Mikolongwe!N137+Migowi!N137+Nkando!N137</f>
        <v>0</v>
      </c>
      <c r="O137" s="128">
        <f>Mulanje!O137+Luchenza!O137+Thyolo!O137+Muloza!O137+MUST!O137+Phalombe!O137+Mikolongwe!O137+Migowi!O137+Nkando!O137</f>
        <v>0</v>
      </c>
      <c r="P137" s="31">
        <f>SUM(D137:O137)</f>
        <v>0</v>
      </c>
    </row>
    <row r="138" spans="1:16" x14ac:dyDescent="0.25">
      <c r="A138" s="174"/>
      <c r="B138" s="21" t="s">
        <v>82</v>
      </c>
      <c r="C138" s="4" t="s">
        <v>3</v>
      </c>
      <c r="D138" s="128">
        <f>Mulanje!D138+Luchenza!D138+Thyolo!D138+Muloza!D138+MUST!D138+Phalombe!D138+Mikolongwe!D138+Migowi!D138+Nkando!D138</f>
        <v>0</v>
      </c>
      <c r="E138" s="128">
        <f>Mulanje!E138+Luchenza!E138+Thyolo!E138+Muloza!E138+MUST!E138+Phalombe!E138+Mikolongwe!E138+Migowi!E138+Nkando!E138</f>
        <v>0</v>
      </c>
      <c r="F138" s="128">
        <f>Mulanje!F138+Luchenza!F138+Thyolo!F138+Muloza!F138+MUST!F138+Phalombe!F138+Mikolongwe!F138+Migowi!F138+Nkando!F138</f>
        <v>0</v>
      </c>
      <c r="G138" s="128">
        <f>Mulanje!G138+Luchenza!G138+Thyolo!G138+Muloza!G138+MUST!G138+Phalombe!G138+Mikolongwe!G138+Migowi!G138+Nkando!G138</f>
        <v>0</v>
      </c>
      <c r="H138" s="128">
        <f>Mulanje!H138+Luchenza!H138+Thyolo!H138+Muloza!H138+MUST!H138+Phalombe!H138+Mikolongwe!H138+Migowi!H138+Nkando!H138</f>
        <v>0</v>
      </c>
      <c r="I138" s="128">
        <f>Mulanje!I138+Luchenza!I138+Thyolo!I138+Muloza!I138+MUST!I138+Phalombe!I138+Mikolongwe!I138+Migowi!I138+Nkando!I138</f>
        <v>0</v>
      </c>
      <c r="J138" s="128">
        <f>Mulanje!J138+Luchenza!J138+Thyolo!J138+Muloza!J138+MUST!J138+Phalombe!J138+Mikolongwe!J138+Migowi!J138+Nkando!J138</f>
        <v>0</v>
      </c>
      <c r="K138" s="128">
        <f>Mulanje!K138+Luchenza!K138+Thyolo!K138+Muloza!K138+MUST!K138+Phalombe!K138+Mikolongwe!K138+Migowi!K138+Nkando!K138</f>
        <v>0</v>
      </c>
      <c r="L138" s="128">
        <f>Mulanje!L138+Luchenza!L138+Thyolo!L138+Muloza!L138+MUST!L138+Phalombe!L138+Mikolongwe!L138+Migowi!L138+Nkando!L138</f>
        <v>0</v>
      </c>
      <c r="M138" s="128">
        <f>Mulanje!M138+Luchenza!M138+Thyolo!M138+Muloza!M138+MUST!M138+Phalombe!M138+Mikolongwe!M138+Migowi!M138+Nkando!M138</f>
        <v>0</v>
      </c>
      <c r="N138" s="128">
        <f>Mulanje!N138+Luchenza!N138+Thyolo!N138+Muloza!N138+MUST!N138+Phalombe!N138+Mikolongwe!N138+Migowi!N138+Nkando!N138</f>
        <v>0</v>
      </c>
      <c r="O138" s="128">
        <f>Mulanje!O138+Luchenza!O138+Thyolo!O138+Muloza!O138+MUST!O138+Phalombe!O138+Mikolongwe!O138+Migowi!O138+Nkando!O138</f>
        <v>0</v>
      </c>
      <c r="P138" s="31">
        <f>SUM(D138:O138)</f>
        <v>0</v>
      </c>
    </row>
    <row r="139" spans="1:16" x14ac:dyDescent="0.25">
      <c r="A139" s="175"/>
      <c r="B139" s="21" t="s">
        <v>81</v>
      </c>
      <c r="C139" s="4" t="s">
        <v>3</v>
      </c>
      <c r="D139" s="126">
        <f>D135+D136-D137-D138</f>
        <v>0</v>
      </c>
      <c r="E139" s="126">
        <f>E135+E136-E137-E138</f>
        <v>0</v>
      </c>
      <c r="F139" s="126">
        <f>F135+F136-F137-F138</f>
        <v>0</v>
      </c>
      <c r="G139" s="126">
        <f>G135+G136-G137-G138</f>
        <v>0</v>
      </c>
      <c r="H139" s="126">
        <f>H135+H136-H137-H138</f>
        <v>0</v>
      </c>
      <c r="I139" s="126">
        <f t="shared" ref="I139:O139" si="52">I135+I136-I137-I138</f>
        <v>0</v>
      </c>
      <c r="J139" s="126">
        <f t="shared" si="52"/>
        <v>0</v>
      </c>
      <c r="K139" s="126">
        <f t="shared" si="52"/>
        <v>0</v>
      </c>
      <c r="L139" s="126">
        <f t="shared" si="52"/>
        <v>0</v>
      </c>
      <c r="M139" s="126">
        <f t="shared" si="52"/>
        <v>0</v>
      </c>
      <c r="N139" s="126">
        <f t="shared" si="52"/>
        <v>0</v>
      </c>
      <c r="O139" s="126">
        <f t="shared" si="52"/>
        <v>0</v>
      </c>
      <c r="P139" s="31">
        <f>P135+P136-P137-P138</f>
        <v>0</v>
      </c>
    </row>
    <row r="140" spans="1:16" x14ac:dyDescent="0.25">
      <c r="A140" s="173" t="s">
        <v>87</v>
      </c>
      <c r="B140" s="21" t="s">
        <v>85</v>
      </c>
      <c r="C140" s="4" t="s">
        <v>3</v>
      </c>
      <c r="D140" s="128">
        <f>Mulanje!D140+Luchenza!D140+Thyolo!D140+Muloza!D140+MUST!D140+Phalombe!D140+Mikolongwe!D140+Migowi!D140+Nkando!D140</f>
        <v>205</v>
      </c>
      <c r="E140" s="128">
        <f>Mulanje!E140+Luchenza!E140+Thyolo!E140+Muloza!E140+MUST!E140+Phalombe!E140+Mikolongwe!E140+Migowi!E140+Nkando!E140</f>
        <v>220</v>
      </c>
      <c r="F140" s="128">
        <f>Mulanje!F140+Luchenza!F140+Thyolo!F140+Muloza!F140+MUST!F140+Phalombe!F140+Mikolongwe!F140+Migowi!F140+Nkando!F140</f>
        <v>206</v>
      </c>
      <c r="G140" s="128">
        <f>Mulanje!G140+Luchenza!G140+Thyolo!G140+Muloza!G140+MUST!G140+Phalombe!G140+Mikolongwe!G140+Migowi!G140+Nkando!G140</f>
        <v>54</v>
      </c>
      <c r="H140" s="128">
        <f>Mulanje!H140+Luchenza!H140+Thyolo!H140+Muloza!H140+MUST!H140+Phalombe!H140+Mikolongwe!H140+Migowi!H140+Nkando!H140</f>
        <v>54</v>
      </c>
      <c r="I140" s="128">
        <f>Mulanje!I140+Luchenza!I140+Thyolo!I140+Muloza!I140+MUST!I140+Phalombe!I140+Mikolongwe!I140+Migowi!I140+Nkando!I140</f>
        <v>26</v>
      </c>
      <c r="J140" s="128">
        <f>Mulanje!J140+Luchenza!J140+Thyolo!J140+Muloza!J140+MUST!J140+Phalombe!J140+Mikolongwe!J140+Migowi!J140+Nkando!J140</f>
        <v>26</v>
      </c>
      <c r="K140" s="128">
        <f>Mulanje!K140+Luchenza!K140+Thyolo!K140+Muloza!K140+MUST!K140+Phalombe!K140+Mikolongwe!K140+Migowi!K140+Nkando!K140</f>
        <v>26</v>
      </c>
      <c r="L140" s="128">
        <f>Mulanje!L140+Luchenza!L140+Thyolo!L140+Muloza!L140+MUST!L140+Phalombe!L140+Mikolongwe!L140+Migowi!L140+Nkando!L140</f>
        <v>26</v>
      </c>
      <c r="M140" s="128">
        <f>Mulanje!M140+Luchenza!M140+Thyolo!M140+Muloza!M140+MUST!M140+Phalombe!M140+Mikolongwe!M140+Migowi!M140+Nkando!M140</f>
        <v>26</v>
      </c>
      <c r="N140" s="128">
        <f>Mulanje!N140+Luchenza!N140+Thyolo!N140+Muloza!N140+MUST!N140+Phalombe!N140+Mikolongwe!N140+Migowi!N140+Nkando!N140</f>
        <v>26</v>
      </c>
      <c r="O140" s="128">
        <f>Mulanje!O140+Luchenza!O140+Thyolo!O140+Muloza!O140+MUST!O140+Phalombe!O140+Mikolongwe!O140+Migowi!O140+Nkando!O140</f>
        <v>26</v>
      </c>
      <c r="P140" s="31">
        <f>D140</f>
        <v>205</v>
      </c>
    </row>
    <row r="141" spans="1:16" x14ac:dyDescent="0.25">
      <c r="A141" s="174"/>
      <c r="B141" s="21" t="s">
        <v>84</v>
      </c>
      <c r="C141" s="4" t="s">
        <v>3</v>
      </c>
      <c r="D141" s="128">
        <f>Mulanje!D141+Luchenza!D141+Thyolo!D141+Muloza!D141+MUST!D141+Phalombe!D141+Mikolongwe!D141+Migowi!D141+Nkando!D141</f>
        <v>94</v>
      </c>
      <c r="E141" s="128">
        <f>Mulanje!E141+Luchenza!E141+Thyolo!E141+Muloza!E141+MUST!E141+Phalombe!E141+Mikolongwe!E141+Migowi!E141+Nkando!E141</f>
        <v>54</v>
      </c>
      <c r="F141" s="128">
        <f>Mulanje!F141+Luchenza!F141+Thyolo!F141+Muloza!F141+MUST!F141+Phalombe!F141+Mikolongwe!F141+Migowi!F141+Nkando!F141</f>
        <v>29</v>
      </c>
      <c r="G141" s="128">
        <f>Mulanje!G141+Luchenza!G141+Thyolo!G141+Muloza!G141+MUST!G141+Phalombe!G141+Mikolongwe!G141+Migowi!G141+Nkando!G141</f>
        <v>0</v>
      </c>
      <c r="H141" s="128">
        <f>Mulanje!H141+Luchenza!H141+Thyolo!H141+Muloza!H141+MUST!H141+Phalombe!H141+Mikolongwe!H141+Migowi!H141+Nkando!H141</f>
        <v>0</v>
      </c>
      <c r="I141" s="128">
        <f>Mulanje!I141+Luchenza!I141+Thyolo!I141+Muloza!I141+MUST!I141+Phalombe!I141+Mikolongwe!I141+Migowi!I141+Nkando!I141</f>
        <v>0</v>
      </c>
      <c r="J141" s="128">
        <f>Mulanje!J141+Luchenza!J141+Thyolo!J141+Muloza!J141+MUST!J141+Phalombe!J141+Mikolongwe!J141+Migowi!J141+Nkando!J141</f>
        <v>0</v>
      </c>
      <c r="K141" s="128">
        <f>Mulanje!K141+Luchenza!K141+Thyolo!K141+Muloza!K141+MUST!K141+Phalombe!K141+Mikolongwe!K141+Migowi!K141+Nkando!K141</f>
        <v>0</v>
      </c>
      <c r="L141" s="128">
        <f>Mulanje!L141+Luchenza!L141+Thyolo!L141+Muloza!L141+MUST!L141+Phalombe!L141+Mikolongwe!L141+Migowi!L141+Nkando!L141</f>
        <v>0</v>
      </c>
      <c r="M141" s="128">
        <f>Mulanje!M141+Luchenza!M141+Thyolo!M141+Muloza!M141+MUST!M141+Phalombe!M141+Mikolongwe!M141+Migowi!M141+Nkando!M141</f>
        <v>0</v>
      </c>
      <c r="N141" s="128">
        <f>Mulanje!N141+Luchenza!N141+Thyolo!N141+Muloza!N141+MUST!N141+Phalombe!N141+Mikolongwe!N141+Migowi!N141+Nkando!N141</f>
        <v>0</v>
      </c>
      <c r="O141" s="128">
        <f>Mulanje!O141+Luchenza!O141+Thyolo!O141+Muloza!O141+MUST!O141+Phalombe!O141+Mikolongwe!O141+Migowi!O141+Nkando!O141</f>
        <v>0</v>
      </c>
      <c r="P141" s="31">
        <f>SUM(D141:O141)</f>
        <v>177</v>
      </c>
    </row>
    <row r="142" spans="1:16" x14ac:dyDescent="0.25">
      <c r="A142" s="174"/>
      <c r="B142" s="21" t="s">
        <v>83</v>
      </c>
      <c r="C142" s="4" t="s">
        <v>3</v>
      </c>
      <c r="D142" s="128">
        <f>Mulanje!D142+Luchenza!D142+Thyolo!D142+Muloza!D142+MUST!D142+Phalombe!D142+Mikolongwe!D142+Migowi!D142+Nkando!D142</f>
        <v>53</v>
      </c>
      <c r="E142" s="128">
        <f>Mulanje!E142+Luchenza!E142+Thyolo!E142+Muloza!E142+MUST!E142+Phalombe!E142+Mikolongwe!E142+Migowi!E142+Nkando!E142</f>
        <v>40</v>
      </c>
      <c r="F142" s="128">
        <f>Mulanje!F142+Luchenza!F142+Thyolo!F142+Muloza!F142+MUST!F142+Phalombe!F142+Mikolongwe!F142+Migowi!F142+Nkando!F142</f>
        <v>74</v>
      </c>
      <c r="G142" s="128">
        <f>Mulanje!G142+Luchenza!G142+Thyolo!G142+Muloza!G142+MUST!G142+Phalombe!G142+Mikolongwe!G142+Migowi!G142+Nkando!G142</f>
        <v>0</v>
      </c>
      <c r="H142" s="128">
        <f>Mulanje!H142+Luchenza!H142+Thyolo!H142+Muloza!H142+MUST!H142+Phalombe!H142+Mikolongwe!H142+Migowi!H142+Nkando!H142</f>
        <v>0</v>
      </c>
      <c r="I142" s="128">
        <f>Mulanje!I142+Luchenza!I142+Thyolo!I142+Muloza!I142+MUST!I142+Phalombe!I142+Mikolongwe!I142+Migowi!I142+Nkando!I142</f>
        <v>0</v>
      </c>
      <c r="J142" s="128">
        <f>Mulanje!J142+Luchenza!J142+Thyolo!J142+Muloza!J142+MUST!J142+Phalombe!J142+Mikolongwe!J142+Migowi!J142+Nkando!J142</f>
        <v>0</v>
      </c>
      <c r="K142" s="128">
        <f>Mulanje!K142+Luchenza!K142+Thyolo!K142+Muloza!K142+MUST!K142+Phalombe!K142+Mikolongwe!K142+Migowi!K142+Nkando!K142</f>
        <v>0</v>
      </c>
      <c r="L142" s="128">
        <f>Mulanje!L142+Luchenza!L142+Thyolo!L142+Muloza!L142+MUST!L142+Phalombe!L142+Mikolongwe!L142+Migowi!L142+Nkando!L142</f>
        <v>0</v>
      </c>
      <c r="M142" s="128">
        <f>Mulanje!M142+Luchenza!M142+Thyolo!M142+Muloza!M142+MUST!M142+Phalombe!M142+Mikolongwe!M142+Migowi!M142+Nkando!M142</f>
        <v>0</v>
      </c>
      <c r="N142" s="128">
        <f>Mulanje!N142+Luchenza!N142+Thyolo!N142+Muloza!N142+MUST!N142+Phalombe!N142+Mikolongwe!N142+Migowi!N142+Nkando!N142</f>
        <v>0</v>
      </c>
      <c r="O142" s="128">
        <f>Mulanje!O142+Luchenza!O142+Thyolo!O142+Muloza!O142+MUST!O142+Phalombe!O142+Mikolongwe!O142+Migowi!O142+Nkando!O142</f>
        <v>0</v>
      </c>
      <c r="P142" s="31">
        <f>SUM(D142:O142)</f>
        <v>167</v>
      </c>
    </row>
    <row r="143" spans="1:16" x14ac:dyDescent="0.25">
      <c r="A143" s="174"/>
      <c r="B143" s="21" t="s">
        <v>82</v>
      </c>
      <c r="C143" s="4" t="s">
        <v>3</v>
      </c>
      <c r="D143" s="128">
        <f>Mulanje!D143+Luchenza!D143+Thyolo!D143+Muloza!D143+MUST!D143+Phalombe!D143+Mikolongwe!D143+Migowi!D143+Nkando!D143</f>
        <v>26</v>
      </c>
      <c r="E143" s="128">
        <f>Mulanje!E143+Luchenza!E143+Thyolo!E143+Muloza!E143+MUST!E143+Phalombe!E143+Mikolongwe!E143+Migowi!E143+Nkando!E143</f>
        <v>28</v>
      </c>
      <c r="F143" s="128">
        <f>Mulanje!F143+Luchenza!F143+Thyolo!F143+Muloza!F143+MUST!F143+Phalombe!F143+Mikolongwe!F143+Migowi!F143+Nkando!F143</f>
        <v>82</v>
      </c>
      <c r="G143" s="128">
        <f>Mulanje!G143+Luchenza!G143+Thyolo!G143+Muloza!G143+MUST!G143+Phalombe!G143+Mikolongwe!G143+Migowi!G143+Nkando!G143</f>
        <v>0</v>
      </c>
      <c r="H143" s="128">
        <f>Mulanje!H143+Luchenza!H143+Thyolo!H143+Muloza!H143+MUST!H143+Phalombe!H143+Mikolongwe!H143+Migowi!H143+Nkando!H143</f>
        <v>0</v>
      </c>
      <c r="I143" s="128">
        <f>Mulanje!I143+Luchenza!I143+Thyolo!I143+Muloza!I143+MUST!I143+Phalombe!I143+Mikolongwe!I143+Migowi!I143+Nkando!I143</f>
        <v>0</v>
      </c>
      <c r="J143" s="128">
        <f>Mulanje!J143+Luchenza!J143+Thyolo!J143+Muloza!J143+MUST!J143+Phalombe!J143+Mikolongwe!J143+Migowi!J143+Nkando!J143</f>
        <v>0</v>
      </c>
      <c r="K143" s="128">
        <f>Mulanje!K143+Luchenza!K143+Thyolo!K143+Muloza!K143+MUST!K143+Phalombe!K143+Mikolongwe!K143+Migowi!K143+Nkando!K143</f>
        <v>0</v>
      </c>
      <c r="L143" s="128">
        <f>Mulanje!L143+Luchenza!L143+Thyolo!L143+Muloza!L143+MUST!L143+Phalombe!L143+Mikolongwe!L143+Migowi!L143+Nkando!L143</f>
        <v>0</v>
      </c>
      <c r="M143" s="128">
        <f>Mulanje!M143+Luchenza!M143+Thyolo!M143+Muloza!M143+MUST!M143+Phalombe!M143+Mikolongwe!M143+Migowi!M143+Nkando!M143</f>
        <v>0</v>
      </c>
      <c r="N143" s="128">
        <f>Mulanje!N143+Luchenza!N143+Thyolo!N143+Muloza!N143+MUST!N143+Phalombe!N143+Mikolongwe!N143+Migowi!N143+Nkando!N143</f>
        <v>0</v>
      </c>
      <c r="O143" s="128">
        <f>Mulanje!O143+Luchenza!O143+Thyolo!O143+Muloza!O143+MUST!O143+Phalombe!O143+Mikolongwe!O143+Migowi!O143+Nkando!O143</f>
        <v>0</v>
      </c>
      <c r="P143" s="31">
        <f>SUM(D143:O143)</f>
        <v>136</v>
      </c>
    </row>
    <row r="144" spans="1:16" x14ac:dyDescent="0.25">
      <c r="A144" s="175"/>
      <c r="B144" s="21" t="s">
        <v>81</v>
      </c>
      <c r="C144" s="4" t="s">
        <v>3</v>
      </c>
      <c r="D144" s="126">
        <f>D140+D141-D142-D143</f>
        <v>220</v>
      </c>
      <c r="E144" s="126">
        <f t="shared" ref="E144:O144" si="53">E140+E141-E142-E143</f>
        <v>206</v>
      </c>
      <c r="F144" s="126">
        <f t="shared" si="53"/>
        <v>79</v>
      </c>
      <c r="G144" s="126">
        <f t="shared" si="53"/>
        <v>54</v>
      </c>
      <c r="H144" s="126">
        <f t="shared" si="53"/>
        <v>54</v>
      </c>
      <c r="I144" s="126">
        <f t="shared" si="53"/>
        <v>26</v>
      </c>
      <c r="J144" s="126">
        <f t="shared" si="53"/>
        <v>26</v>
      </c>
      <c r="K144" s="126">
        <f t="shared" si="53"/>
        <v>26</v>
      </c>
      <c r="L144" s="126">
        <f t="shared" si="53"/>
        <v>26</v>
      </c>
      <c r="M144" s="126">
        <f t="shared" si="53"/>
        <v>26</v>
      </c>
      <c r="N144" s="126">
        <f t="shared" si="53"/>
        <v>26</v>
      </c>
      <c r="O144" s="126">
        <f t="shared" si="53"/>
        <v>26</v>
      </c>
      <c r="P144" s="31">
        <f>P140+P141-P142-P143</f>
        <v>79</v>
      </c>
    </row>
    <row r="145" spans="1:16" x14ac:dyDescent="0.25">
      <c r="A145" s="173" t="s">
        <v>86</v>
      </c>
      <c r="B145" s="21" t="s">
        <v>85</v>
      </c>
      <c r="C145" s="4" t="s">
        <v>3</v>
      </c>
      <c r="D145" s="127">
        <f>D125+D130+D135+D140</f>
        <v>221</v>
      </c>
      <c r="E145" s="127">
        <f t="shared" ref="E145:O145" si="54">E125+E130+E135+E140</f>
        <v>220</v>
      </c>
      <c r="F145" s="127">
        <f t="shared" si="54"/>
        <v>206</v>
      </c>
      <c r="G145" s="127">
        <f t="shared" si="54"/>
        <v>54</v>
      </c>
      <c r="H145" s="127">
        <f t="shared" si="54"/>
        <v>54</v>
      </c>
      <c r="I145" s="127">
        <f t="shared" si="54"/>
        <v>26</v>
      </c>
      <c r="J145" s="127">
        <f t="shared" si="54"/>
        <v>26</v>
      </c>
      <c r="K145" s="127">
        <f t="shared" si="54"/>
        <v>26</v>
      </c>
      <c r="L145" s="127">
        <f t="shared" si="54"/>
        <v>26</v>
      </c>
      <c r="M145" s="127">
        <f t="shared" si="54"/>
        <v>26</v>
      </c>
      <c r="N145" s="127">
        <f t="shared" si="54"/>
        <v>26</v>
      </c>
      <c r="O145" s="127">
        <f t="shared" si="54"/>
        <v>26</v>
      </c>
      <c r="P145" s="99">
        <f t="shared" ref="P145:P149" si="55">P125+P130+P135+P140</f>
        <v>221</v>
      </c>
    </row>
    <row r="146" spans="1:16" x14ac:dyDescent="0.25">
      <c r="A146" s="174"/>
      <c r="B146" s="21" t="s">
        <v>84</v>
      </c>
      <c r="C146" s="4" t="s">
        <v>3</v>
      </c>
      <c r="D146" s="127">
        <f t="shared" ref="D146:O148" si="56">D126+D131+D136+D141</f>
        <v>100</v>
      </c>
      <c r="E146" s="127">
        <f t="shared" si="56"/>
        <v>63</v>
      </c>
      <c r="F146" s="127">
        <f t="shared" si="56"/>
        <v>29</v>
      </c>
      <c r="G146" s="127">
        <f t="shared" si="56"/>
        <v>0</v>
      </c>
      <c r="H146" s="127">
        <f t="shared" si="56"/>
        <v>0</v>
      </c>
      <c r="I146" s="127">
        <f t="shared" si="56"/>
        <v>0</v>
      </c>
      <c r="J146" s="127">
        <f t="shared" si="56"/>
        <v>0</v>
      </c>
      <c r="K146" s="127">
        <f t="shared" si="56"/>
        <v>0</v>
      </c>
      <c r="L146" s="127">
        <f t="shared" si="56"/>
        <v>0</v>
      </c>
      <c r="M146" s="127">
        <f t="shared" si="56"/>
        <v>0</v>
      </c>
      <c r="N146" s="127">
        <f t="shared" si="56"/>
        <v>0</v>
      </c>
      <c r="O146" s="127">
        <f t="shared" si="56"/>
        <v>0</v>
      </c>
      <c r="P146" s="99">
        <f t="shared" si="55"/>
        <v>192</v>
      </c>
    </row>
    <row r="147" spans="1:16" x14ac:dyDescent="0.25">
      <c r="A147" s="174"/>
      <c r="B147" s="21" t="s">
        <v>83</v>
      </c>
      <c r="C147" s="4" t="s">
        <v>3</v>
      </c>
      <c r="D147" s="127">
        <f t="shared" si="56"/>
        <v>53</v>
      </c>
      <c r="E147" s="127">
        <f t="shared" si="56"/>
        <v>40</v>
      </c>
      <c r="F147" s="127">
        <f t="shared" si="56"/>
        <v>74</v>
      </c>
      <c r="G147" s="127">
        <f t="shared" si="56"/>
        <v>0</v>
      </c>
      <c r="H147" s="127">
        <f t="shared" si="56"/>
        <v>0</v>
      </c>
      <c r="I147" s="127">
        <f t="shared" si="56"/>
        <v>0</v>
      </c>
      <c r="J147" s="127">
        <f t="shared" si="56"/>
        <v>0</v>
      </c>
      <c r="K147" s="127">
        <f t="shared" si="56"/>
        <v>0</v>
      </c>
      <c r="L147" s="127">
        <f t="shared" si="56"/>
        <v>0</v>
      </c>
      <c r="M147" s="127">
        <f t="shared" si="56"/>
        <v>0</v>
      </c>
      <c r="N147" s="127">
        <f t="shared" si="56"/>
        <v>0</v>
      </c>
      <c r="O147" s="127">
        <f t="shared" si="56"/>
        <v>0</v>
      </c>
      <c r="P147" s="99">
        <f t="shared" si="55"/>
        <v>167</v>
      </c>
    </row>
    <row r="148" spans="1:16" x14ac:dyDescent="0.25">
      <c r="A148" s="174"/>
      <c r="B148" s="21" t="s">
        <v>82</v>
      </c>
      <c r="C148" s="4" t="s">
        <v>3</v>
      </c>
      <c r="D148" s="127">
        <f t="shared" si="56"/>
        <v>48</v>
      </c>
      <c r="E148" s="127">
        <f t="shared" si="56"/>
        <v>28</v>
      </c>
      <c r="F148" s="127">
        <f t="shared" si="56"/>
        <v>82</v>
      </c>
      <c r="G148" s="127">
        <f t="shared" si="56"/>
        <v>0</v>
      </c>
      <c r="H148" s="127">
        <f t="shared" si="56"/>
        <v>0</v>
      </c>
      <c r="I148" s="127">
        <f t="shared" si="56"/>
        <v>0</v>
      </c>
      <c r="J148" s="127">
        <f t="shared" si="56"/>
        <v>0</v>
      </c>
      <c r="K148" s="127">
        <f t="shared" si="56"/>
        <v>0</v>
      </c>
      <c r="L148" s="127">
        <f t="shared" si="56"/>
        <v>0</v>
      </c>
      <c r="M148" s="127">
        <f t="shared" si="56"/>
        <v>0</v>
      </c>
      <c r="N148" s="127">
        <f t="shared" si="56"/>
        <v>0</v>
      </c>
      <c r="O148" s="127">
        <f t="shared" si="56"/>
        <v>0</v>
      </c>
      <c r="P148" s="99">
        <f t="shared" si="55"/>
        <v>158</v>
      </c>
    </row>
    <row r="149" spans="1:16" x14ac:dyDescent="0.25">
      <c r="A149" s="175"/>
      <c r="B149" s="21" t="s">
        <v>81</v>
      </c>
      <c r="C149" s="4" t="s">
        <v>3</v>
      </c>
      <c r="D149" s="126">
        <f>D145+D146-D147-D148</f>
        <v>220</v>
      </c>
      <c r="E149" s="126">
        <f t="shared" ref="E149:O149" si="57">E145+E146-E147-E148</f>
        <v>215</v>
      </c>
      <c r="F149" s="126">
        <f t="shared" si="57"/>
        <v>79</v>
      </c>
      <c r="G149" s="126">
        <f t="shared" si="57"/>
        <v>54</v>
      </c>
      <c r="H149" s="126">
        <f t="shared" si="57"/>
        <v>54</v>
      </c>
      <c r="I149" s="126">
        <f t="shared" si="57"/>
        <v>26</v>
      </c>
      <c r="J149" s="126">
        <f t="shared" si="57"/>
        <v>26</v>
      </c>
      <c r="K149" s="126">
        <f t="shared" si="57"/>
        <v>26</v>
      </c>
      <c r="L149" s="126">
        <f t="shared" si="57"/>
        <v>26</v>
      </c>
      <c r="M149" s="126">
        <f t="shared" si="57"/>
        <v>26</v>
      </c>
      <c r="N149" s="126">
        <f t="shared" si="57"/>
        <v>26</v>
      </c>
      <c r="O149" s="126">
        <f t="shared" si="57"/>
        <v>26</v>
      </c>
      <c r="P149" s="99">
        <f t="shared" si="55"/>
        <v>88</v>
      </c>
    </row>
    <row r="150" spans="1:16" ht="15" x14ac:dyDescent="0.25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4"/>
    </row>
    <row r="151" spans="1:16" x14ac:dyDescent="0.25">
      <c r="A151" s="176" t="s">
        <v>79</v>
      </c>
      <c r="B151" s="17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25">
      <c r="A152" s="22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25">
      <c r="A153" s="223"/>
      <c r="B153" s="17" t="s">
        <v>73</v>
      </c>
      <c r="C153" s="4" t="s">
        <v>57</v>
      </c>
      <c r="D153" s="128">
        <f>Mulanje!D153+Luchenza!D153+Thyolo!D153+Muloza!D153+MUST!D153+Phalombe!D153+Mikolongwe!D153+Migowi!D153+Nkando!D153</f>
        <v>146</v>
      </c>
      <c r="E153" s="128">
        <f>Mulanje!E153+Luchenza!E153+Thyolo!E153+Muloza!E153+MUST!E153+Phalombe!E153+Mikolongwe!E153+Migowi!E153+Nkando!E153</f>
        <v>140</v>
      </c>
      <c r="F153" s="128">
        <f>Mulanje!F153+Luchenza!F153+Thyolo!F153+Muloza!F153+MUST!F153+Phalombe!F153+Mikolongwe!F153+Migowi!F153+Nkando!F153</f>
        <v>165</v>
      </c>
      <c r="G153" s="128">
        <f>Mulanje!G153+Luchenza!G153+Thyolo!G153+Muloza!G153+MUST!G153+Phalombe!G153+Mikolongwe!G153+Migowi!G153+Nkando!G153</f>
        <v>0</v>
      </c>
      <c r="H153" s="128">
        <f>Mulanje!H153+Luchenza!H153+Thyolo!H153+Muloza!H153+MUST!H153+Phalombe!H153+Mikolongwe!H153+Migowi!H153+Nkando!H153</f>
        <v>0</v>
      </c>
      <c r="I153" s="128">
        <f>Mulanje!I153+Luchenza!I153+Thyolo!I153+Muloza!I153+MUST!I153+Phalombe!I153+Mikolongwe!I153+Migowi!I153+Nkando!I153</f>
        <v>0</v>
      </c>
      <c r="J153" s="128">
        <f>Mulanje!J153+Luchenza!J153+Thyolo!J153+Muloza!J153+MUST!J153+Phalombe!J153+Mikolongwe!J153+Migowi!J153+Nkando!J153</f>
        <v>0</v>
      </c>
      <c r="K153" s="128">
        <f>Mulanje!K153+Luchenza!K153+Thyolo!K153+Muloza!K153+MUST!K153+Phalombe!K153+Mikolongwe!K153+Migowi!K153+Nkando!K153</f>
        <v>0</v>
      </c>
      <c r="L153" s="128">
        <f>Mulanje!L153+Luchenza!L153+Thyolo!L153+Muloza!L153+MUST!L153+Phalombe!L153+Mikolongwe!L153+Migowi!L153+Nkando!L153</f>
        <v>0</v>
      </c>
      <c r="M153" s="128">
        <f>Mulanje!M153+Luchenza!M153+Thyolo!M153+Muloza!M153+MUST!M153+Phalombe!M153+Mikolongwe!M153+Migowi!M153+Nkando!M153</f>
        <v>0</v>
      </c>
      <c r="N153" s="128">
        <f>Mulanje!N153+Luchenza!N153+Thyolo!N153+Muloza!N153+MUST!N153+Phalombe!N153+Mikolongwe!N153+Migowi!N153+Nkando!N153</f>
        <v>0</v>
      </c>
      <c r="O153" s="128">
        <f>Mulanje!O153+Luchenza!O153+Thyolo!O153+Muloza!O153+MUST!O153+Phalombe!O153+Mikolongwe!O153+Migowi!O153+Nkando!O153</f>
        <v>0</v>
      </c>
      <c r="P153" s="31">
        <f t="shared" ref="P153:P165" si="58">SUM(D153:O153)</f>
        <v>451</v>
      </c>
    </row>
    <row r="154" spans="1:16" x14ac:dyDescent="0.25">
      <c r="A154" s="223"/>
      <c r="B154" s="17" t="s">
        <v>72</v>
      </c>
      <c r="C154" s="4" t="s">
        <v>57</v>
      </c>
      <c r="D154" s="128">
        <f>Mulanje!D154+Luchenza!D154+Thyolo!D154+Muloza!D154+MUST!D154+Phalombe!D154+Mikolongwe!D154+Migowi!D154+Nkando!D154</f>
        <v>102</v>
      </c>
      <c r="E154" s="128">
        <f>Mulanje!E154+Luchenza!E154+Thyolo!E154+Muloza!E154+MUST!E154+Phalombe!E154+Mikolongwe!E154+Migowi!E154+Nkando!E154</f>
        <v>84</v>
      </c>
      <c r="F154" s="128">
        <f>Mulanje!F154+Luchenza!F154+Thyolo!F154+Muloza!F154+MUST!F154+Phalombe!F154+Mikolongwe!F154+Migowi!F154+Nkando!F154</f>
        <v>85</v>
      </c>
      <c r="G154" s="128">
        <f>Mulanje!G154+Luchenza!G154+Thyolo!G154+Muloza!G154+MUST!G154+Phalombe!G154+Mikolongwe!G154+Migowi!G154+Nkando!G154</f>
        <v>0</v>
      </c>
      <c r="H154" s="128">
        <f>Mulanje!H154+Luchenza!H154+Thyolo!H154+Muloza!H154+MUST!H154+Phalombe!H154+Mikolongwe!H154+Migowi!H154+Nkando!H154</f>
        <v>0</v>
      </c>
      <c r="I154" s="128">
        <f>Mulanje!I154+Luchenza!I154+Thyolo!I154+Muloza!I154+MUST!I154+Phalombe!I154+Mikolongwe!I154+Migowi!I154+Nkando!I154</f>
        <v>0</v>
      </c>
      <c r="J154" s="128">
        <f>Mulanje!J154+Luchenza!J154+Thyolo!J154+Muloza!J154+MUST!J154+Phalombe!J154+Mikolongwe!J154+Migowi!J154+Nkando!J154</f>
        <v>0</v>
      </c>
      <c r="K154" s="128">
        <f>Mulanje!K154+Luchenza!K154+Thyolo!K154+Muloza!K154+MUST!K154+Phalombe!K154+Mikolongwe!K154+Migowi!K154+Nkando!K154</f>
        <v>0</v>
      </c>
      <c r="L154" s="128">
        <f>Mulanje!L154+Luchenza!L154+Thyolo!L154+Muloza!L154+MUST!L154+Phalombe!L154+Mikolongwe!L154+Migowi!L154+Nkando!L154</f>
        <v>0</v>
      </c>
      <c r="M154" s="128">
        <f>Mulanje!M154+Luchenza!M154+Thyolo!M154+Muloza!M154+MUST!M154+Phalombe!M154+Mikolongwe!M154+Migowi!M154+Nkando!M154</f>
        <v>0</v>
      </c>
      <c r="N154" s="128">
        <f>Mulanje!N154+Luchenza!N154+Thyolo!N154+Muloza!N154+MUST!N154+Phalombe!N154+Mikolongwe!N154+Migowi!N154+Nkando!N154</f>
        <v>0</v>
      </c>
      <c r="O154" s="128">
        <f>Mulanje!O154+Luchenza!O154+Thyolo!O154+Muloza!O154+MUST!O154+Phalombe!O154+Mikolongwe!O154+Migowi!O154+Nkando!O154</f>
        <v>0</v>
      </c>
      <c r="P154" s="31">
        <f t="shared" si="58"/>
        <v>271</v>
      </c>
    </row>
    <row r="155" spans="1:16" x14ac:dyDescent="0.25">
      <c r="A155" s="223"/>
      <c r="B155" s="17" t="s">
        <v>53</v>
      </c>
      <c r="C155" s="4" t="s">
        <v>57</v>
      </c>
      <c r="D155" s="128">
        <f>Mulanje!D155+Luchenza!D155+Thyolo!D155+Muloza!D155+MUST!D155+Phalombe!D155+Mikolongwe!D155+Migowi!D155+Nkando!D155</f>
        <v>51</v>
      </c>
      <c r="E155" s="128">
        <f>Mulanje!E155+Luchenza!E155+Thyolo!E155+Muloza!E155+MUST!E155+Phalombe!E155+Mikolongwe!E155+Migowi!E155+Nkando!E155</f>
        <v>46</v>
      </c>
      <c r="F155" s="128">
        <f>Mulanje!F155+Luchenza!F155+Thyolo!F155+Muloza!F155+MUST!F155+Phalombe!F155+Mikolongwe!F155+Migowi!F155+Nkando!F155</f>
        <v>40</v>
      </c>
      <c r="G155" s="128">
        <f>Mulanje!G155+Luchenza!G155+Thyolo!G155+Muloza!G155+MUST!G155+Phalombe!G155+Mikolongwe!G155+Migowi!G155+Nkando!G155</f>
        <v>0</v>
      </c>
      <c r="H155" s="128">
        <f>Mulanje!H155+Luchenza!H155+Thyolo!H155+Muloza!H155+MUST!H155+Phalombe!H155+Mikolongwe!H155+Migowi!H155+Nkando!H155</f>
        <v>0</v>
      </c>
      <c r="I155" s="128">
        <f>Mulanje!I155+Luchenza!I155+Thyolo!I155+Muloza!I155+MUST!I155+Phalombe!I155+Mikolongwe!I155+Migowi!I155+Nkando!I155</f>
        <v>0</v>
      </c>
      <c r="J155" s="128">
        <f>Mulanje!J155+Luchenza!J155+Thyolo!J155+Muloza!J155+MUST!J155+Phalombe!J155+Mikolongwe!J155+Migowi!J155+Nkando!J155</f>
        <v>0</v>
      </c>
      <c r="K155" s="128">
        <f>Mulanje!K155+Luchenza!K155+Thyolo!K155+Muloza!K155+MUST!K155+Phalombe!K155+Mikolongwe!K155+Migowi!K155+Nkando!K155</f>
        <v>0</v>
      </c>
      <c r="L155" s="128">
        <f>Mulanje!L155+Luchenza!L155+Thyolo!L155+Muloza!L155+MUST!L155+Phalombe!L155+Mikolongwe!L155+Migowi!L155+Nkando!L155</f>
        <v>0</v>
      </c>
      <c r="M155" s="128">
        <f>Mulanje!M155+Luchenza!M155+Thyolo!M155+Muloza!M155+MUST!M155+Phalombe!M155+Mikolongwe!M155+Migowi!M155+Nkando!M155</f>
        <v>0</v>
      </c>
      <c r="N155" s="128">
        <f>Mulanje!N155+Luchenza!N155+Thyolo!N155+Muloza!N155+MUST!N155+Phalombe!N155+Mikolongwe!N155+Migowi!N155+Nkando!N155</f>
        <v>0</v>
      </c>
      <c r="O155" s="128">
        <f>Mulanje!O155+Luchenza!O155+Thyolo!O155+Muloza!O155+MUST!O155+Phalombe!O155+Mikolongwe!O155+Migowi!O155+Nkando!O155</f>
        <v>0</v>
      </c>
      <c r="P155" s="31">
        <f t="shared" si="58"/>
        <v>137</v>
      </c>
    </row>
    <row r="156" spans="1:16" x14ac:dyDescent="0.25">
      <c r="A156" s="223"/>
      <c r="B156" s="17" t="s">
        <v>71</v>
      </c>
      <c r="C156" s="4" t="s">
        <v>57</v>
      </c>
      <c r="D156" s="128">
        <f>Mulanje!D156+Luchenza!D156+Thyolo!D156+Muloza!D156+MUST!D156+Phalombe!D156+Mikolongwe!D156+Migowi!D156+Nkando!D156</f>
        <v>8</v>
      </c>
      <c r="E156" s="128">
        <f>Mulanje!E156+Luchenza!E156+Thyolo!E156+Muloza!E156+MUST!E156+Phalombe!E156+Mikolongwe!E156+Migowi!E156+Nkando!E156</f>
        <v>9</v>
      </c>
      <c r="F156" s="128">
        <f>Mulanje!F156+Luchenza!F156+Thyolo!F156+Muloza!F156+MUST!F156+Phalombe!F156+Mikolongwe!F156+Migowi!F156+Nkando!F156</f>
        <v>5</v>
      </c>
      <c r="G156" s="128">
        <f>Mulanje!G156+Luchenza!G156+Thyolo!G156+Muloza!G156+MUST!G156+Phalombe!G156+Mikolongwe!G156+Migowi!G156+Nkando!G156</f>
        <v>0</v>
      </c>
      <c r="H156" s="128">
        <f>Mulanje!H156+Luchenza!H156+Thyolo!H156+Muloza!H156+MUST!H156+Phalombe!H156+Mikolongwe!H156+Migowi!H156+Nkando!H156</f>
        <v>0</v>
      </c>
      <c r="I156" s="128">
        <f>Mulanje!I156+Luchenza!I156+Thyolo!I156+Muloza!I156+MUST!I156+Phalombe!I156+Mikolongwe!I156+Migowi!I156+Nkando!I156</f>
        <v>0</v>
      </c>
      <c r="J156" s="128">
        <f>Mulanje!J156+Luchenza!J156+Thyolo!J156+Muloza!J156+MUST!J156+Phalombe!J156+Mikolongwe!J156+Migowi!J156+Nkando!J156</f>
        <v>0</v>
      </c>
      <c r="K156" s="128">
        <f>Mulanje!K156+Luchenza!K156+Thyolo!K156+Muloza!K156+MUST!K156+Phalombe!K156+Mikolongwe!K156+Migowi!K156+Nkando!K156</f>
        <v>0</v>
      </c>
      <c r="L156" s="128">
        <f>Mulanje!L156+Luchenza!L156+Thyolo!L156+Muloza!L156+MUST!L156+Phalombe!L156+Mikolongwe!L156+Migowi!L156+Nkando!L156</f>
        <v>0</v>
      </c>
      <c r="M156" s="128">
        <f>Mulanje!M156+Luchenza!M156+Thyolo!M156+Muloza!M156+MUST!M156+Phalombe!M156+Mikolongwe!M156+Migowi!M156+Nkando!M156</f>
        <v>0</v>
      </c>
      <c r="N156" s="128">
        <f>Mulanje!N156+Luchenza!N156+Thyolo!N156+Muloza!N156+MUST!N156+Phalombe!N156+Mikolongwe!N156+Migowi!N156+Nkando!N156</f>
        <v>0</v>
      </c>
      <c r="O156" s="128">
        <f>Mulanje!O156+Luchenza!O156+Thyolo!O156+Muloza!O156+MUST!O156+Phalombe!O156+Mikolongwe!O156+Migowi!O156+Nkando!O156</f>
        <v>0</v>
      </c>
      <c r="P156" s="31">
        <f t="shared" si="58"/>
        <v>22</v>
      </c>
    </row>
    <row r="157" spans="1:16" x14ac:dyDescent="0.25">
      <c r="A157" s="223"/>
      <c r="B157" s="17" t="s">
        <v>52</v>
      </c>
      <c r="C157" s="4" t="s">
        <v>57</v>
      </c>
      <c r="D157" s="128">
        <f>Mulanje!D157+Luchenza!D157+Thyolo!D157+Muloza!D157+MUST!D157+Phalombe!D157+Mikolongwe!D157+Migowi!D157+Nkando!D157</f>
        <v>19</v>
      </c>
      <c r="E157" s="128">
        <f>Mulanje!E157+Luchenza!E157+Thyolo!E157+Muloza!E157+MUST!E157+Phalombe!E157+Mikolongwe!E157+Migowi!E157+Nkando!E157</f>
        <v>15</v>
      </c>
      <c r="F157" s="128">
        <f>Mulanje!F157+Luchenza!F157+Thyolo!F157+Muloza!F157+MUST!F157+Phalombe!F157+Mikolongwe!F157+Migowi!F157+Nkando!F157</f>
        <v>19</v>
      </c>
      <c r="G157" s="128">
        <f>Mulanje!G157+Luchenza!G157+Thyolo!G157+Muloza!G157+MUST!G157+Phalombe!G157+Mikolongwe!G157+Migowi!G157+Nkando!G157</f>
        <v>0</v>
      </c>
      <c r="H157" s="128">
        <f>Mulanje!H157+Luchenza!H157+Thyolo!H157+Muloza!H157+MUST!H157+Phalombe!H157+Mikolongwe!H157+Migowi!H157+Nkando!H157</f>
        <v>0</v>
      </c>
      <c r="I157" s="128">
        <f>Mulanje!I157+Luchenza!I157+Thyolo!I157+Muloza!I157+MUST!I157+Phalombe!I157+Mikolongwe!I157+Migowi!I157+Nkando!I157</f>
        <v>0</v>
      </c>
      <c r="J157" s="128">
        <f>Mulanje!J157+Luchenza!J157+Thyolo!J157+Muloza!J157+MUST!J157+Phalombe!J157+Mikolongwe!J157+Migowi!J157+Nkando!J157</f>
        <v>0</v>
      </c>
      <c r="K157" s="128">
        <f>Mulanje!K157+Luchenza!K157+Thyolo!K157+Muloza!K157+MUST!K157+Phalombe!K157+Mikolongwe!K157+Migowi!K157+Nkando!K157</f>
        <v>0</v>
      </c>
      <c r="L157" s="128">
        <f>Mulanje!L157+Luchenza!L157+Thyolo!L157+Muloza!L157+MUST!L157+Phalombe!L157+Mikolongwe!L157+Migowi!L157+Nkando!L157</f>
        <v>0</v>
      </c>
      <c r="M157" s="128">
        <f>Mulanje!M157+Luchenza!M157+Thyolo!M157+Muloza!M157+MUST!M157+Phalombe!M157+Mikolongwe!M157+Migowi!M157+Nkando!M157</f>
        <v>0</v>
      </c>
      <c r="N157" s="128">
        <f>Mulanje!N157+Luchenza!N157+Thyolo!N157+Muloza!N157+MUST!N157+Phalombe!N157+Mikolongwe!N157+Migowi!N157+Nkando!N157</f>
        <v>0</v>
      </c>
      <c r="O157" s="128">
        <f>Mulanje!O157+Luchenza!O157+Thyolo!O157+Muloza!O157+MUST!O157+Phalombe!O157+Mikolongwe!O157+Migowi!O157+Nkando!O157</f>
        <v>0</v>
      </c>
      <c r="P157" s="31">
        <f t="shared" si="58"/>
        <v>53</v>
      </c>
    </row>
    <row r="158" spans="1:16" x14ac:dyDescent="0.25">
      <c r="A158" s="223"/>
      <c r="B158" s="17" t="s">
        <v>51</v>
      </c>
      <c r="C158" s="4" t="s">
        <v>57</v>
      </c>
      <c r="D158" s="128">
        <f>Mulanje!D158+Luchenza!D158+Thyolo!D158+Muloza!D158+MUST!D158+Phalombe!D158+Mikolongwe!D158+Migowi!D158+Nkando!D158</f>
        <v>12</v>
      </c>
      <c r="E158" s="128">
        <f>Mulanje!E158+Luchenza!E158+Thyolo!E158+Muloza!E158+MUST!E158+Phalombe!E158+Mikolongwe!E158+Migowi!E158+Nkando!E158</f>
        <v>9</v>
      </c>
      <c r="F158" s="128">
        <f>Mulanje!F158+Luchenza!F158+Thyolo!F158+Muloza!F158+MUST!F158+Phalombe!F158+Mikolongwe!F158+Migowi!F158+Nkando!F158</f>
        <v>13</v>
      </c>
      <c r="G158" s="128">
        <f>Mulanje!G158+Luchenza!G158+Thyolo!G158+Muloza!G158+MUST!G158+Phalombe!G158+Mikolongwe!G158+Migowi!G158+Nkando!G158</f>
        <v>0</v>
      </c>
      <c r="H158" s="128">
        <f>Mulanje!H158+Luchenza!H158+Thyolo!H158+Muloza!H158+MUST!H158+Phalombe!H158+Mikolongwe!H158+Migowi!H158+Nkando!H158</f>
        <v>0</v>
      </c>
      <c r="I158" s="128">
        <f>Mulanje!I158+Luchenza!I158+Thyolo!I158+Muloza!I158+MUST!I158+Phalombe!I158+Mikolongwe!I158+Migowi!I158+Nkando!I158</f>
        <v>0</v>
      </c>
      <c r="J158" s="128">
        <f>Mulanje!J158+Luchenza!J158+Thyolo!J158+Muloza!J158+MUST!J158+Phalombe!J158+Mikolongwe!J158+Migowi!J158+Nkando!J158</f>
        <v>0</v>
      </c>
      <c r="K158" s="128">
        <f>Mulanje!K158+Luchenza!K158+Thyolo!K158+Muloza!K158+MUST!K158+Phalombe!K158+Mikolongwe!K158+Migowi!K158+Nkando!K158</f>
        <v>0</v>
      </c>
      <c r="L158" s="128">
        <f>Mulanje!L158+Luchenza!L158+Thyolo!L158+Muloza!L158+MUST!L158+Phalombe!L158+Mikolongwe!L158+Migowi!L158+Nkando!L158</f>
        <v>0</v>
      </c>
      <c r="M158" s="128">
        <f>Mulanje!M158+Luchenza!M158+Thyolo!M158+Muloza!M158+MUST!M158+Phalombe!M158+Mikolongwe!M158+Migowi!M158+Nkando!M158</f>
        <v>0</v>
      </c>
      <c r="N158" s="128">
        <f>Mulanje!N158+Luchenza!N158+Thyolo!N158+Muloza!N158+MUST!N158+Phalombe!N158+Mikolongwe!N158+Migowi!N158+Nkando!N158</f>
        <v>0</v>
      </c>
      <c r="O158" s="128">
        <f>Mulanje!O158+Luchenza!O158+Thyolo!O158+Muloza!O158+MUST!O158+Phalombe!O158+Mikolongwe!O158+Migowi!O158+Nkando!O158</f>
        <v>0</v>
      </c>
      <c r="P158" s="31">
        <f t="shared" si="58"/>
        <v>34</v>
      </c>
    </row>
    <row r="159" spans="1:16" x14ac:dyDescent="0.25">
      <c r="A159" s="223"/>
      <c r="B159" s="17" t="s">
        <v>62</v>
      </c>
      <c r="C159" s="4" t="s">
        <v>57</v>
      </c>
      <c r="D159" s="128">
        <f>Mulanje!D159+Luchenza!D159+Thyolo!D159+Muloza!D159+MUST!D159+Phalombe!D159+Mikolongwe!D159+Migowi!D159+Nkando!D159</f>
        <v>1</v>
      </c>
      <c r="E159" s="128">
        <f>Mulanje!E159+Luchenza!E159+Thyolo!E159+Muloza!E159+MUST!E159+Phalombe!E159+Mikolongwe!E159+Migowi!E159+Nkando!E159</f>
        <v>1</v>
      </c>
      <c r="F159" s="128">
        <f>Mulanje!F159+Luchenza!F159+Thyolo!F159+Muloza!F159+MUST!F159+Phalombe!F159+Mikolongwe!F159+Migowi!F159+Nkando!F159</f>
        <v>4</v>
      </c>
      <c r="G159" s="128">
        <f>Mulanje!G159+Luchenza!G159+Thyolo!G159+Muloza!G159+MUST!G159+Phalombe!G159+Mikolongwe!G159+Migowi!G159+Nkando!G159</f>
        <v>0</v>
      </c>
      <c r="H159" s="128">
        <f>Mulanje!H159+Luchenza!H159+Thyolo!H159+Muloza!H159+MUST!H159+Phalombe!H159+Mikolongwe!H159+Migowi!H159+Nkando!H159</f>
        <v>0</v>
      </c>
      <c r="I159" s="128">
        <f>Mulanje!I159+Luchenza!I159+Thyolo!I159+Muloza!I159+MUST!I159+Phalombe!I159+Mikolongwe!I159+Migowi!I159+Nkando!I159</f>
        <v>0</v>
      </c>
      <c r="J159" s="128">
        <f>Mulanje!J159+Luchenza!J159+Thyolo!J159+Muloza!J159+MUST!J159+Phalombe!J159+Mikolongwe!J159+Migowi!J159+Nkando!J159</f>
        <v>0</v>
      </c>
      <c r="K159" s="128">
        <f>Mulanje!K159+Luchenza!K159+Thyolo!K159+Muloza!K159+MUST!K159+Phalombe!K159+Mikolongwe!K159+Migowi!K159+Nkando!K159</f>
        <v>0</v>
      </c>
      <c r="L159" s="128">
        <f>Mulanje!L159+Luchenza!L159+Thyolo!L159+Muloza!L159+MUST!L159+Phalombe!L159+Mikolongwe!L159+Migowi!L159+Nkando!L159</f>
        <v>0</v>
      </c>
      <c r="M159" s="128">
        <f>Mulanje!M159+Luchenza!M159+Thyolo!M159+Muloza!M159+MUST!M159+Phalombe!M159+Mikolongwe!M159+Migowi!M159+Nkando!M159</f>
        <v>0</v>
      </c>
      <c r="N159" s="128">
        <f>Mulanje!N159+Luchenza!N159+Thyolo!N159+Muloza!N159+MUST!N159+Phalombe!N159+Mikolongwe!N159+Migowi!N159+Nkando!N159</f>
        <v>0</v>
      </c>
      <c r="O159" s="128">
        <f>Mulanje!O159+Luchenza!O159+Thyolo!O159+Muloza!O159+MUST!O159+Phalombe!O159+Mikolongwe!O159+Migowi!O159+Nkando!O159</f>
        <v>0</v>
      </c>
      <c r="P159" s="31">
        <f t="shared" si="58"/>
        <v>6</v>
      </c>
    </row>
    <row r="160" spans="1:16" x14ac:dyDescent="0.25">
      <c r="A160" s="223"/>
      <c r="B160" s="17" t="s">
        <v>50</v>
      </c>
      <c r="C160" s="4" t="s">
        <v>57</v>
      </c>
      <c r="D160" s="128">
        <f>Mulanje!D160+Luchenza!D160+Thyolo!D160+Muloza!D160+MUST!D160+Phalombe!D160+Mikolongwe!D160+Migowi!D160+Nkando!D160</f>
        <v>6</v>
      </c>
      <c r="E160" s="128">
        <f>Mulanje!E160+Luchenza!E160+Thyolo!E160+Muloza!E160+MUST!E160+Phalombe!E160+Mikolongwe!E160+Migowi!E160+Nkando!E160</f>
        <v>6</v>
      </c>
      <c r="F160" s="128">
        <f>Mulanje!F160+Luchenza!F160+Thyolo!F160+Muloza!F160+MUST!F160+Phalombe!F160+Mikolongwe!F160+Migowi!F160+Nkando!F160</f>
        <v>6</v>
      </c>
      <c r="G160" s="128">
        <f>Mulanje!G160+Luchenza!G160+Thyolo!G160+Muloza!G160+MUST!G160+Phalombe!G160+Mikolongwe!G160+Migowi!G160+Nkando!G160</f>
        <v>0</v>
      </c>
      <c r="H160" s="128">
        <f>Mulanje!H160+Luchenza!H160+Thyolo!H160+Muloza!H160+MUST!H160+Phalombe!H160+Mikolongwe!H160+Migowi!H160+Nkando!H160</f>
        <v>0</v>
      </c>
      <c r="I160" s="128">
        <f>Mulanje!I160+Luchenza!I160+Thyolo!I160+Muloza!I160+MUST!I160+Phalombe!I160+Mikolongwe!I160+Migowi!I160+Nkando!I160</f>
        <v>0</v>
      </c>
      <c r="J160" s="128">
        <f>Mulanje!J160+Luchenza!J160+Thyolo!J160+Muloza!J160+MUST!J160+Phalombe!J160+Mikolongwe!J160+Migowi!J160+Nkando!J160</f>
        <v>0</v>
      </c>
      <c r="K160" s="128">
        <f>Mulanje!K160+Luchenza!K160+Thyolo!K160+Muloza!K160+MUST!K160+Phalombe!K160+Mikolongwe!K160+Migowi!K160+Nkando!K160</f>
        <v>0</v>
      </c>
      <c r="L160" s="128">
        <f>Mulanje!L160+Luchenza!L160+Thyolo!L160+Muloza!L160+MUST!L160+Phalombe!L160+Mikolongwe!L160+Migowi!L160+Nkando!L160</f>
        <v>0</v>
      </c>
      <c r="M160" s="128">
        <f>Mulanje!M160+Luchenza!M160+Thyolo!M160+Muloza!M160+MUST!M160+Phalombe!M160+Mikolongwe!M160+Migowi!M160+Nkando!M160</f>
        <v>0</v>
      </c>
      <c r="N160" s="128">
        <f>Mulanje!N160+Luchenza!N160+Thyolo!N160+Muloza!N160+MUST!N160+Phalombe!N160+Mikolongwe!N160+Migowi!N160+Nkando!N160</f>
        <v>0</v>
      </c>
      <c r="O160" s="128">
        <f>Mulanje!O160+Luchenza!O160+Thyolo!O160+Muloza!O160+MUST!O160+Phalombe!O160+Mikolongwe!O160+Migowi!O160+Nkando!O160</f>
        <v>0</v>
      </c>
      <c r="P160" s="31">
        <f t="shared" si="58"/>
        <v>18</v>
      </c>
    </row>
    <row r="161" spans="1:16" x14ac:dyDescent="0.25">
      <c r="A161" s="223"/>
      <c r="B161" s="17" t="s">
        <v>49</v>
      </c>
      <c r="C161" s="4" t="s">
        <v>57</v>
      </c>
      <c r="D161" s="128">
        <f>Mulanje!D161+Luchenza!D161+Thyolo!D161+Muloza!D161+MUST!D161+Phalombe!D161+Mikolongwe!D161+Migowi!D161+Nkando!D161</f>
        <v>7</v>
      </c>
      <c r="E161" s="128">
        <f>Mulanje!E161+Luchenza!E161+Thyolo!E161+Muloza!E161+MUST!E161+Phalombe!E161+Mikolongwe!E161+Migowi!E161+Nkando!E161</f>
        <v>3</v>
      </c>
      <c r="F161" s="128">
        <f>Mulanje!F161+Luchenza!F161+Thyolo!F161+Muloza!F161+MUST!F161+Phalombe!F161+Mikolongwe!F161+Migowi!F161+Nkando!F161</f>
        <v>6</v>
      </c>
      <c r="G161" s="128">
        <f>Mulanje!G161+Luchenza!G161+Thyolo!G161+Muloza!G161+MUST!G161+Phalombe!G161+Mikolongwe!G161+Migowi!G161+Nkando!G161</f>
        <v>0</v>
      </c>
      <c r="H161" s="128">
        <f>Mulanje!H161+Luchenza!H161+Thyolo!H161+Muloza!H161+MUST!H161+Phalombe!H161+Mikolongwe!H161+Migowi!H161+Nkando!H161</f>
        <v>0</v>
      </c>
      <c r="I161" s="128">
        <f>Mulanje!I161+Luchenza!I161+Thyolo!I161+Muloza!I161+MUST!I161+Phalombe!I161+Mikolongwe!I161+Migowi!I161+Nkando!I161</f>
        <v>0</v>
      </c>
      <c r="J161" s="128">
        <f>Mulanje!J161+Luchenza!J161+Thyolo!J161+Muloza!J161+MUST!J161+Phalombe!J161+Mikolongwe!J161+Migowi!J161+Nkando!J161</f>
        <v>0</v>
      </c>
      <c r="K161" s="128">
        <f>Mulanje!K161+Luchenza!K161+Thyolo!K161+Muloza!K161+MUST!K161+Phalombe!K161+Mikolongwe!K161+Migowi!K161+Nkando!K161</f>
        <v>0</v>
      </c>
      <c r="L161" s="128">
        <f>Mulanje!L161+Luchenza!L161+Thyolo!L161+Muloza!L161+MUST!L161+Phalombe!L161+Mikolongwe!L161+Migowi!L161+Nkando!L161</f>
        <v>0</v>
      </c>
      <c r="M161" s="128">
        <f>Mulanje!M161+Luchenza!M161+Thyolo!M161+Muloza!M161+MUST!M161+Phalombe!M161+Mikolongwe!M161+Migowi!M161+Nkando!M161</f>
        <v>0</v>
      </c>
      <c r="N161" s="128">
        <f>Mulanje!N161+Luchenza!N161+Thyolo!N161+Muloza!N161+MUST!N161+Phalombe!N161+Mikolongwe!N161+Migowi!N161+Nkando!N161</f>
        <v>0</v>
      </c>
      <c r="O161" s="128">
        <f>Mulanje!O161+Luchenza!O161+Thyolo!O161+Muloza!O161+MUST!O161+Phalombe!O161+Mikolongwe!O161+Migowi!O161+Nkando!O161</f>
        <v>0</v>
      </c>
      <c r="P161" s="31">
        <f t="shared" si="58"/>
        <v>16</v>
      </c>
    </row>
    <row r="162" spans="1:16" x14ac:dyDescent="0.25">
      <c r="A162" s="223"/>
      <c r="B162" s="17" t="s">
        <v>77</v>
      </c>
      <c r="C162" s="4" t="s">
        <v>57</v>
      </c>
      <c r="D162" s="128">
        <f>Mulanje!D162+Luchenza!D162+Thyolo!D162+Muloza!D162+MUST!D162+Phalombe!D162+Mikolongwe!D162+Migowi!D162+Nkando!D162</f>
        <v>6</v>
      </c>
      <c r="E162" s="128">
        <f>Mulanje!E162+Luchenza!E162+Thyolo!E162+Muloza!E162+MUST!E162+Phalombe!E162+Mikolongwe!E162+Migowi!E162+Nkando!E162</f>
        <v>2</v>
      </c>
      <c r="F162" s="128">
        <f>Mulanje!F162+Luchenza!F162+Thyolo!F162+Muloza!F162+MUST!F162+Phalombe!F162+Mikolongwe!F162+Migowi!F162+Nkando!F162</f>
        <v>3</v>
      </c>
      <c r="G162" s="128">
        <f>Mulanje!G162+Luchenza!G162+Thyolo!G162+Muloza!G162+MUST!G162+Phalombe!G162+Mikolongwe!G162+Migowi!G162+Nkando!G162</f>
        <v>0</v>
      </c>
      <c r="H162" s="128">
        <f>Mulanje!H162+Luchenza!H162+Thyolo!H162+Muloza!H162+MUST!H162+Phalombe!H162+Mikolongwe!H162+Migowi!H162+Nkando!H162</f>
        <v>0</v>
      </c>
      <c r="I162" s="128">
        <f>Mulanje!I162+Luchenza!I162+Thyolo!I162+Muloza!I162+MUST!I162+Phalombe!I162+Mikolongwe!I162+Migowi!I162+Nkando!I162</f>
        <v>0</v>
      </c>
      <c r="J162" s="128">
        <f>Mulanje!J162+Luchenza!J162+Thyolo!J162+Muloza!J162+MUST!J162+Phalombe!J162+Mikolongwe!J162+Migowi!J162+Nkando!J162</f>
        <v>0</v>
      </c>
      <c r="K162" s="128">
        <f>Mulanje!K162+Luchenza!K162+Thyolo!K162+Muloza!K162+MUST!K162+Phalombe!K162+Mikolongwe!K162+Migowi!K162+Nkando!K162</f>
        <v>0</v>
      </c>
      <c r="L162" s="128">
        <f>Mulanje!L162+Luchenza!L162+Thyolo!L162+Muloza!L162+MUST!L162+Phalombe!L162+Mikolongwe!L162+Migowi!L162+Nkando!L162</f>
        <v>0</v>
      </c>
      <c r="M162" s="128">
        <f>Mulanje!M162+Luchenza!M162+Thyolo!M162+Muloza!M162+MUST!M162+Phalombe!M162+Mikolongwe!M162+Migowi!M162+Nkando!M162</f>
        <v>0</v>
      </c>
      <c r="N162" s="128">
        <f>Mulanje!N162+Luchenza!N162+Thyolo!N162+Muloza!N162+MUST!N162+Phalombe!N162+Mikolongwe!N162+Migowi!N162+Nkando!N162</f>
        <v>0</v>
      </c>
      <c r="O162" s="128">
        <f>Mulanje!O162+Luchenza!O162+Thyolo!O162+Muloza!O162+MUST!O162+Phalombe!O162+Mikolongwe!O162+Migowi!O162+Nkando!O162</f>
        <v>0</v>
      </c>
      <c r="P162" s="31">
        <f t="shared" si="58"/>
        <v>11</v>
      </c>
    </row>
    <row r="163" spans="1:16" x14ac:dyDescent="0.25">
      <c r="A163" s="223"/>
      <c r="B163" s="17" t="s">
        <v>69</v>
      </c>
      <c r="C163" s="4" t="s">
        <v>57</v>
      </c>
      <c r="D163" s="128">
        <f>Mulanje!D163+Luchenza!D163+Thyolo!D163+Muloza!D163+MUST!D163+Phalombe!D163+Mikolongwe!D163+Migowi!D163+Nkando!D163</f>
        <v>3</v>
      </c>
      <c r="E163" s="128">
        <f>Mulanje!E163+Luchenza!E163+Thyolo!E163+Muloza!E163+MUST!E163+Phalombe!E163+Mikolongwe!E163+Migowi!E163+Nkando!E163</f>
        <v>2</v>
      </c>
      <c r="F163" s="128">
        <f>Mulanje!F163+Luchenza!F163+Thyolo!F163+Muloza!F163+MUST!F163+Phalombe!F163+Mikolongwe!F163+Migowi!F163+Nkando!F163</f>
        <v>1</v>
      </c>
      <c r="G163" s="128">
        <f>Mulanje!G163+Luchenza!G163+Thyolo!G163+Muloza!G163+MUST!G163+Phalombe!G163+Mikolongwe!G163+Migowi!G163+Nkando!G163</f>
        <v>0</v>
      </c>
      <c r="H163" s="128">
        <f>Mulanje!H163+Luchenza!H163+Thyolo!H163+Muloza!H163+MUST!H163+Phalombe!H163+Mikolongwe!H163+Migowi!H163+Nkando!H163</f>
        <v>0</v>
      </c>
      <c r="I163" s="128">
        <f>Mulanje!I163+Luchenza!I163+Thyolo!I163+Muloza!I163+MUST!I163+Phalombe!I163+Mikolongwe!I163+Migowi!I163+Nkando!I163</f>
        <v>0</v>
      </c>
      <c r="J163" s="128">
        <f>Mulanje!J163+Luchenza!J163+Thyolo!J163+Muloza!J163+MUST!J163+Phalombe!J163+Mikolongwe!J163+Migowi!J163+Nkando!J163</f>
        <v>0</v>
      </c>
      <c r="K163" s="128">
        <f>Mulanje!K163+Luchenza!K163+Thyolo!K163+Muloza!K163+MUST!K163+Phalombe!K163+Mikolongwe!K163+Migowi!K163+Nkando!K163</f>
        <v>0</v>
      </c>
      <c r="L163" s="128">
        <f>Mulanje!L163+Luchenza!L163+Thyolo!L163+Muloza!L163+MUST!L163+Phalombe!L163+Mikolongwe!L163+Migowi!L163+Nkando!L163</f>
        <v>0</v>
      </c>
      <c r="M163" s="128">
        <f>Mulanje!M163+Luchenza!M163+Thyolo!M163+Muloza!M163+MUST!M163+Phalombe!M163+Mikolongwe!M163+Migowi!M163+Nkando!M163</f>
        <v>0</v>
      </c>
      <c r="N163" s="128">
        <f>Mulanje!N163+Luchenza!N163+Thyolo!N163+Muloza!N163+MUST!N163+Phalombe!N163+Mikolongwe!N163+Migowi!N163+Nkando!N163</f>
        <v>0</v>
      </c>
      <c r="O163" s="128">
        <f>Mulanje!O163+Luchenza!O163+Thyolo!O163+Muloza!O163+MUST!O163+Phalombe!O163+Mikolongwe!O163+Migowi!O163+Nkando!O163</f>
        <v>0</v>
      </c>
      <c r="P163" s="31">
        <f t="shared" si="58"/>
        <v>6</v>
      </c>
    </row>
    <row r="164" spans="1:16" x14ac:dyDescent="0.25">
      <c r="A164" s="223"/>
      <c r="B164" s="17" t="s">
        <v>68</v>
      </c>
      <c r="C164" s="4" t="s">
        <v>57</v>
      </c>
      <c r="D164" s="128">
        <f>Mulanje!D164+Luchenza!D164+Thyolo!D164+Muloza!D164+MUST!D164+Phalombe!D164+Mikolongwe!D164+Migowi!D164+Nkando!D164</f>
        <v>0</v>
      </c>
      <c r="E164" s="128">
        <f>Mulanje!E164+Luchenza!E164+Thyolo!E164+Muloza!E164+MUST!E164+Phalombe!E164+Mikolongwe!E164+Migowi!E164+Nkando!E164</f>
        <v>0</v>
      </c>
      <c r="F164" s="128">
        <f>Mulanje!F164+Luchenza!F164+Thyolo!F164+Muloza!F164+MUST!F164+Phalombe!F164+Mikolongwe!F164+Migowi!F164+Nkando!F164</f>
        <v>0</v>
      </c>
      <c r="G164" s="128">
        <f>Mulanje!G164+Luchenza!G164+Thyolo!G164+Muloza!G164+MUST!G164+Phalombe!G164+Mikolongwe!G164+Migowi!G164+Nkando!G164</f>
        <v>0</v>
      </c>
      <c r="H164" s="128">
        <f>Mulanje!H164+Luchenza!H164+Thyolo!H164+Muloza!H164+MUST!H164+Phalombe!H164+Mikolongwe!H164+Migowi!H164+Nkando!H164</f>
        <v>0</v>
      </c>
      <c r="I164" s="128">
        <f>Mulanje!I164+Luchenza!I164+Thyolo!I164+Muloza!I164+MUST!I164+Phalombe!I164+Mikolongwe!I164+Migowi!I164+Nkando!I164</f>
        <v>0</v>
      </c>
      <c r="J164" s="128">
        <f>Mulanje!J164+Luchenza!J164+Thyolo!J164+Muloza!J164+MUST!J164+Phalombe!J164+Mikolongwe!J164+Migowi!J164+Nkando!J164</f>
        <v>0</v>
      </c>
      <c r="K164" s="128">
        <f>Mulanje!K164+Luchenza!K164+Thyolo!K164+Muloza!K164+MUST!K164+Phalombe!K164+Mikolongwe!K164+Migowi!K164+Nkando!K164</f>
        <v>0</v>
      </c>
      <c r="L164" s="128">
        <f>Mulanje!L164+Luchenza!L164+Thyolo!L164+Muloza!L164+MUST!L164+Phalombe!L164+Mikolongwe!L164+Migowi!L164+Nkando!L164</f>
        <v>0</v>
      </c>
      <c r="M164" s="128">
        <f>Mulanje!M164+Luchenza!M164+Thyolo!M164+Muloza!M164+MUST!M164+Phalombe!M164+Mikolongwe!M164+Migowi!M164+Nkando!M164</f>
        <v>0</v>
      </c>
      <c r="N164" s="128">
        <f>Mulanje!N164+Luchenza!N164+Thyolo!N164+Muloza!N164+MUST!N164+Phalombe!N164+Mikolongwe!N164+Migowi!N164+Nkando!N164</f>
        <v>0</v>
      </c>
      <c r="O164" s="128">
        <f>Mulanje!O164+Luchenza!O164+Thyolo!O164+Muloza!O164+MUST!O164+Phalombe!O164+Mikolongwe!O164+Migowi!O164+Nkando!O164</f>
        <v>0</v>
      </c>
      <c r="P164" s="31">
        <f t="shared" si="58"/>
        <v>0</v>
      </c>
    </row>
    <row r="165" spans="1:16" x14ac:dyDescent="0.25">
      <c r="A165" s="224"/>
      <c r="B165" s="17" t="s">
        <v>76</v>
      </c>
      <c r="C165" s="4" t="s">
        <v>57</v>
      </c>
      <c r="D165" s="128">
        <f>Mulanje!D165+Luchenza!D165+Thyolo!D165+Muloza!D165+MUST!D165+Phalombe!D165+Mikolongwe!D165+Migowi!D165+Nkando!D165</f>
        <v>0</v>
      </c>
      <c r="E165" s="128">
        <f>Mulanje!E165+Luchenza!E165+Thyolo!E165+Muloza!E165+MUST!E165+Phalombe!E165+Mikolongwe!E165+Migowi!E165+Nkando!E165</f>
        <v>0</v>
      </c>
      <c r="F165" s="128">
        <f>Mulanje!F165+Luchenza!F165+Thyolo!F165+Muloza!F165+MUST!F165+Phalombe!F165+Mikolongwe!F165+Migowi!F165+Nkando!F165</f>
        <v>0</v>
      </c>
      <c r="G165" s="128">
        <f>Mulanje!G165+Luchenza!G165+Thyolo!G165+Muloza!G165+MUST!G165+Phalombe!G165+Mikolongwe!G165+Migowi!G165+Nkando!G165</f>
        <v>0</v>
      </c>
      <c r="H165" s="128">
        <f>Mulanje!H165+Luchenza!H165+Thyolo!H165+Muloza!H165+MUST!H165+Phalombe!H165+Mikolongwe!H165+Migowi!H165+Nkando!H165</f>
        <v>0</v>
      </c>
      <c r="I165" s="128">
        <f>Mulanje!I165+Luchenza!I165+Thyolo!I165+Muloza!I165+MUST!I165+Phalombe!I165+Mikolongwe!I165+Migowi!I165+Nkando!I165</f>
        <v>0</v>
      </c>
      <c r="J165" s="128">
        <f>Mulanje!J165+Luchenza!J165+Thyolo!J165+Muloza!J165+MUST!J165+Phalombe!J165+Mikolongwe!J165+Migowi!J165+Nkando!J165</f>
        <v>0</v>
      </c>
      <c r="K165" s="128">
        <f>Mulanje!K165+Luchenza!K165+Thyolo!K165+Muloza!K165+MUST!K165+Phalombe!K165+Mikolongwe!K165+Migowi!K165+Nkando!K165</f>
        <v>0</v>
      </c>
      <c r="L165" s="128">
        <f>Mulanje!L165+Luchenza!L165+Thyolo!L165+Muloza!L165+MUST!L165+Phalombe!L165+Mikolongwe!L165+Migowi!L165+Nkando!L165</f>
        <v>0</v>
      </c>
      <c r="M165" s="128">
        <f>Mulanje!M165+Luchenza!M165+Thyolo!M165+Muloza!M165+MUST!M165+Phalombe!M165+Mikolongwe!M165+Migowi!M165+Nkando!M165</f>
        <v>0</v>
      </c>
      <c r="N165" s="128">
        <f>Mulanje!N165+Luchenza!N165+Thyolo!N165+Muloza!N165+MUST!N165+Phalombe!N165+Mikolongwe!N165+Migowi!N165+Nkando!N165</f>
        <v>0</v>
      </c>
      <c r="O165" s="128">
        <f>Mulanje!O165+Luchenza!O165+Thyolo!O165+Muloza!O165+MUST!O165+Phalombe!O165+Mikolongwe!O165+Migowi!O165+Nkando!O165</f>
        <v>0</v>
      </c>
      <c r="P165" s="31">
        <f t="shared" si="58"/>
        <v>0</v>
      </c>
    </row>
    <row r="166" spans="1:16" x14ac:dyDescent="0.25">
      <c r="A166" s="22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25">
      <c r="A167" s="223"/>
      <c r="B167" s="17" t="s">
        <v>74</v>
      </c>
      <c r="C167" s="4" t="s">
        <v>57</v>
      </c>
      <c r="D167" s="128">
        <f>Mulanje!D167+Luchenza!D167+Thyolo!D167+Muloza!D167+MUST!D167+Phalombe!D167+Mikolongwe!D167+Migowi!D167+Nkando!D167</f>
        <v>7</v>
      </c>
      <c r="E167" s="128">
        <f>Mulanje!E167+Luchenza!E167+Thyolo!E167+Muloza!E167+MUST!E167+Phalombe!E167+Mikolongwe!E167+Migowi!E167+Nkando!E167</f>
        <v>10</v>
      </c>
      <c r="F167" s="128">
        <f>Mulanje!F167+Luchenza!F167+Thyolo!F167+Muloza!F167+MUST!F167+Phalombe!F167+Mikolongwe!F167+Migowi!F167+Nkando!F167</f>
        <v>10</v>
      </c>
      <c r="G167" s="128">
        <f>Mulanje!G167+Luchenza!G167+Thyolo!G167+Muloza!G167+MUST!G167+Phalombe!G167+Mikolongwe!G167+Migowi!G167+Nkando!G167</f>
        <v>0</v>
      </c>
      <c r="H167" s="128">
        <f>Mulanje!H167+Luchenza!H167+Thyolo!H167+Muloza!H167+MUST!H167+Phalombe!H167+Mikolongwe!H167+Migowi!H167+Nkando!H167</f>
        <v>0</v>
      </c>
      <c r="I167" s="128">
        <f>Mulanje!I167+Luchenza!I167+Thyolo!I167+Muloza!I167+MUST!I167+Phalombe!I167+Mikolongwe!I167+Migowi!I167+Nkando!I167</f>
        <v>0</v>
      </c>
      <c r="J167" s="128">
        <f>Mulanje!J167+Luchenza!J167+Thyolo!J167+Muloza!J167+MUST!J167+Phalombe!J167+Mikolongwe!J167+Migowi!J167+Nkando!J167</f>
        <v>0</v>
      </c>
      <c r="K167" s="128">
        <f>Mulanje!K167+Luchenza!K167+Thyolo!K167+Muloza!K167+MUST!K167+Phalombe!K167+Mikolongwe!K167+Migowi!K167+Nkando!K167</f>
        <v>0</v>
      </c>
      <c r="L167" s="128">
        <f>Mulanje!L167+Luchenza!L167+Thyolo!L167+Muloza!L167+MUST!L167+Phalombe!L167+Mikolongwe!L167+Migowi!L167+Nkando!L167</f>
        <v>0</v>
      </c>
      <c r="M167" s="128">
        <f>Mulanje!M167+Luchenza!M167+Thyolo!M167+Muloza!M167+MUST!M167+Phalombe!M167+Mikolongwe!M167+Migowi!M167+Nkando!M167</f>
        <v>0</v>
      </c>
      <c r="N167" s="128">
        <f>Mulanje!N167+Luchenza!N167+Thyolo!N167+Muloza!N167+MUST!N167+Phalombe!N167+Mikolongwe!N167+Migowi!N167+Nkando!N167</f>
        <v>0</v>
      </c>
      <c r="O167" s="128">
        <f>Mulanje!O167+Luchenza!O167+Thyolo!O167+Muloza!O167+MUST!O167+Phalombe!O167+Mikolongwe!O167+Migowi!O167+Nkando!O167</f>
        <v>0</v>
      </c>
      <c r="P167" s="31">
        <f t="shared" ref="P167:P174" si="59">SUM(D167:O167)</f>
        <v>27</v>
      </c>
    </row>
    <row r="168" spans="1:16" x14ac:dyDescent="0.25">
      <c r="A168" s="223"/>
      <c r="B168" s="17" t="s">
        <v>73</v>
      </c>
      <c r="C168" s="4" t="s">
        <v>57</v>
      </c>
      <c r="D168" s="128">
        <f>Mulanje!D168+Luchenza!D168+Thyolo!D168+Muloza!D168+MUST!D168+Phalombe!D168+Mikolongwe!D168+Migowi!D168+Nkando!D168</f>
        <v>0</v>
      </c>
      <c r="E168" s="128">
        <f>Mulanje!E168+Luchenza!E168+Thyolo!E168+Muloza!E168+MUST!E168+Phalombe!E168+Mikolongwe!E168+Migowi!E168+Nkando!E168</f>
        <v>0</v>
      </c>
      <c r="F168" s="128">
        <f>Mulanje!F168+Luchenza!F168+Thyolo!F168+Muloza!F168+MUST!F168+Phalombe!F168+Mikolongwe!F168+Migowi!F168+Nkando!F168</f>
        <v>0</v>
      </c>
      <c r="G168" s="128">
        <f>Mulanje!G168+Luchenza!G168+Thyolo!G168+Muloza!G168+MUST!G168+Phalombe!G168+Mikolongwe!G168+Migowi!G168+Nkando!G168</f>
        <v>0</v>
      </c>
      <c r="H168" s="128">
        <f>Mulanje!H168+Luchenza!H168+Thyolo!H168+Muloza!H168+MUST!H168+Phalombe!H168+Mikolongwe!H168+Migowi!H168+Nkando!H168</f>
        <v>0</v>
      </c>
      <c r="I168" s="128">
        <f>Mulanje!I168+Luchenza!I168+Thyolo!I168+Muloza!I168+MUST!I168+Phalombe!I168+Mikolongwe!I168+Migowi!I168+Nkando!I168</f>
        <v>0</v>
      </c>
      <c r="J168" s="128">
        <f>Mulanje!J168+Luchenza!J168+Thyolo!J168+Muloza!J168+MUST!J168+Phalombe!J168+Mikolongwe!J168+Migowi!J168+Nkando!J168</f>
        <v>0</v>
      </c>
      <c r="K168" s="128">
        <f>Mulanje!K168+Luchenza!K168+Thyolo!K168+Muloza!K168+MUST!K168+Phalombe!K168+Mikolongwe!K168+Migowi!K168+Nkando!K168</f>
        <v>0</v>
      </c>
      <c r="L168" s="128">
        <f>Mulanje!L168+Luchenza!L168+Thyolo!L168+Muloza!L168+MUST!L168+Phalombe!L168+Mikolongwe!L168+Migowi!L168+Nkando!L168</f>
        <v>0</v>
      </c>
      <c r="M168" s="128">
        <f>Mulanje!M168+Luchenza!M168+Thyolo!M168+Muloza!M168+MUST!M168+Phalombe!M168+Mikolongwe!M168+Migowi!M168+Nkando!M168</f>
        <v>0</v>
      </c>
      <c r="N168" s="128">
        <f>Mulanje!N168+Luchenza!N168+Thyolo!N168+Muloza!N168+MUST!N168+Phalombe!N168+Mikolongwe!N168+Migowi!N168+Nkando!N168</f>
        <v>0</v>
      </c>
      <c r="O168" s="128">
        <f>Mulanje!O168+Luchenza!O168+Thyolo!O168+Muloza!O168+MUST!O168+Phalombe!O168+Mikolongwe!O168+Migowi!O168+Nkando!O168</f>
        <v>0</v>
      </c>
      <c r="P168" s="31">
        <f t="shared" si="59"/>
        <v>0</v>
      </c>
    </row>
    <row r="169" spans="1:16" x14ac:dyDescent="0.25">
      <c r="A169" s="223"/>
      <c r="B169" s="17" t="s">
        <v>72</v>
      </c>
      <c r="C169" s="4" t="s">
        <v>57</v>
      </c>
      <c r="D169" s="128">
        <f>Mulanje!D169+Luchenza!D169+Thyolo!D169+Muloza!D169+MUST!D169+Phalombe!D169+Mikolongwe!D169+Migowi!D169+Nkando!D169</f>
        <v>0</v>
      </c>
      <c r="E169" s="128">
        <f>Mulanje!E169+Luchenza!E169+Thyolo!E169+Muloza!E169+MUST!E169+Phalombe!E169+Mikolongwe!E169+Migowi!E169+Nkando!E169</f>
        <v>0</v>
      </c>
      <c r="F169" s="128">
        <f>Mulanje!F169+Luchenza!F169+Thyolo!F169+Muloza!F169+MUST!F169+Phalombe!F169+Mikolongwe!F169+Migowi!F169+Nkando!F169</f>
        <v>0</v>
      </c>
      <c r="G169" s="128">
        <f>Mulanje!G169+Luchenza!G169+Thyolo!G169+Muloza!G169+MUST!G169+Phalombe!G169+Mikolongwe!G169+Migowi!G169+Nkando!G169</f>
        <v>0</v>
      </c>
      <c r="H169" s="128">
        <f>Mulanje!H169+Luchenza!H169+Thyolo!H169+Muloza!H169+MUST!H169+Phalombe!H169+Mikolongwe!H169+Migowi!H169+Nkando!H169</f>
        <v>0</v>
      </c>
      <c r="I169" s="128">
        <f>Mulanje!I169+Luchenza!I169+Thyolo!I169+Muloza!I169+MUST!I169+Phalombe!I169+Mikolongwe!I169+Migowi!I169+Nkando!I169</f>
        <v>0</v>
      </c>
      <c r="J169" s="128">
        <f>Mulanje!J169+Luchenza!J169+Thyolo!J169+Muloza!J169+MUST!J169+Phalombe!J169+Mikolongwe!J169+Migowi!J169+Nkando!J169</f>
        <v>0</v>
      </c>
      <c r="K169" s="128">
        <f>Mulanje!K169+Luchenza!K169+Thyolo!K169+Muloza!K169+MUST!K169+Phalombe!K169+Mikolongwe!K169+Migowi!K169+Nkando!K169</f>
        <v>0</v>
      </c>
      <c r="L169" s="128">
        <f>Mulanje!L169+Luchenza!L169+Thyolo!L169+Muloza!L169+MUST!L169+Phalombe!L169+Mikolongwe!L169+Migowi!L169+Nkando!L169</f>
        <v>0</v>
      </c>
      <c r="M169" s="128">
        <f>Mulanje!M169+Luchenza!M169+Thyolo!M169+Muloza!M169+MUST!M169+Phalombe!M169+Mikolongwe!M169+Migowi!M169+Nkando!M169</f>
        <v>0</v>
      </c>
      <c r="N169" s="128">
        <f>Mulanje!N169+Luchenza!N169+Thyolo!N169+Muloza!N169+MUST!N169+Phalombe!N169+Mikolongwe!N169+Migowi!N169+Nkando!N169</f>
        <v>0</v>
      </c>
      <c r="O169" s="128">
        <f>Mulanje!O169+Luchenza!O169+Thyolo!O169+Muloza!O169+MUST!O169+Phalombe!O169+Mikolongwe!O169+Migowi!O169+Nkando!O169</f>
        <v>0</v>
      </c>
      <c r="P169" s="31">
        <f t="shared" si="59"/>
        <v>0</v>
      </c>
    </row>
    <row r="170" spans="1:16" x14ac:dyDescent="0.25">
      <c r="A170" s="223"/>
      <c r="B170" s="17" t="s">
        <v>71</v>
      </c>
      <c r="C170" s="4" t="s">
        <v>57</v>
      </c>
      <c r="D170" s="128">
        <f>Mulanje!D170+Luchenza!D170+Thyolo!D170+Muloza!D170+MUST!D170+Phalombe!D170+Mikolongwe!D170+Migowi!D170+Nkando!D170</f>
        <v>0</v>
      </c>
      <c r="E170" s="128">
        <f>Mulanje!E170+Luchenza!E170+Thyolo!E170+Muloza!E170+MUST!E170+Phalombe!E170+Mikolongwe!E170+Migowi!E170+Nkando!E170</f>
        <v>1</v>
      </c>
      <c r="F170" s="128">
        <f>Mulanje!F170+Luchenza!F170+Thyolo!F170+Muloza!F170+MUST!F170+Phalombe!F170+Mikolongwe!F170+Migowi!F170+Nkando!F170</f>
        <v>0</v>
      </c>
      <c r="G170" s="128">
        <f>Mulanje!G170+Luchenza!G170+Thyolo!G170+Muloza!G170+MUST!G170+Phalombe!G170+Mikolongwe!G170+Migowi!G170+Nkando!G170</f>
        <v>0</v>
      </c>
      <c r="H170" s="128">
        <f>Mulanje!H170+Luchenza!H170+Thyolo!H170+Muloza!H170+MUST!H170+Phalombe!H170+Mikolongwe!H170+Migowi!H170+Nkando!H170</f>
        <v>0</v>
      </c>
      <c r="I170" s="128">
        <f>Mulanje!I170+Luchenza!I170+Thyolo!I170+Muloza!I170+MUST!I170+Phalombe!I170+Mikolongwe!I170+Migowi!I170+Nkando!I170</f>
        <v>0</v>
      </c>
      <c r="J170" s="128">
        <f>Mulanje!J170+Luchenza!J170+Thyolo!J170+Muloza!J170+MUST!J170+Phalombe!J170+Mikolongwe!J170+Migowi!J170+Nkando!J170</f>
        <v>0</v>
      </c>
      <c r="K170" s="128">
        <f>Mulanje!K170+Luchenza!K170+Thyolo!K170+Muloza!K170+MUST!K170+Phalombe!K170+Mikolongwe!K170+Migowi!K170+Nkando!K170</f>
        <v>0</v>
      </c>
      <c r="L170" s="128">
        <f>Mulanje!L170+Luchenza!L170+Thyolo!L170+Muloza!L170+MUST!L170+Phalombe!L170+Mikolongwe!L170+Migowi!L170+Nkando!L170</f>
        <v>0</v>
      </c>
      <c r="M170" s="128">
        <f>Mulanje!M170+Luchenza!M170+Thyolo!M170+Muloza!M170+MUST!M170+Phalombe!M170+Mikolongwe!M170+Migowi!M170+Nkando!M170</f>
        <v>0</v>
      </c>
      <c r="N170" s="128">
        <f>Mulanje!N170+Luchenza!N170+Thyolo!N170+Muloza!N170+MUST!N170+Phalombe!N170+Mikolongwe!N170+Migowi!N170+Nkando!N170</f>
        <v>0</v>
      </c>
      <c r="O170" s="128">
        <f>Mulanje!O170+Luchenza!O170+Thyolo!O170+Muloza!O170+MUST!O170+Phalombe!O170+Mikolongwe!O170+Migowi!O170+Nkando!O170</f>
        <v>0</v>
      </c>
      <c r="P170" s="31">
        <f t="shared" si="59"/>
        <v>1</v>
      </c>
    </row>
    <row r="171" spans="1:16" x14ac:dyDescent="0.25">
      <c r="A171" s="223"/>
      <c r="B171" s="17" t="s">
        <v>52</v>
      </c>
      <c r="C171" s="4" t="s">
        <v>57</v>
      </c>
      <c r="D171" s="128">
        <f>Mulanje!D171+Luchenza!D171+Thyolo!D171+Muloza!D171+MUST!D171+Phalombe!D171+Mikolongwe!D171+Migowi!D171+Nkando!D171</f>
        <v>0</v>
      </c>
      <c r="E171" s="128">
        <f>Mulanje!E171+Luchenza!E171+Thyolo!E171+Muloza!E171+MUST!E171+Phalombe!E171+Mikolongwe!E171+Migowi!E171+Nkando!E171</f>
        <v>0</v>
      </c>
      <c r="F171" s="128">
        <f>Mulanje!F171+Luchenza!F171+Thyolo!F171+Muloza!F171+MUST!F171+Phalombe!F171+Mikolongwe!F171+Migowi!F171+Nkando!F171</f>
        <v>0</v>
      </c>
      <c r="G171" s="128">
        <f>Mulanje!G171+Luchenza!G171+Thyolo!G171+Muloza!G171+MUST!G171+Phalombe!G171+Mikolongwe!G171+Migowi!G171+Nkando!G171</f>
        <v>0</v>
      </c>
      <c r="H171" s="128">
        <f>Mulanje!H171+Luchenza!H171+Thyolo!H171+Muloza!H171+MUST!H171+Phalombe!H171+Mikolongwe!H171+Migowi!H171+Nkando!H171</f>
        <v>0</v>
      </c>
      <c r="I171" s="128">
        <f>Mulanje!I171+Luchenza!I171+Thyolo!I171+Muloza!I171+MUST!I171+Phalombe!I171+Mikolongwe!I171+Migowi!I171+Nkando!I171</f>
        <v>0</v>
      </c>
      <c r="J171" s="128">
        <f>Mulanje!J171+Luchenza!J171+Thyolo!J171+Muloza!J171+MUST!J171+Phalombe!J171+Mikolongwe!J171+Migowi!J171+Nkando!J171</f>
        <v>0</v>
      </c>
      <c r="K171" s="128">
        <f>Mulanje!K171+Luchenza!K171+Thyolo!K171+Muloza!K171+MUST!K171+Phalombe!K171+Mikolongwe!K171+Migowi!K171+Nkando!K171</f>
        <v>0</v>
      </c>
      <c r="L171" s="128">
        <f>Mulanje!L171+Luchenza!L171+Thyolo!L171+Muloza!L171+MUST!L171+Phalombe!L171+Mikolongwe!L171+Migowi!L171+Nkando!L171</f>
        <v>0</v>
      </c>
      <c r="M171" s="128">
        <f>Mulanje!M171+Luchenza!M171+Thyolo!M171+Muloza!M171+MUST!M171+Phalombe!M171+Mikolongwe!M171+Migowi!M171+Nkando!M171</f>
        <v>0</v>
      </c>
      <c r="N171" s="128">
        <f>Mulanje!N171+Luchenza!N171+Thyolo!N171+Muloza!N171+MUST!N171+Phalombe!N171+Mikolongwe!N171+Migowi!N171+Nkando!N171</f>
        <v>0</v>
      </c>
      <c r="O171" s="128">
        <f>Mulanje!O171+Luchenza!O171+Thyolo!O171+Muloza!O171+MUST!O171+Phalombe!O171+Mikolongwe!O171+Migowi!O171+Nkando!O171</f>
        <v>0</v>
      </c>
      <c r="P171" s="31">
        <f t="shared" si="59"/>
        <v>0</v>
      </c>
    </row>
    <row r="172" spans="1:16" x14ac:dyDescent="0.25">
      <c r="A172" s="223"/>
      <c r="B172" s="17" t="s">
        <v>62</v>
      </c>
      <c r="C172" s="4" t="s">
        <v>57</v>
      </c>
      <c r="D172" s="128">
        <f>Mulanje!D172+Luchenza!D172+Thyolo!D172+Muloza!D172+MUST!D172+Phalombe!D172+Mikolongwe!D172+Migowi!D172+Nkando!D172</f>
        <v>0</v>
      </c>
      <c r="E172" s="128">
        <f>Mulanje!E172+Luchenza!E172+Thyolo!E172+Muloza!E172+MUST!E172+Phalombe!E172+Mikolongwe!E172+Migowi!E172+Nkando!E172</f>
        <v>0</v>
      </c>
      <c r="F172" s="128">
        <f>Mulanje!F172+Luchenza!F172+Thyolo!F172+Muloza!F172+MUST!F172+Phalombe!F172+Mikolongwe!F172+Migowi!F172+Nkando!F172</f>
        <v>0</v>
      </c>
      <c r="G172" s="128">
        <f>Mulanje!G172+Luchenza!G172+Thyolo!G172+Muloza!G172+MUST!G172+Phalombe!G172+Mikolongwe!G172+Migowi!G172+Nkando!G172</f>
        <v>0</v>
      </c>
      <c r="H172" s="128">
        <f>Mulanje!H172+Luchenza!H172+Thyolo!H172+Muloza!H172+MUST!H172+Phalombe!H172+Mikolongwe!H172+Migowi!H172+Nkando!H172</f>
        <v>0</v>
      </c>
      <c r="I172" s="128">
        <f>Mulanje!I172+Luchenza!I172+Thyolo!I172+Muloza!I172+MUST!I172+Phalombe!I172+Mikolongwe!I172+Migowi!I172+Nkando!I172</f>
        <v>0</v>
      </c>
      <c r="J172" s="128">
        <f>Mulanje!J172+Luchenza!J172+Thyolo!J172+Muloza!J172+MUST!J172+Phalombe!J172+Mikolongwe!J172+Migowi!J172+Nkando!J172</f>
        <v>0</v>
      </c>
      <c r="K172" s="128">
        <f>Mulanje!K172+Luchenza!K172+Thyolo!K172+Muloza!K172+MUST!K172+Phalombe!K172+Mikolongwe!K172+Migowi!K172+Nkando!K172</f>
        <v>0</v>
      </c>
      <c r="L172" s="128">
        <f>Mulanje!L172+Luchenza!L172+Thyolo!L172+Muloza!L172+MUST!L172+Phalombe!L172+Mikolongwe!L172+Migowi!L172+Nkando!L172</f>
        <v>0</v>
      </c>
      <c r="M172" s="128">
        <f>Mulanje!M172+Luchenza!M172+Thyolo!M172+Muloza!M172+MUST!M172+Phalombe!M172+Mikolongwe!M172+Migowi!M172+Nkando!M172</f>
        <v>0</v>
      </c>
      <c r="N172" s="128">
        <f>Mulanje!N172+Luchenza!N172+Thyolo!N172+Muloza!N172+MUST!N172+Phalombe!N172+Mikolongwe!N172+Migowi!N172+Nkando!N172</f>
        <v>0</v>
      </c>
      <c r="O172" s="128">
        <f>Mulanje!O172+Luchenza!O172+Thyolo!O172+Muloza!O172+MUST!O172+Phalombe!O172+Mikolongwe!O172+Migowi!O172+Nkando!O172</f>
        <v>0</v>
      </c>
      <c r="P172" s="31">
        <f t="shared" si="59"/>
        <v>0</v>
      </c>
    </row>
    <row r="173" spans="1:16" x14ac:dyDescent="0.25">
      <c r="A173" s="223"/>
      <c r="B173" s="17" t="s">
        <v>61</v>
      </c>
      <c r="C173" s="4" t="s">
        <v>57</v>
      </c>
      <c r="D173" s="128">
        <f>Mulanje!D173+Luchenza!D173+Thyolo!D173+Muloza!D173+MUST!D173+Phalombe!D173+Mikolongwe!D173+Migowi!D173+Nkando!D173</f>
        <v>0</v>
      </c>
      <c r="E173" s="128">
        <f>Mulanje!E173+Luchenza!E173+Thyolo!E173+Muloza!E173+MUST!E173+Phalombe!E173+Mikolongwe!E173+Migowi!E173+Nkando!E173</f>
        <v>0</v>
      </c>
      <c r="F173" s="128">
        <f>Mulanje!F173+Luchenza!F173+Thyolo!F173+Muloza!F173+MUST!F173+Phalombe!F173+Mikolongwe!F173+Migowi!F173+Nkando!F173</f>
        <v>0</v>
      </c>
      <c r="G173" s="128">
        <f>Mulanje!G173+Luchenza!G173+Thyolo!G173+Muloza!G173+MUST!G173+Phalombe!G173+Mikolongwe!G173+Migowi!G173+Nkando!G173</f>
        <v>0</v>
      </c>
      <c r="H173" s="128">
        <f>Mulanje!H173+Luchenza!H173+Thyolo!H173+Muloza!H173+MUST!H173+Phalombe!H173+Mikolongwe!H173+Migowi!H173+Nkando!H173</f>
        <v>0</v>
      </c>
      <c r="I173" s="128">
        <f>Mulanje!I173+Luchenza!I173+Thyolo!I173+Muloza!I173+MUST!I173+Phalombe!I173+Mikolongwe!I173+Migowi!I173+Nkando!I173</f>
        <v>0</v>
      </c>
      <c r="J173" s="128">
        <f>Mulanje!J173+Luchenza!J173+Thyolo!J173+Muloza!J173+MUST!J173+Phalombe!J173+Mikolongwe!J173+Migowi!J173+Nkando!J173</f>
        <v>0</v>
      </c>
      <c r="K173" s="128">
        <f>Mulanje!K173+Luchenza!K173+Thyolo!K173+Muloza!K173+MUST!K173+Phalombe!K173+Mikolongwe!K173+Migowi!K173+Nkando!K173</f>
        <v>0</v>
      </c>
      <c r="L173" s="128">
        <f>Mulanje!L173+Luchenza!L173+Thyolo!L173+Muloza!L173+MUST!L173+Phalombe!L173+Mikolongwe!L173+Migowi!L173+Nkando!L173</f>
        <v>0</v>
      </c>
      <c r="M173" s="128">
        <f>Mulanje!M173+Luchenza!M173+Thyolo!M173+Muloza!M173+MUST!M173+Phalombe!M173+Mikolongwe!M173+Migowi!M173+Nkando!M173</f>
        <v>0</v>
      </c>
      <c r="N173" s="128">
        <f>Mulanje!N173+Luchenza!N173+Thyolo!N173+Muloza!N173+MUST!N173+Phalombe!N173+Mikolongwe!N173+Migowi!N173+Nkando!N173</f>
        <v>0</v>
      </c>
      <c r="O173" s="128">
        <f>Mulanje!O173+Luchenza!O173+Thyolo!O173+Muloza!O173+MUST!O173+Phalombe!O173+Mikolongwe!O173+Migowi!O173+Nkando!O173</f>
        <v>0</v>
      </c>
      <c r="P173" s="31">
        <f t="shared" si="59"/>
        <v>0</v>
      </c>
    </row>
    <row r="174" spans="1:16" x14ac:dyDescent="0.25">
      <c r="A174" s="223"/>
      <c r="B174" s="17" t="s">
        <v>60</v>
      </c>
      <c r="C174" s="4" t="s">
        <v>57</v>
      </c>
      <c r="D174" s="128">
        <f>Mulanje!D174+Luchenza!D174+Thyolo!D174+Muloza!D174+MUST!D174+Phalombe!D174+Mikolongwe!D174+Migowi!D174+Nkando!D174</f>
        <v>0</v>
      </c>
      <c r="E174" s="128">
        <f>Mulanje!E174+Luchenza!E174+Thyolo!E174+Muloza!E174+MUST!E174+Phalombe!E174+Mikolongwe!E174+Migowi!E174+Nkando!E174</f>
        <v>0</v>
      </c>
      <c r="F174" s="128">
        <f>Mulanje!F174+Luchenza!F174+Thyolo!F174+Muloza!F174+MUST!F174+Phalombe!F174+Mikolongwe!F174+Migowi!F174+Nkando!F174</f>
        <v>0</v>
      </c>
      <c r="G174" s="128">
        <f>Mulanje!G174+Luchenza!G174+Thyolo!G174+Muloza!G174+MUST!G174+Phalombe!G174+Mikolongwe!G174+Migowi!G174+Nkando!G174</f>
        <v>0</v>
      </c>
      <c r="H174" s="128">
        <f>Mulanje!H174+Luchenza!H174+Thyolo!H174+Muloza!H174+MUST!H174+Phalombe!H174+Mikolongwe!H174+Migowi!H174+Nkando!H174</f>
        <v>0</v>
      </c>
      <c r="I174" s="128">
        <f>Mulanje!I174+Luchenza!I174+Thyolo!I174+Muloza!I174+MUST!I174+Phalombe!I174+Mikolongwe!I174+Migowi!I174+Nkando!I174</f>
        <v>0</v>
      </c>
      <c r="J174" s="128">
        <f>Mulanje!J174+Luchenza!J174+Thyolo!J174+Muloza!J174+MUST!J174+Phalombe!J174+Mikolongwe!J174+Migowi!J174+Nkando!J174</f>
        <v>0</v>
      </c>
      <c r="K174" s="128">
        <f>Mulanje!K174+Luchenza!K174+Thyolo!K174+Muloza!K174+MUST!K174+Phalombe!K174+Mikolongwe!K174+Migowi!K174+Nkando!K174</f>
        <v>0</v>
      </c>
      <c r="L174" s="128">
        <f>Mulanje!L174+Luchenza!L174+Thyolo!L174+Muloza!L174+MUST!L174+Phalombe!L174+Mikolongwe!L174+Migowi!L174+Nkando!L174</f>
        <v>0</v>
      </c>
      <c r="M174" s="128">
        <f>Mulanje!M174+Luchenza!M174+Thyolo!M174+Muloza!M174+MUST!M174+Phalombe!M174+Mikolongwe!M174+Migowi!M174+Nkando!M174</f>
        <v>0</v>
      </c>
      <c r="N174" s="128">
        <f>Mulanje!N174+Luchenza!N174+Thyolo!N174+Muloza!N174+MUST!N174+Phalombe!N174+Mikolongwe!N174+Migowi!N174+Nkando!N174</f>
        <v>0</v>
      </c>
      <c r="O174" s="128">
        <f>Mulanje!O174+Luchenza!O174+Thyolo!O174+Muloza!O174+MUST!O174+Phalombe!O174+Mikolongwe!O174+Migowi!O174+Nkando!O174</f>
        <v>0</v>
      </c>
      <c r="P174" s="31">
        <f t="shared" si="59"/>
        <v>0</v>
      </c>
    </row>
    <row r="175" spans="1:16" x14ac:dyDescent="0.25">
      <c r="A175" s="224"/>
      <c r="B175" s="17" t="s">
        <v>69</v>
      </c>
      <c r="C175" s="4" t="s">
        <v>57</v>
      </c>
      <c r="D175" s="128">
        <f>Mulanje!D175+Luchenza!D175+Thyolo!D175+Muloza!D175+MUST!D175+Phalombe!D175+Mikolongwe!D175+Migowi!D175+Nkando!D175</f>
        <v>0</v>
      </c>
      <c r="E175" s="128">
        <f>Mulanje!E175+Luchenza!E175+Thyolo!E175+Muloza!E175+MUST!E175+Phalombe!E175+Mikolongwe!E175+Migowi!E175+Nkando!E175</f>
        <v>0</v>
      </c>
      <c r="F175" s="128">
        <f>Mulanje!F175+Luchenza!F175+Thyolo!F175+Muloza!F175+MUST!F175+Phalombe!F175+Mikolongwe!F175+Migowi!F175+Nkando!F175</f>
        <v>0</v>
      </c>
      <c r="G175" s="128">
        <f>Mulanje!G175+Luchenza!G175+Thyolo!G175+Muloza!G175+MUST!G175+Phalombe!G175+Mikolongwe!G175+Migowi!G175+Nkando!G175</f>
        <v>0</v>
      </c>
      <c r="H175" s="128">
        <f>Mulanje!H175+Luchenza!H175+Thyolo!H175+Muloza!H175+MUST!H175+Phalombe!H175+Mikolongwe!H175+Migowi!H175+Nkando!H175</f>
        <v>0</v>
      </c>
      <c r="I175" s="128">
        <f>Mulanje!I175+Luchenza!I175+Thyolo!I175+Muloza!I175+MUST!I175+Phalombe!I175+Mikolongwe!I175+Migowi!I175+Nkando!I175</f>
        <v>0</v>
      </c>
      <c r="J175" s="128">
        <f>Mulanje!J175+Luchenza!J175+Thyolo!J175+Muloza!J175+MUST!J175+Phalombe!J175+Mikolongwe!J175+Migowi!J175+Nkando!J175</f>
        <v>0</v>
      </c>
      <c r="K175" s="128">
        <f>Mulanje!K175+Luchenza!K175+Thyolo!K175+Muloza!K175+MUST!K175+Phalombe!K175+Mikolongwe!K175+Migowi!K175+Nkando!K175</f>
        <v>0</v>
      </c>
      <c r="L175" s="128">
        <f>Mulanje!L175+Luchenza!L175+Thyolo!L175+Muloza!L175+MUST!L175+Phalombe!L175+Mikolongwe!L175+Migowi!L175+Nkando!L175</f>
        <v>0</v>
      </c>
      <c r="M175" s="128">
        <f>Mulanje!M175+Luchenza!M175+Thyolo!M175+Muloza!M175+MUST!M175+Phalombe!M175+Mikolongwe!M175+Migowi!M175+Nkando!M175</f>
        <v>0</v>
      </c>
      <c r="N175" s="128">
        <f>Mulanje!N175+Luchenza!N175+Thyolo!N175+Muloza!N175+MUST!N175+Phalombe!N175+Mikolongwe!N175+Migowi!N175+Nkando!N175</f>
        <v>0</v>
      </c>
      <c r="O175" s="128">
        <f>Mulanje!O175+Luchenza!O175+Thyolo!O175+Muloza!O175+MUST!O175+Phalombe!O175+Mikolongwe!O175+Migowi!O175+Nkando!O175</f>
        <v>0</v>
      </c>
      <c r="P175" s="31">
        <f>SUM(D175:O175)</f>
        <v>0</v>
      </c>
    </row>
    <row r="176" spans="1:16" x14ac:dyDescent="0.25">
      <c r="A176" s="22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25">
      <c r="A177" s="223"/>
      <c r="B177" s="17" t="s">
        <v>60</v>
      </c>
      <c r="C177" s="4" t="s">
        <v>57</v>
      </c>
      <c r="D177" s="119">
        <f>Mulanje!D177+Luchenza!D177+Thyolo!D177+Muloza!D177+MUST!D177+Phalombe!D177+Mikolongwe!D177+Migowi!D177+Nkando!D177</f>
        <v>0</v>
      </c>
      <c r="E177" s="119">
        <f>Mulanje!E177+Luchenza!E177+Thyolo!E177+Muloza!E177+MUST!E177+Phalombe!E177+Mikolongwe!E177+Migowi!E177+Nkando!E177</f>
        <v>0</v>
      </c>
      <c r="F177" s="119">
        <f>Mulanje!F177+Luchenza!F177+Thyolo!F177+Muloza!F177+MUST!F177+Phalombe!F177+Mikolongwe!F177+Migowi!F177+Nkando!F177</f>
        <v>0</v>
      </c>
      <c r="G177" s="119">
        <f>Mulanje!G177+Luchenza!G177+Thyolo!G177+Muloza!G177+MUST!G177+Phalombe!G177+Mikolongwe!G177+Migowi!G177+Nkando!G177</f>
        <v>0</v>
      </c>
      <c r="H177" s="119">
        <f>Mulanje!H177+Luchenza!H177+Thyolo!H177+Muloza!H177+MUST!H177+Phalombe!H177+Mikolongwe!H177+Migowi!H177+Nkando!H177</f>
        <v>0</v>
      </c>
      <c r="I177" s="119">
        <f>Mulanje!I177+Luchenza!I177+Thyolo!I177+Muloza!I177+MUST!I177+Phalombe!I177+Mikolongwe!I177+Migowi!I177+Nkando!I177</f>
        <v>0</v>
      </c>
      <c r="J177" s="119">
        <f>Mulanje!J177+Luchenza!J177+Thyolo!J177+Muloza!J177+MUST!J177+Phalombe!J177+Mikolongwe!J177+Migowi!J177+Nkando!J177</f>
        <v>0</v>
      </c>
      <c r="K177" s="119">
        <f>Mulanje!K177+Luchenza!K177+Thyolo!K177+Muloza!K177+MUST!K177+Phalombe!K177+Mikolongwe!K177+Migowi!K177+Nkando!K177</f>
        <v>0</v>
      </c>
      <c r="L177" s="119">
        <f>Mulanje!L177+Luchenza!L177+Thyolo!L177+Muloza!L177+MUST!L177+Phalombe!L177+Mikolongwe!L177+Migowi!L177+Nkando!L177</f>
        <v>0</v>
      </c>
      <c r="M177" s="119">
        <f>Mulanje!M177+Luchenza!M177+Thyolo!M177+Muloza!M177+MUST!M177+Phalombe!M177+Mikolongwe!M177+Migowi!M177+Nkando!M177</f>
        <v>0</v>
      </c>
      <c r="N177" s="119">
        <f>Mulanje!N177+Luchenza!N177+Thyolo!N177+Muloza!N177+MUST!N177+Phalombe!N177+Mikolongwe!N177+Migowi!N177+Nkando!N177</f>
        <v>0</v>
      </c>
      <c r="O177" s="119">
        <f>Mulanje!O177+Luchenza!O177+Thyolo!O177+Muloza!O177+MUST!O177+Phalombe!O177+Mikolongwe!O177+Migowi!O177+Nkando!O177</f>
        <v>0</v>
      </c>
      <c r="P177" s="31">
        <f t="shared" ref="P177:P182" si="60">SUM(D177:O177)</f>
        <v>0</v>
      </c>
    </row>
    <row r="178" spans="1:16" x14ac:dyDescent="0.25">
      <c r="A178" s="223"/>
      <c r="B178" s="17" t="s">
        <v>69</v>
      </c>
      <c r="C178" s="4" t="s">
        <v>57</v>
      </c>
      <c r="D178" s="119">
        <f>Mulanje!D178+Luchenza!D178+Thyolo!D178+Muloza!D178+MUST!D178+Phalombe!D178+Mikolongwe!D178+Migowi!D178+Nkando!D178</f>
        <v>0</v>
      </c>
      <c r="E178" s="119">
        <f>Mulanje!E178+Luchenza!E178+Thyolo!E178+Muloza!E178+MUST!E178+Phalombe!E178+Mikolongwe!E178+Migowi!E178+Nkando!E178</f>
        <v>0</v>
      </c>
      <c r="F178" s="119">
        <f>Mulanje!F178+Luchenza!F178+Thyolo!F178+Muloza!F178+MUST!F178+Phalombe!F178+Mikolongwe!F178+Migowi!F178+Nkando!F178</f>
        <v>0</v>
      </c>
      <c r="G178" s="119">
        <f>Mulanje!G178+Luchenza!G178+Thyolo!G178+Muloza!G178+MUST!G178+Phalombe!G178+Mikolongwe!G178+Migowi!G178+Nkando!G178</f>
        <v>0</v>
      </c>
      <c r="H178" s="119">
        <f>Mulanje!H178+Luchenza!H178+Thyolo!H178+Muloza!H178+MUST!H178+Phalombe!H178+Mikolongwe!H178+Migowi!H178+Nkando!H178</f>
        <v>0</v>
      </c>
      <c r="I178" s="119">
        <f>Mulanje!I178+Luchenza!I178+Thyolo!I178+Muloza!I178+MUST!I178+Phalombe!I178+Mikolongwe!I178+Migowi!I178+Nkando!I178</f>
        <v>0</v>
      </c>
      <c r="J178" s="119">
        <f>Mulanje!J178+Luchenza!J178+Thyolo!J178+Muloza!J178+MUST!J178+Phalombe!J178+Mikolongwe!J178+Migowi!J178+Nkando!J178</f>
        <v>0</v>
      </c>
      <c r="K178" s="119">
        <f>Mulanje!K178+Luchenza!K178+Thyolo!K178+Muloza!K178+MUST!K178+Phalombe!K178+Mikolongwe!K178+Migowi!K178+Nkando!K178</f>
        <v>0</v>
      </c>
      <c r="L178" s="119">
        <f>Mulanje!L178+Luchenza!L178+Thyolo!L178+Muloza!L178+MUST!L178+Phalombe!L178+Mikolongwe!L178+Migowi!L178+Nkando!L178</f>
        <v>0</v>
      </c>
      <c r="M178" s="119">
        <f>Mulanje!M178+Luchenza!M178+Thyolo!M178+Muloza!M178+MUST!M178+Phalombe!M178+Mikolongwe!M178+Migowi!M178+Nkando!M178</f>
        <v>0</v>
      </c>
      <c r="N178" s="119">
        <f>Mulanje!N178+Luchenza!N178+Thyolo!N178+Muloza!N178+MUST!N178+Phalombe!N178+Mikolongwe!N178+Migowi!N178+Nkando!N178</f>
        <v>0</v>
      </c>
      <c r="O178" s="119">
        <f>Mulanje!O178+Luchenza!O178+Thyolo!O178+Muloza!O178+MUST!O178+Phalombe!O178+Mikolongwe!O178+Migowi!O178+Nkando!O178</f>
        <v>0</v>
      </c>
      <c r="P178" s="31">
        <f t="shared" si="60"/>
        <v>0</v>
      </c>
    </row>
    <row r="179" spans="1:16" x14ac:dyDescent="0.25">
      <c r="A179" s="223"/>
      <c r="B179" s="17" t="s">
        <v>68</v>
      </c>
      <c r="C179" s="4" t="s">
        <v>57</v>
      </c>
      <c r="D179" s="119">
        <f>Mulanje!D179+Luchenza!D179+Thyolo!D179+Muloza!D179+MUST!D179+Phalombe!D179+Mikolongwe!D179+Migowi!D179+Nkando!D179</f>
        <v>0</v>
      </c>
      <c r="E179" s="119">
        <f>Mulanje!E179+Luchenza!E179+Thyolo!E179+Muloza!E179+MUST!E179+Phalombe!E179+Mikolongwe!E179+Migowi!E179+Nkando!E179</f>
        <v>0</v>
      </c>
      <c r="F179" s="119">
        <f>Mulanje!F179+Luchenza!F179+Thyolo!F179+Muloza!F179+MUST!F179+Phalombe!F179+Mikolongwe!F179+Migowi!F179+Nkando!F179</f>
        <v>0</v>
      </c>
      <c r="G179" s="119">
        <f>Mulanje!G179+Luchenza!G179+Thyolo!G179+Muloza!G179+MUST!G179+Phalombe!G179+Mikolongwe!G179+Migowi!G179+Nkando!G179</f>
        <v>0</v>
      </c>
      <c r="H179" s="119">
        <f>Mulanje!H179+Luchenza!H179+Thyolo!H179+Muloza!H179+MUST!H179+Phalombe!H179+Mikolongwe!H179+Migowi!H179+Nkando!H179</f>
        <v>0</v>
      </c>
      <c r="I179" s="119">
        <f>Mulanje!I179+Luchenza!I179+Thyolo!I179+Muloza!I179+MUST!I179+Phalombe!I179+Mikolongwe!I179+Migowi!I179+Nkando!I179</f>
        <v>0</v>
      </c>
      <c r="J179" s="119">
        <f>Mulanje!J179+Luchenza!J179+Thyolo!J179+Muloza!J179+MUST!J179+Phalombe!J179+Mikolongwe!J179+Migowi!J179+Nkando!J179</f>
        <v>0</v>
      </c>
      <c r="K179" s="119">
        <f>Mulanje!K179+Luchenza!K179+Thyolo!K179+Muloza!K179+MUST!K179+Phalombe!K179+Mikolongwe!K179+Migowi!K179+Nkando!K179</f>
        <v>0</v>
      </c>
      <c r="L179" s="119">
        <f>Mulanje!L179+Luchenza!L179+Thyolo!L179+Muloza!L179+MUST!L179+Phalombe!L179+Mikolongwe!L179+Migowi!L179+Nkando!L179</f>
        <v>0</v>
      </c>
      <c r="M179" s="119">
        <f>Mulanje!M179+Luchenza!M179+Thyolo!M179+Muloza!M179+MUST!M179+Phalombe!M179+Mikolongwe!M179+Migowi!M179+Nkando!M179</f>
        <v>0</v>
      </c>
      <c r="N179" s="119">
        <f>Mulanje!N179+Luchenza!N179+Thyolo!N179+Muloza!N179+MUST!N179+Phalombe!N179+Mikolongwe!N179+Migowi!N179+Nkando!N179</f>
        <v>0</v>
      </c>
      <c r="O179" s="119">
        <f>Mulanje!O179+Luchenza!O179+Thyolo!O179+Muloza!O179+MUST!O179+Phalombe!O179+Mikolongwe!O179+Migowi!O179+Nkando!O179</f>
        <v>0</v>
      </c>
      <c r="P179" s="31">
        <f t="shared" si="60"/>
        <v>0</v>
      </c>
    </row>
    <row r="180" spans="1:16" x14ac:dyDescent="0.25">
      <c r="A180" s="223"/>
      <c r="B180" s="17" t="s">
        <v>67</v>
      </c>
      <c r="C180" s="4" t="s">
        <v>57</v>
      </c>
      <c r="D180" s="119">
        <f>Mulanje!D180+Luchenza!D180+Thyolo!D180+Muloza!D180+MUST!D180+Phalombe!D180+Mikolongwe!D180+Migowi!D180+Nkando!D180</f>
        <v>0</v>
      </c>
      <c r="E180" s="119">
        <f>Mulanje!E180+Luchenza!E180+Thyolo!E180+Muloza!E180+MUST!E180+Phalombe!E180+Mikolongwe!E180+Migowi!E180+Nkando!E180</f>
        <v>0</v>
      </c>
      <c r="F180" s="119">
        <f>Mulanje!F180+Luchenza!F180+Thyolo!F180+Muloza!F180+MUST!F180+Phalombe!F180+Mikolongwe!F180+Migowi!F180+Nkando!F180</f>
        <v>0</v>
      </c>
      <c r="G180" s="119">
        <f>Mulanje!G180+Luchenza!G180+Thyolo!G180+Muloza!G180+MUST!G180+Phalombe!G180+Mikolongwe!G180+Migowi!G180+Nkando!G180</f>
        <v>0</v>
      </c>
      <c r="H180" s="119">
        <f>Mulanje!H180+Luchenza!H180+Thyolo!H180+Muloza!H180+MUST!H180+Phalombe!H180+Mikolongwe!H180+Migowi!H180+Nkando!H180</f>
        <v>0</v>
      </c>
      <c r="I180" s="119">
        <f>Mulanje!I180+Luchenza!I180+Thyolo!I180+Muloza!I180+MUST!I180+Phalombe!I180+Mikolongwe!I180+Migowi!I180+Nkando!I180</f>
        <v>0</v>
      </c>
      <c r="J180" s="119">
        <f>Mulanje!J180+Luchenza!J180+Thyolo!J180+Muloza!J180+MUST!J180+Phalombe!J180+Mikolongwe!J180+Migowi!J180+Nkando!J180</f>
        <v>0</v>
      </c>
      <c r="K180" s="119">
        <f>Mulanje!K180+Luchenza!K180+Thyolo!K180+Muloza!K180+MUST!K180+Phalombe!K180+Mikolongwe!K180+Migowi!K180+Nkando!K180</f>
        <v>0</v>
      </c>
      <c r="L180" s="119">
        <f>Mulanje!L180+Luchenza!L180+Thyolo!L180+Muloza!L180+MUST!L180+Phalombe!L180+Mikolongwe!L180+Migowi!L180+Nkando!L180</f>
        <v>0</v>
      </c>
      <c r="M180" s="119">
        <f>Mulanje!M180+Luchenza!M180+Thyolo!M180+Muloza!M180+MUST!M180+Phalombe!M180+Mikolongwe!M180+Migowi!M180+Nkando!M180</f>
        <v>0</v>
      </c>
      <c r="N180" s="119">
        <f>Mulanje!N180+Luchenza!N180+Thyolo!N180+Muloza!N180+MUST!N180+Phalombe!N180+Mikolongwe!N180+Migowi!N180+Nkando!N180</f>
        <v>0</v>
      </c>
      <c r="O180" s="119">
        <f>Mulanje!O180+Luchenza!O180+Thyolo!O180+Muloza!O180+MUST!O180+Phalombe!O180+Mikolongwe!O180+Migowi!O180+Nkando!O180</f>
        <v>0</v>
      </c>
      <c r="P180" s="31">
        <f t="shared" si="60"/>
        <v>0</v>
      </c>
    </row>
    <row r="181" spans="1:16" x14ac:dyDescent="0.25">
      <c r="A181" s="223"/>
      <c r="B181" s="17" t="s">
        <v>66</v>
      </c>
      <c r="C181" s="4" t="s">
        <v>57</v>
      </c>
      <c r="D181" s="119">
        <f>Mulanje!D181+Luchenza!D181+Thyolo!D181+Muloza!D181+MUST!D181+Phalombe!D181+Mikolongwe!D181+Migowi!D181+Nkando!D181</f>
        <v>0</v>
      </c>
      <c r="E181" s="119">
        <f>Mulanje!E181+Luchenza!E181+Thyolo!E181+Muloza!E181+MUST!E181+Phalombe!E181+Mikolongwe!E181+Migowi!E181+Nkando!E181</f>
        <v>0</v>
      </c>
      <c r="F181" s="119">
        <f>Mulanje!F181+Luchenza!F181+Thyolo!F181+Muloza!F181+MUST!F181+Phalombe!F181+Mikolongwe!F181+Migowi!F181+Nkando!F181</f>
        <v>0</v>
      </c>
      <c r="G181" s="119">
        <f>Mulanje!G181+Luchenza!G181+Thyolo!G181+Muloza!G181+MUST!G181+Phalombe!G181+Mikolongwe!G181+Migowi!G181+Nkando!G181</f>
        <v>0</v>
      </c>
      <c r="H181" s="119">
        <f>Mulanje!H181+Luchenza!H181+Thyolo!H181+Muloza!H181+MUST!H181+Phalombe!H181+Mikolongwe!H181+Migowi!H181+Nkando!H181</f>
        <v>0</v>
      </c>
      <c r="I181" s="119">
        <f>Mulanje!I181+Luchenza!I181+Thyolo!I181+Muloza!I181+MUST!I181+Phalombe!I181+Mikolongwe!I181+Migowi!I181+Nkando!I181</f>
        <v>0</v>
      </c>
      <c r="J181" s="119">
        <f>Mulanje!J181+Luchenza!J181+Thyolo!J181+Muloza!J181+MUST!J181+Phalombe!J181+Mikolongwe!J181+Migowi!J181+Nkando!J181</f>
        <v>0</v>
      </c>
      <c r="K181" s="119">
        <f>Mulanje!K181+Luchenza!K181+Thyolo!K181+Muloza!K181+MUST!K181+Phalombe!K181+Mikolongwe!K181+Migowi!K181+Nkando!K181</f>
        <v>0</v>
      </c>
      <c r="L181" s="119">
        <f>Mulanje!L181+Luchenza!L181+Thyolo!L181+Muloza!L181+MUST!L181+Phalombe!L181+Mikolongwe!L181+Migowi!L181+Nkando!L181</f>
        <v>0</v>
      </c>
      <c r="M181" s="119">
        <f>Mulanje!M181+Luchenza!M181+Thyolo!M181+Muloza!M181+MUST!M181+Phalombe!M181+Mikolongwe!M181+Migowi!M181+Nkando!M181</f>
        <v>0</v>
      </c>
      <c r="N181" s="119">
        <f>Mulanje!N181+Luchenza!N181+Thyolo!N181+Muloza!N181+MUST!N181+Phalombe!N181+Mikolongwe!N181+Migowi!N181+Nkando!N181</f>
        <v>0</v>
      </c>
      <c r="O181" s="119">
        <f>Mulanje!O181+Luchenza!O181+Thyolo!O181+Muloza!O181+MUST!O181+Phalombe!O181+Mikolongwe!O181+Migowi!O181+Nkando!O181</f>
        <v>0</v>
      </c>
      <c r="P181" s="31">
        <f t="shared" si="60"/>
        <v>0</v>
      </c>
    </row>
    <row r="182" spans="1:16" x14ac:dyDescent="0.25">
      <c r="A182" s="224"/>
      <c r="B182" s="17" t="s">
        <v>65</v>
      </c>
      <c r="C182" s="4" t="s">
        <v>57</v>
      </c>
      <c r="D182" s="119">
        <f>Mulanje!D182+Luchenza!D182+Thyolo!D182+Muloza!D182+MUST!D182+Phalombe!D182+Mikolongwe!D182+Migowi!D182+Nkando!D182</f>
        <v>0</v>
      </c>
      <c r="E182" s="119">
        <f>Mulanje!E182+Luchenza!E182+Thyolo!E182+Muloza!E182+MUST!E182+Phalombe!E182+Mikolongwe!E182+Migowi!E182+Nkando!E182</f>
        <v>0</v>
      </c>
      <c r="F182" s="119">
        <f>Mulanje!F182+Luchenza!F182+Thyolo!F182+Muloza!F182+MUST!F182+Phalombe!F182+Mikolongwe!F182+Migowi!F182+Nkando!F182</f>
        <v>0</v>
      </c>
      <c r="G182" s="119">
        <f>Mulanje!G182+Luchenza!G182+Thyolo!G182+Muloza!G182+MUST!G182+Phalombe!G182+Mikolongwe!G182+Migowi!G182+Nkando!G182</f>
        <v>0</v>
      </c>
      <c r="H182" s="119">
        <f>Mulanje!H182+Luchenza!H182+Thyolo!H182+Muloza!H182+MUST!H182+Phalombe!H182+Mikolongwe!H182+Migowi!H182+Nkando!H182</f>
        <v>0</v>
      </c>
      <c r="I182" s="119">
        <f>Mulanje!I182+Luchenza!I182+Thyolo!I182+Muloza!I182+MUST!I182+Phalombe!I182+Mikolongwe!I182+Migowi!I182+Nkando!I182</f>
        <v>0</v>
      </c>
      <c r="J182" s="119">
        <f>Mulanje!J182+Luchenza!J182+Thyolo!J182+Muloza!J182+MUST!J182+Phalombe!J182+Mikolongwe!J182+Migowi!J182+Nkando!J182</f>
        <v>0</v>
      </c>
      <c r="K182" s="119">
        <f>Mulanje!K182+Luchenza!K182+Thyolo!K182+Muloza!K182+MUST!K182+Phalombe!K182+Mikolongwe!K182+Migowi!K182+Nkando!K182</f>
        <v>0</v>
      </c>
      <c r="L182" s="119">
        <f>Mulanje!L182+Luchenza!L182+Thyolo!L182+Muloza!L182+MUST!L182+Phalombe!L182+Mikolongwe!L182+Migowi!L182+Nkando!L182</f>
        <v>0</v>
      </c>
      <c r="M182" s="119">
        <f>Mulanje!M182+Luchenza!M182+Thyolo!M182+Muloza!M182+MUST!M182+Phalombe!M182+Mikolongwe!M182+Migowi!M182+Nkando!M182</f>
        <v>0</v>
      </c>
      <c r="N182" s="119">
        <f>Mulanje!N182+Luchenza!N182+Thyolo!N182+Muloza!N182+MUST!N182+Phalombe!N182+Mikolongwe!N182+Migowi!N182+Nkando!N182</f>
        <v>0</v>
      </c>
      <c r="O182" s="119">
        <f>Mulanje!O182+Luchenza!O182+Thyolo!O182+Muloza!O182+MUST!O182+Phalombe!O182+Mikolongwe!O182+Migowi!O182+Nkando!O182</f>
        <v>0</v>
      </c>
      <c r="P182" s="31">
        <f t="shared" si="60"/>
        <v>0</v>
      </c>
    </row>
    <row r="183" spans="1:16" x14ac:dyDescent="0.25">
      <c r="A183" s="22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25">
      <c r="A184" s="223"/>
      <c r="B184" s="17" t="s">
        <v>73</v>
      </c>
      <c r="C184" s="4" t="s">
        <v>57</v>
      </c>
      <c r="D184" s="119">
        <f>Mulanje!D184+Luchenza!D184+Thyolo!D184+Muloza!D184+MUST!D184+Phalombe!D184+Mikolongwe!D184+Migowi!D184+Nkando!D183</f>
        <v>0</v>
      </c>
      <c r="E184" s="119">
        <f>Mulanje!E184+Luchenza!E184+Thyolo!E184+Muloza!E184+MUST!E184+Phalombe!E184+Mikolongwe!E184+Migowi!E184+Nkando!E183</f>
        <v>0</v>
      </c>
      <c r="F184" s="119">
        <f>Mulanje!F184+Luchenza!F184+Thyolo!F184+Muloza!F184+MUST!F184+Phalombe!F184+Mikolongwe!F184+Migowi!F184+Nkando!F183</f>
        <v>0</v>
      </c>
      <c r="G184" s="119">
        <f>Mulanje!G184+Luchenza!G184+Thyolo!G184+Muloza!G184+MUST!G184+Phalombe!G184+Mikolongwe!G184+Migowi!G184+Nkando!G183</f>
        <v>0</v>
      </c>
      <c r="H184" s="119">
        <f>Mulanje!H184+Luchenza!H184+Thyolo!H184+Muloza!H184+MUST!H184+Phalombe!H184+Mikolongwe!H184+Migowi!H184+Nkando!H183</f>
        <v>0</v>
      </c>
      <c r="I184" s="119">
        <f>Mulanje!I184+Luchenza!I184+Thyolo!I184+Muloza!I184+MUST!I184+Phalombe!I184+Mikolongwe!I184+Migowi!I184+Nkando!I183</f>
        <v>0</v>
      </c>
      <c r="J184" s="119">
        <f>Mulanje!J184+Luchenza!J184+Thyolo!J184+Muloza!J184+MUST!J184+Phalombe!J184+Mikolongwe!J184+Migowi!J184+Nkando!J183</f>
        <v>0</v>
      </c>
      <c r="K184" s="119">
        <f>Mulanje!K184+Luchenza!K184+Thyolo!K184+Muloza!K184+MUST!K184+Phalombe!K184+Mikolongwe!K184+Migowi!K184+Nkando!K183</f>
        <v>0</v>
      </c>
      <c r="L184" s="119">
        <f>Mulanje!L184+Luchenza!L184+Thyolo!L184+Muloza!L184+MUST!L184+Phalombe!L184+Mikolongwe!L184+Migowi!L184+Nkando!L183</f>
        <v>0</v>
      </c>
      <c r="M184" s="119">
        <f>Mulanje!M184+Luchenza!M184+Thyolo!M184+Muloza!M184+MUST!M184+Phalombe!M184+Mikolongwe!M184+Migowi!M184+Nkando!M183</f>
        <v>0</v>
      </c>
      <c r="N184" s="119">
        <f>Mulanje!N184+Luchenza!N184+Thyolo!N184+Muloza!N184+MUST!N184+Phalombe!N184+Mikolongwe!N184+Migowi!N184+Nkando!N183</f>
        <v>0</v>
      </c>
      <c r="O184" s="119">
        <f>Mulanje!O184+Luchenza!O184+Thyolo!O184+Muloza!O184+MUST!O184+Phalombe!O184+Mikolongwe!O184+Migowi!O184+Nkando!O183</f>
        <v>0</v>
      </c>
      <c r="P184" s="31">
        <f>SUM(D184:O184)</f>
        <v>0</v>
      </c>
    </row>
    <row r="185" spans="1:16" x14ac:dyDescent="0.25">
      <c r="A185" s="223"/>
      <c r="B185" s="17" t="s">
        <v>72</v>
      </c>
      <c r="C185" s="4" t="s">
        <v>57</v>
      </c>
      <c r="D185" s="119">
        <f>Mulanje!D185+Luchenza!D185+Thyolo!D185+Muloza!D185+MUST!D185+Phalombe!D185+Mikolongwe!D185+Migowi!D185+Nkando!D184</f>
        <v>0</v>
      </c>
      <c r="E185" s="119">
        <f>Mulanje!E185+Luchenza!E185+Thyolo!E185+Muloza!E185+MUST!E185+Phalombe!E185+Mikolongwe!E185+Migowi!E185+Nkando!E184</f>
        <v>0</v>
      </c>
      <c r="F185" s="119">
        <f>Mulanje!F185+Luchenza!F185+Thyolo!F185+Muloza!F185+MUST!F185+Phalombe!F185+Mikolongwe!F185+Migowi!F185+Nkando!F184</f>
        <v>0</v>
      </c>
      <c r="G185" s="119">
        <f>Mulanje!G185+Luchenza!G185+Thyolo!G185+Muloza!G185+MUST!G185+Phalombe!G185+Mikolongwe!G185+Migowi!G185+Nkando!G184</f>
        <v>0</v>
      </c>
      <c r="H185" s="119">
        <f>Mulanje!H185+Luchenza!H185+Thyolo!H185+Muloza!H185+MUST!H185+Phalombe!H185+Mikolongwe!H185+Migowi!H185+Nkando!H184</f>
        <v>0</v>
      </c>
      <c r="I185" s="119">
        <f>Mulanje!I185+Luchenza!I185+Thyolo!I185+Muloza!I185+MUST!I185+Phalombe!I185+Mikolongwe!I185+Migowi!I185+Nkando!I184</f>
        <v>0</v>
      </c>
      <c r="J185" s="119">
        <f>Mulanje!J185+Luchenza!J185+Thyolo!J185+Muloza!J185+MUST!J185+Phalombe!J185+Mikolongwe!J185+Migowi!J185+Nkando!J184</f>
        <v>0</v>
      </c>
      <c r="K185" s="119">
        <f>Mulanje!K185+Luchenza!K185+Thyolo!K185+Muloza!K185+MUST!K185+Phalombe!K185+Mikolongwe!K185+Migowi!K185+Nkando!K184</f>
        <v>0</v>
      </c>
      <c r="L185" s="119">
        <f>Mulanje!L185+Luchenza!L185+Thyolo!L185+Muloza!L185+MUST!L185+Phalombe!L185+Mikolongwe!L185+Migowi!L185+Nkando!L184</f>
        <v>0</v>
      </c>
      <c r="M185" s="119">
        <f>Mulanje!M185+Luchenza!M185+Thyolo!M185+Muloza!M185+MUST!M185+Phalombe!M185+Mikolongwe!M185+Migowi!M185+Nkando!M184</f>
        <v>0</v>
      </c>
      <c r="N185" s="119">
        <f>Mulanje!N185+Luchenza!N185+Thyolo!N185+Muloza!N185+MUST!N185+Phalombe!N185+Mikolongwe!N185+Migowi!N185+Nkando!N184</f>
        <v>0</v>
      </c>
      <c r="O185" s="119">
        <f>Mulanje!O185+Luchenza!O185+Thyolo!O185+Muloza!O185+MUST!O185+Phalombe!O185+Mikolongwe!O185+Migowi!O185+Nkando!O184</f>
        <v>0</v>
      </c>
      <c r="P185" s="31">
        <f>SUM(D185:O185)</f>
        <v>0</v>
      </c>
    </row>
    <row r="186" spans="1:16" x14ac:dyDescent="0.25">
      <c r="A186" s="223"/>
      <c r="B186" s="17" t="s">
        <v>53</v>
      </c>
      <c r="C186" s="4" t="s">
        <v>57</v>
      </c>
      <c r="D186" s="119">
        <f>Mulanje!D186+Luchenza!D186+Thyolo!D186+Muloza!D186+MUST!D186+Phalombe!D186+Mikolongwe!D186+Migowi!D186+Nkando!D185</f>
        <v>0</v>
      </c>
      <c r="E186" s="119">
        <f>Mulanje!E186+Luchenza!E186+Thyolo!E186+Muloza!E186+MUST!E186+Phalombe!E186+Mikolongwe!E186+Migowi!E186+Nkando!E185</f>
        <v>0</v>
      </c>
      <c r="F186" s="119">
        <f>Mulanje!F186+Luchenza!F186+Thyolo!F186+Muloza!F186+MUST!F186+Phalombe!F186+Mikolongwe!F186+Migowi!F186+Nkando!F185</f>
        <v>0</v>
      </c>
      <c r="G186" s="119">
        <f>Mulanje!G186+Luchenza!G186+Thyolo!G186+Muloza!G186+MUST!G186+Phalombe!G186+Mikolongwe!G186+Migowi!G186+Nkando!G185</f>
        <v>0</v>
      </c>
      <c r="H186" s="119">
        <f>Mulanje!H186+Luchenza!H186+Thyolo!H186+Muloza!H186+MUST!H186+Phalombe!H186+Mikolongwe!H186+Migowi!H186+Nkando!H185</f>
        <v>0</v>
      </c>
      <c r="I186" s="119">
        <f>Mulanje!I186+Luchenza!I186+Thyolo!I186+Muloza!I186+MUST!I186+Phalombe!I186+Mikolongwe!I186+Migowi!I186+Nkando!I185</f>
        <v>0</v>
      </c>
      <c r="J186" s="119">
        <f>Mulanje!J186+Luchenza!J186+Thyolo!J186+Muloza!J186+MUST!J186+Phalombe!J186+Mikolongwe!J186+Migowi!J186+Nkando!J185</f>
        <v>0</v>
      </c>
      <c r="K186" s="119">
        <f>Mulanje!K186+Luchenza!K186+Thyolo!K186+Muloza!K186+MUST!K186+Phalombe!K186+Mikolongwe!K186+Migowi!K186+Nkando!K185</f>
        <v>0</v>
      </c>
      <c r="L186" s="119">
        <f>Mulanje!L186+Luchenza!L186+Thyolo!L186+Muloza!L186+MUST!L186+Phalombe!L186+Mikolongwe!L186+Migowi!L186+Nkando!L185</f>
        <v>0</v>
      </c>
      <c r="M186" s="119">
        <f>Mulanje!M186+Luchenza!M186+Thyolo!M186+Muloza!M186+MUST!M186+Phalombe!M186+Mikolongwe!M186+Migowi!M186+Nkando!M185</f>
        <v>0</v>
      </c>
      <c r="N186" s="119">
        <f>Mulanje!N186+Luchenza!N186+Thyolo!N186+Muloza!N186+MUST!N186+Phalombe!N186+Mikolongwe!N186+Migowi!N186+Nkando!N185</f>
        <v>0</v>
      </c>
      <c r="O186" s="119">
        <f>Mulanje!O186+Luchenza!O186+Thyolo!O186+Muloza!O186+MUST!O186+Phalombe!O186+Mikolongwe!O186+Migowi!O186+Nkando!O185</f>
        <v>0</v>
      </c>
      <c r="P186" s="31">
        <f>SUM(D186:O186)</f>
        <v>0</v>
      </c>
    </row>
    <row r="187" spans="1:16" x14ac:dyDescent="0.25">
      <c r="A187" s="224"/>
      <c r="B187" s="17" t="s">
        <v>52</v>
      </c>
      <c r="C187" s="4" t="s">
        <v>57</v>
      </c>
      <c r="D187" s="119">
        <f>Mulanje!D187+Luchenza!D187+Thyolo!D187+Muloza!D187+MUST!D187+Phalombe!D187+Mikolongwe!D187+Migowi!D187+Nkando!D186</f>
        <v>0</v>
      </c>
      <c r="E187" s="119">
        <f>Mulanje!E187+Luchenza!E187+Thyolo!E187+Muloza!E187+MUST!E187+Phalombe!E187+Mikolongwe!E187+Migowi!E187+Nkando!E186</f>
        <v>0</v>
      </c>
      <c r="F187" s="119">
        <f>Mulanje!F187+Luchenza!F187+Thyolo!F187+Muloza!F187+MUST!F187+Phalombe!F187+Mikolongwe!F187+Migowi!F187+Nkando!F186</f>
        <v>0</v>
      </c>
      <c r="G187" s="119">
        <f>Mulanje!G187+Luchenza!G187+Thyolo!G187+Muloza!G187+MUST!G187+Phalombe!G187+Mikolongwe!G187+Migowi!G187+Nkando!G186</f>
        <v>0</v>
      </c>
      <c r="H187" s="119">
        <f>Mulanje!H187+Luchenza!H187+Thyolo!H187+Muloza!H187+MUST!H187+Phalombe!H187+Mikolongwe!H187+Migowi!H187+Nkando!H186</f>
        <v>0</v>
      </c>
      <c r="I187" s="119">
        <f>Mulanje!I187+Luchenza!I187+Thyolo!I187+Muloza!I187+MUST!I187+Phalombe!I187+Mikolongwe!I187+Migowi!I187+Nkando!I186</f>
        <v>0</v>
      </c>
      <c r="J187" s="119">
        <f>Mulanje!J187+Luchenza!J187+Thyolo!J187+Muloza!J187+MUST!J187+Phalombe!J187+Mikolongwe!J187+Migowi!J187+Nkando!J186</f>
        <v>0</v>
      </c>
      <c r="K187" s="119">
        <f>Mulanje!K187+Luchenza!K187+Thyolo!K187+Muloza!K187+MUST!K187+Phalombe!K187+Mikolongwe!K187+Migowi!K187+Nkando!K186</f>
        <v>0</v>
      </c>
      <c r="L187" s="119">
        <f>Mulanje!L187+Luchenza!L187+Thyolo!L187+Muloza!L187+MUST!L187+Phalombe!L187+Mikolongwe!L187+Migowi!L187+Nkando!L186</f>
        <v>0</v>
      </c>
      <c r="M187" s="119">
        <f>Mulanje!M187+Luchenza!M187+Thyolo!M187+Muloza!M187+MUST!M187+Phalombe!M187+Mikolongwe!M187+Migowi!M187+Nkando!M186</f>
        <v>0</v>
      </c>
      <c r="N187" s="119">
        <f>Mulanje!N187+Luchenza!N187+Thyolo!N187+Muloza!N187+MUST!N187+Phalombe!N187+Mikolongwe!N187+Migowi!N187+Nkando!N186</f>
        <v>0</v>
      </c>
      <c r="O187" s="119">
        <f>Mulanje!O187+Luchenza!O187+Thyolo!O187+Muloza!O187+MUST!O187+Phalombe!O187+Mikolongwe!O187+Migowi!O187+Nkando!O186</f>
        <v>0</v>
      </c>
      <c r="P187" s="31">
        <f>SUM(D187:O187)</f>
        <v>0</v>
      </c>
    </row>
    <row r="188" spans="1:16" x14ac:dyDescent="0.25">
      <c r="A188" s="22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25">
      <c r="A189" s="223"/>
      <c r="B189" s="18" t="s">
        <v>52</v>
      </c>
      <c r="C189" s="4" t="s">
        <v>57</v>
      </c>
      <c r="D189" s="119">
        <f>Mulanje!D189+Luchenza!D189+Thyolo!D189+Muloza!D189+MUST!D189+Phalombe!D189+Mikolongwe!D189+Migowi!D189+Nkando!D189</f>
        <v>0</v>
      </c>
      <c r="E189" s="119">
        <f>Mulanje!E189+Luchenza!E189+Thyolo!E189+Muloza!E189+MUST!E189+Phalombe!E189+Mikolongwe!E189+Migowi!E189+Nkando!E189</f>
        <v>0</v>
      </c>
      <c r="F189" s="119">
        <f>Mulanje!F189+Luchenza!F189+Thyolo!F189+Muloza!F189+MUST!F189+Phalombe!F189+Mikolongwe!F189+Migowi!F189+Nkando!F189</f>
        <v>0</v>
      </c>
      <c r="G189" s="119">
        <f>Mulanje!G189+Luchenza!G189+Thyolo!G189+Muloza!G189+MUST!G189+Phalombe!G189+Mikolongwe!G189+Migowi!G189+Nkando!G189</f>
        <v>0</v>
      </c>
      <c r="H189" s="119">
        <f>Mulanje!H189+Luchenza!H189+Thyolo!H189+Muloza!H189+MUST!H189+Phalombe!H189+Mikolongwe!H189+Migowi!H189+Nkando!H189</f>
        <v>0</v>
      </c>
      <c r="I189" s="119">
        <f>Mulanje!I189+Luchenza!I189+Thyolo!I189+Muloza!I189+MUST!I189+Phalombe!I189+Mikolongwe!I189+Migowi!I189+Nkando!I189</f>
        <v>0</v>
      </c>
      <c r="J189" s="119">
        <f>Mulanje!J189+Luchenza!J189+Thyolo!J189+Muloza!J189+MUST!J189+Phalombe!J189+Mikolongwe!J189+Migowi!J189+Nkando!J189</f>
        <v>0</v>
      </c>
      <c r="K189" s="119">
        <f>Mulanje!K189+Luchenza!K189+Thyolo!K189+Muloza!K189+MUST!K189+Phalombe!K189+Mikolongwe!K189+Migowi!K189+Nkando!K189</f>
        <v>0</v>
      </c>
      <c r="L189" s="119">
        <f>Mulanje!L189+Luchenza!L189+Thyolo!L189+Muloza!L189+MUST!L189+Phalombe!L189+Mikolongwe!L189+Migowi!L189+Nkando!L189</f>
        <v>0</v>
      </c>
      <c r="M189" s="119">
        <f>Mulanje!M189+Luchenza!M189+Thyolo!M189+Muloza!M189+MUST!M189+Phalombe!M189+Mikolongwe!M189+Migowi!M189+Nkando!M189</f>
        <v>0</v>
      </c>
      <c r="N189" s="119">
        <f>Mulanje!N189+Luchenza!N189+Thyolo!N189+Muloza!N189+MUST!N189+Phalombe!N189+Mikolongwe!N189+Migowi!N189+Nkando!N189</f>
        <v>0</v>
      </c>
      <c r="O189" s="119">
        <f>Mulanje!O189+Luchenza!O189+Thyolo!O189+Muloza!O189+MUST!O189+Phalombe!O189+Mikolongwe!O189+Migowi!O189+Nkando!O189</f>
        <v>0</v>
      </c>
      <c r="P189" s="31">
        <f>SUM(D189:O189)</f>
        <v>0</v>
      </c>
    </row>
    <row r="190" spans="1:16" x14ac:dyDescent="0.25">
      <c r="A190" s="223"/>
      <c r="B190" s="17" t="s">
        <v>62</v>
      </c>
      <c r="C190" s="4" t="s">
        <v>57</v>
      </c>
      <c r="D190" s="119">
        <f>Mulanje!D190+Luchenza!D190+Thyolo!D190+Muloza!D190+MUST!D190+Phalombe!D190+Mikolongwe!D190+Migowi!D190+Nkando!D190</f>
        <v>0</v>
      </c>
      <c r="E190" s="119">
        <f>Mulanje!E190+Luchenza!E190+Thyolo!E190+Muloza!E190+MUST!E190+Phalombe!E190+Mikolongwe!E190+Migowi!E190+Nkando!E190</f>
        <v>0</v>
      </c>
      <c r="F190" s="119">
        <f>Mulanje!F190+Luchenza!F190+Thyolo!F190+Muloza!F190+MUST!F190+Phalombe!F190+Mikolongwe!F190+Migowi!F190+Nkando!F190</f>
        <v>0</v>
      </c>
      <c r="G190" s="119">
        <f>Mulanje!G190+Luchenza!G190+Thyolo!G190+Muloza!G190+MUST!G190+Phalombe!G190+Mikolongwe!G190+Migowi!G190+Nkando!G190</f>
        <v>0</v>
      </c>
      <c r="H190" s="119">
        <f>Mulanje!H190+Luchenza!H190+Thyolo!H190+Muloza!H190+MUST!H190+Phalombe!H190+Mikolongwe!H190+Migowi!H190+Nkando!H190</f>
        <v>0</v>
      </c>
      <c r="I190" s="119">
        <f>Mulanje!I190+Luchenza!I190+Thyolo!I190+Muloza!I190+MUST!I190+Phalombe!I190+Mikolongwe!I190+Migowi!I190+Nkando!I190</f>
        <v>0</v>
      </c>
      <c r="J190" s="119">
        <f>Mulanje!J190+Luchenza!J190+Thyolo!J190+Muloza!J190+MUST!J190+Phalombe!J190+Mikolongwe!J190+Migowi!J190+Nkando!J190</f>
        <v>0</v>
      </c>
      <c r="K190" s="119">
        <f>Mulanje!K190+Luchenza!K190+Thyolo!K190+Muloza!K190+MUST!K190+Phalombe!K190+Mikolongwe!K190+Migowi!K190+Nkando!K190</f>
        <v>0</v>
      </c>
      <c r="L190" s="119">
        <f>Mulanje!L190+Luchenza!L190+Thyolo!L190+Muloza!L190+MUST!L190+Phalombe!L190+Mikolongwe!L190+Migowi!L190+Nkando!L190</f>
        <v>0</v>
      </c>
      <c r="M190" s="119">
        <f>Mulanje!M190+Luchenza!M190+Thyolo!M190+Muloza!M190+MUST!M190+Phalombe!M190+Mikolongwe!M190+Migowi!M190+Nkando!M190</f>
        <v>0</v>
      </c>
      <c r="N190" s="119">
        <f>Mulanje!N190+Luchenza!N190+Thyolo!N190+Muloza!N190+MUST!N190+Phalombe!N190+Mikolongwe!N190+Migowi!N190+Nkando!N190</f>
        <v>0</v>
      </c>
      <c r="O190" s="119">
        <f>Mulanje!O190+Luchenza!O190+Thyolo!O190+Muloza!O190+MUST!O190+Phalombe!O190+Mikolongwe!O190+Migowi!O190+Nkando!O190</f>
        <v>0</v>
      </c>
      <c r="P190" s="31">
        <f>SUM(D190:O190)</f>
        <v>0</v>
      </c>
    </row>
    <row r="191" spans="1:16" x14ac:dyDescent="0.25">
      <c r="A191" s="223"/>
      <c r="B191" s="17" t="s">
        <v>61</v>
      </c>
      <c r="C191" s="4" t="s">
        <v>57</v>
      </c>
      <c r="D191" s="119">
        <f>Mulanje!D191+Luchenza!D191+Thyolo!D191+Muloza!D191+MUST!D191+Phalombe!D191+Mikolongwe!D191+Migowi!D191+Nkando!D191</f>
        <v>0</v>
      </c>
      <c r="E191" s="119">
        <f>Mulanje!E191+Luchenza!E191+Thyolo!E191+Muloza!E191+MUST!E191+Phalombe!E191+Mikolongwe!E191+Migowi!E191+Nkando!E191</f>
        <v>0</v>
      </c>
      <c r="F191" s="119">
        <f>Mulanje!F191+Luchenza!F191+Thyolo!F191+Muloza!F191+MUST!F191+Phalombe!F191+Mikolongwe!F191+Migowi!F191+Nkando!F191</f>
        <v>0</v>
      </c>
      <c r="G191" s="119">
        <f>Mulanje!G191+Luchenza!G191+Thyolo!G191+Muloza!G191+MUST!G191+Phalombe!G191+Mikolongwe!G191+Migowi!G191+Nkando!G191</f>
        <v>0</v>
      </c>
      <c r="H191" s="119">
        <f>Mulanje!H191+Luchenza!H191+Thyolo!H191+Muloza!H191+MUST!H191+Phalombe!H191+Mikolongwe!H191+Migowi!H191+Nkando!H191</f>
        <v>0</v>
      </c>
      <c r="I191" s="119">
        <f>Mulanje!I191+Luchenza!I191+Thyolo!I191+Muloza!I191+MUST!I191+Phalombe!I191+Mikolongwe!I191+Migowi!I191+Nkando!I191</f>
        <v>0</v>
      </c>
      <c r="J191" s="119">
        <f>Mulanje!J191+Luchenza!J191+Thyolo!J191+Muloza!J191+MUST!J191+Phalombe!J191+Mikolongwe!J191+Migowi!J191+Nkando!J191</f>
        <v>0</v>
      </c>
      <c r="K191" s="119">
        <f>Mulanje!K191+Luchenza!K191+Thyolo!K191+Muloza!K191+MUST!K191+Phalombe!K191+Mikolongwe!K191+Migowi!K191+Nkando!K191</f>
        <v>0</v>
      </c>
      <c r="L191" s="119">
        <f>Mulanje!L191+Luchenza!L191+Thyolo!L191+Muloza!L191+MUST!L191+Phalombe!L191+Mikolongwe!L191+Migowi!L191+Nkando!L191</f>
        <v>0</v>
      </c>
      <c r="M191" s="119">
        <f>Mulanje!M191+Luchenza!M191+Thyolo!M191+Muloza!M191+MUST!M191+Phalombe!M191+Mikolongwe!M191+Migowi!M191+Nkando!M191</f>
        <v>0</v>
      </c>
      <c r="N191" s="119">
        <f>Mulanje!N191+Luchenza!N191+Thyolo!N191+Muloza!N191+MUST!N191+Phalombe!N191+Mikolongwe!N191+Migowi!N191+Nkando!N191</f>
        <v>0</v>
      </c>
      <c r="O191" s="119">
        <f>Mulanje!O191+Luchenza!O191+Thyolo!O191+Muloza!O191+MUST!O191+Phalombe!O191+Mikolongwe!O191+Migowi!O191+Nkando!O191</f>
        <v>0</v>
      </c>
      <c r="P191" s="31">
        <f>SUM(D191:O191)</f>
        <v>0</v>
      </c>
    </row>
    <row r="192" spans="1:16" x14ac:dyDescent="0.25">
      <c r="A192" s="224"/>
      <c r="B192" s="17" t="s">
        <v>60</v>
      </c>
      <c r="C192" s="4" t="s">
        <v>57</v>
      </c>
      <c r="D192" s="119">
        <f>Mulanje!D192+Luchenza!D192+Thyolo!D192+Muloza!D192+MUST!D192+Phalombe!D192+Mikolongwe!D192+Migowi!D192+Nkando!D192</f>
        <v>0</v>
      </c>
      <c r="E192" s="119">
        <f>Mulanje!E192+Luchenza!E192+Thyolo!E192+Muloza!E192+MUST!E192+Phalombe!E192+Mikolongwe!E192+Migowi!E192+Nkando!E192</f>
        <v>0</v>
      </c>
      <c r="F192" s="119">
        <f>Mulanje!F192+Luchenza!F192+Thyolo!F192+Muloza!F192+MUST!F192+Phalombe!F192+Mikolongwe!F192+Migowi!F192+Nkando!F192</f>
        <v>0</v>
      </c>
      <c r="G192" s="119">
        <f>Mulanje!G192+Luchenza!G192+Thyolo!G192+Muloza!G192+MUST!G192+Phalombe!G192+Mikolongwe!G192+Migowi!G192+Nkando!G192</f>
        <v>0</v>
      </c>
      <c r="H192" s="119">
        <f>Mulanje!H192+Luchenza!H192+Thyolo!H192+Muloza!H192+MUST!H192+Phalombe!H192+Mikolongwe!H192+Migowi!H192+Nkando!H192</f>
        <v>0</v>
      </c>
      <c r="I192" s="119">
        <f>Mulanje!I192+Luchenza!I192+Thyolo!I192+Muloza!I192+MUST!I192+Phalombe!I192+Mikolongwe!I192+Migowi!I192+Nkando!I192</f>
        <v>0</v>
      </c>
      <c r="J192" s="119">
        <f>Mulanje!J192+Luchenza!J192+Thyolo!J192+Muloza!J192+MUST!J192+Phalombe!J192+Mikolongwe!J192+Migowi!J192+Nkando!J192</f>
        <v>0</v>
      </c>
      <c r="K192" s="119">
        <f>Mulanje!K192+Luchenza!K192+Thyolo!K192+Muloza!K192+MUST!K192+Phalombe!K192+Mikolongwe!K192+Migowi!K192+Nkando!K192</f>
        <v>0</v>
      </c>
      <c r="L192" s="119">
        <f>Mulanje!L192+Luchenza!L192+Thyolo!L192+Muloza!L192+MUST!L192+Phalombe!L192+Mikolongwe!L192+Migowi!L192+Nkando!L192</f>
        <v>0</v>
      </c>
      <c r="M192" s="119">
        <f>Mulanje!M192+Luchenza!M192+Thyolo!M192+Muloza!M192+MUST!M192+Phalombe!M192+Mikolongwe!M192+Migowi!M192+Nkando!M192</f>
        <v>0</v>
      </c>
      <c r="N192" s="119">
        <f>Mulanje!N192+Luchenza!N192+Thyolo!N192+Muloza!N192+MUST!N192+Phalombe!N192+Mikolongwe!N192+Migowi!N192+Nkando!N192</f>
        <v>0</v>
      </c>
      <c r="O192" s="119">
        <f>Mulanje!O192+Luchenza!O192+Thyolo!O192+Muloza!O192+MUST!O192+Phalombe!O192+Mikolongwe!O192+Migowi!O192+Nkando!O192</f>
        <v>0</v>
      </c>
      <c r="P192" s="31">
        <f>SUM(D192:O192)</f>
        <v>0</v>
      </c>
    </row>
    <row r="193" spans="1:16" x14ac:dyDescent="0.25">
      <c r="A193" s="74" t="s">
        <v>59</v>
      </c>
      <c r="B193" s="15"/>
      <c r="C193" s="4"/>
      <c r="D193" s="9">
        <f>SUM(D153:D192)</f>
        <v>368</v>
      </c>
      <c r="E193" s="9">
        <f t="shared" ref="E193:P193" si="61">SUM(E153:E192)</f>
        <v>328</v>
      </c>
      <c r="F193" s="9">
        <f t="shared" si="61"/>
        <v>357</v>
      </c>
      <c r="G193" s="9">
        <f t="shared" ref="G193:H193" si="62">SUM(G153:G192)</f>
        <v>0</v>
      </c>
      <c r="H193" s="9">
        <f t="shared" si="62"/>
        <v>0</v>
      </c>
      <c r="I193" s="9">
        <f t="shared" ref="I193:O193" si="63">SUM(I153:I192)</f>
        <v>0</v>
      </c>
      <c r="J193" s="9">
        <f t="shared" si="63"/>
        <v>0</v>
      </c>
      <c r="K193" s="9">
        <f t="shared" si="63"/>
        <v>0</v>
      </c>
      <c r="L193" s="9">
        <f t="shared" si="63"/>
        <v>0</v>
      </c>
      <c r="M193" s="9">
        <f t="shared" si="63"/>
        <v>0</v>
      </c>
      <c r="N193" s="9">
        <f t="shared" si="63"/>
        <v>0</v>
      </c>
      <c r="O193" s="9">
        <f t="shared" si="63"/>
        <v>0</v>
      </c>
      <c r="P193" s="35">
        <f t="shared" si="61"/>
        <v>1053</v>
      </c>
    </row>
    <row r="194" spans="1:16" x14ac:dyDescent="0.25">
      <c r="A194" s="217" t="s">
        <v>58</v>
      </c>
      <c r="B194" s="218"/>
      <c r="C194" s="4" t="s">
        <v>57</v>
      </c>
      <c r="D194" s="119">
        <f>Mulanje!D194+Luchenza!D194+Thyolo!D194+Muloza!D194+MUST!D194+Phalombe!D194+Mikolongwe!D194+Migowi!D194+Nkando!D194</f>
        <v>13</v>
      </c>
      <c r="E194" s="119">
        <f>Mulanje!E194+Luchenza!E194+Thyolo!E194+Muloza!E194+MUST!E194+Phalombe!E194+Mikolongwe!E194+Migowi!E194+Nkando!E194</f>
        <v>8</v>
      </c>
      <c r="F194" s="119">
        <f>Mulanje!F194+Luchenza!F194+Thyolo!F194+Muloza!F194+MUST!F194+Phalombe!F194+Mikolongwe!F194+Migowi!F194+Nkando!F194</f>
        <v>25</v>
      </c>
      <c r="G194" s="119">
        <f>Mulanje!G194+Luchenza!G194+Thyolo!G194+Muloza!G194+MUST!G194+Phalombe!G194+Mikolongwe!G194+Migowi!G194+Nkando!G194</f>
        <v>0</v>
      </c>
      <c r="H194" s="119">
        <f>Mulanje!H194+Luchenza!H194+Thyolo!H194+Muloza!H194+MUST!H194+Phalombe!H194+Mikolongwe!H194+Migowi!H194+Nkando!H194</f>
        <v>0</v>
      </c>
      <c r="I194" s="119">
        <f>Mulanje!I194+Luchenza!I194+Thyolo!I194+Muloza!I194+MUST!I194+Phalombe!I194+Mikolongwe!I194+Migowi!I194+Nkando!I194</f>
        <v>0</v>
      </c>
      <c r="J194" s="119">
        <f>Mulanje!J194+Luchenza!J194+Thyolo!J194+Muloza!J194+MUST!J194+Phalombe!J194+Mikolongwe!J194+Migowi!J194+Nkando!J194</f>
        <v>0</v>
      </c>
      <c r="K194" s="119">
        <f>Mulanje!K194+Luchenza!K194+Thyolo!K194+Muloza!K194+MUST!K194+Phalombe!K194+Mikolongwe!K194+Migowi!K194+Nkando!K194</f>
        <v>0</v>
      </c>
      <c r="L194" s="119">
        <f>Mulanje!L194+Luchenza!L194+Thyolo!L194+Muloza!L194+MUST!L194+Phalombe!L194+Mikolongwe!L194+Migowi!L194+Nkando!L194</f>
        <v>0</v>
      </c>
      <c r="M194" s="119">
        <f>Mulanje!M194+Luchenza!M194+Thyolo!M194+Muloza!M194+MUST!M194+Phalombe!M194+Mikolongwe!M194+Migowi!M194+Nkando!M194</f>
        <v>0</v>
      </c>
      <c r="N194" s="119">
        <f>Mulanje!N194+Luchenza!N194+Thyolo!N194+Muloza!N194+MUST!N194+Phalombe!N194+Mikolongwe!N194+Migowi!N194+Nkando!N194</f>
        <v>0</v>
      </c>
      <c r="O194" s="119">
        <f>Mulanje!O194+Luchenza!O194+Thyolo!O194+Muloza!O194+MUST!O194+Phalombe!O194+Mikolongwe!O194+Migowi!O194+Nkando!O194</f>
        <v>0</v>
      </c>
      <c r="P194" s="34">
        <f>SUM(D194:O194)</f>
        <v>46</v>
      </c>
    </row>
    <row r="195" spans="1:16" x14ac:dyDescent="0.25">
      <c r="A195" s="219"/>
      <c r="B195" s="220"/>
      <c r="C195" s="14" t="s">
        <v>55</v>
      </c>
      <c r="D195" s="119">
        <f>Mulanje!D195+Luchenza!D195+Thyolo!D195+Muloza!D195+MUST!D195+Phalombe!D195+Mikolongwe!D195+Migowi!D195+Nkando!D195</f>
        <v>60</v>
      </c>
      <c r="E195" s="119">
        <f>Mulanje!E195+Luchenza!E195+Thyolo!E195+Muloza!E195+MUST!E195+Phalombe!E195+Mikolongwe!E195+Migowi!E195+Nkando!E195</f>
        <v>6</v>
      </c>
      <c r="F195" s="119">
        <f>Mulanje!F195+Luchenza!F195+Thyolo!F195+Muloza!F195+MUST!F195+Phalombe!F195+Mikolongwe!F195+Migowi!F195+Nkando!F195</f>
        <v>19</v>
      </c>
      <c r="G195" s="119">
        <f>Mulanje!G195+Luchenza!G195+Thyolo!G195+Muloza!G195+MUST!G195+Phalombe!G195+Mikolongwe!G195+Migowi!G195+Nkando!G195</f>
        <v>0</v>
      </c>
      <c r="H195" s="119">
        <f>Mulanje!H195+Luchenza!H195+Thyolo!H195+Muloza!H195+MUST!H195+Phalombe!H195+Mikolongwe!H195+Migowi!H195+Nkando!H195</f>
        <v>0</v>
      </c>
      <c r="I195" s="119">
        <f>Mulanje!I195+Luchenza!I195+Thyolo!I195+Muloza!I195+MUST!I195+Phalombe!I195+Mikolongwe!I195+Migowi!I195+Nkando!I195</f>
        <v>0</v>
      </c>
      <c r="J195" s="119">
        <f>Mulanje!J195+Luchenza!J195+Thyolo!J195+Muloza!J195+MUST!J195+Phalombe!J195+Mikolongwe!J195+Migowi!J195+Nkando!J195</f>
        <v>0</v>
      </c>
      <c r="K195" s="119">
        <f>Mulanje!K195+Luchenza!K195+Thyolo!K195+Muloza!K195+MUST!K195+Phalombe!K195+Mikolongwe!K195+Migowi!K195+Nkando!K195</f>
        <v>0</v>
      </c>
      <c r="L195" s="119">
        <f>Mulanje!L195+Luchenza!L195+Thyolo!L195+Muloza!L195+MUST!L195+Phalombe!L195+Mikolongwe!L195+Migowi!L195+Nkando!L195</f>
        <v>0</v>
      </c>
      <c r="M195" s="119">
        <f>Mulanje!M195+Luchenza!M195+Thyolo!M195+Muloza!M195+MUST!M195+Phalombe!M195+Mikolongwe!M195+Migowi!M195+Nkando!M195</f>
        <v>0</v>
      </c>
      <c r="N195" s="119">
        <f>Mulanje!N195+Luchenza!N195+Thyolo!N195+Muloza!N195+MUST!N195+Phalombe!N195+Mikolongwe!N195+Migowi!N195+Nkando!N195</f>
        <v>0</v>
      </c>
      <c r="O195" s="119">
        <f>Mulanje!O195+Luchenza!O195+Thyolo!O195+Muloza!O195+MUST!O195+Phalombe!O195+Mikolongwe!O195+Migowi!O195+Nkando!O195</f>
        <v>0</v>
      </c>
      <c r="P195" s="34">
        <f>SUM(D195:O195)</f>
        <v>85</v>
      </c>
    </row>
    <row r="196" spans="1:16" x14ac:dyDescent="0.25">
      <c r="A196" s="75" t="s">
        <v>204</v>
      </c>
      <c r="B196" s="76"/>
      <c r="C196" s="14" t="s">
        <v>55</v>
      </c>
      <c r="D196" s="119">
        <f>Mulanje!D196+Luchenza!D196+Thyolo!D196+Muloza!D196+MUST!D196+Phalombe!D196+Mikolongwe!D196+Migowi!D196+Nkando!D196</f>
        <v>166</v>
      </c>
      <c r="E196" s="119">
        <f>Mulanje!E196+Luchenza!E196+Thyolo!E196+Muloza!E196+MUST!E196+Phalombe!E196+Mikolongwe!E196+Migowi!E196+Nkando!E196</f>
        <v>169</v>
      </c>
      <c r="F196" s="119">
        <f>Mulanje!F196+Luchenza!F196+Thyolo!F196+Muloza!F196+MUST!F196+Phalombe!F196+Mikolongwe!F196+Migowi!F196+Nkando!F196</f>
        <v>163</v>
      </c>
      <c r="G196" s="119">
        <v>0</v>
      </c>
      <c r="H196" s="119">
        <f>Mulanje!H196+Luchenza!H196+Thyolo!H196+Muloza!H196+MUST!H196+Phalombe!H196+Mikolongwe!H196+Migowi!H196+Nkando!H196</f>
        <v>0</v>
      </c>
      <c r="I196" s="119">
        <f>Mulanje!I196+Luchenza!I196+Thyolo!I196+Muloza!I196+MUST!I196+Phalombe!I196+Mikolongwe!I196+Migowi!I196+Nkando!I196</f>
        <v>0</v>
      </c>
      <c r="J196" s="119">
        <f>Mulanje!J196+Luchenza!J196+Thyolo!J196+Muloza!J196+MUST!J196+Phalombe!J196+Mikolongwe!J196+Migowi!J196+Nkando!J196</f>
        <v>0</v>
      </c>
      <c r="K196" s="119">
        <f>Mulanje!K196+Luchenza!K196+Thyolo!K196+Muloza!K196+MUST!K196+Phalombe!K196+Mikolongwe!K196+Migowi!K196+Nkando!K196</f>
        <v>0</v>
      </c>
      <c r="L196" s="119">
        <f>Mulanje!L196+Luchenza!L196+Thyolo!L196+Muloza!L196+MUST!L196+Phalombe!L196+Mikolongwe!L196+Migowi!L196+Nkando!L196</f>
        <v>0</v>
      </c>
      <c r="M196" s="119">
        <f>Mulanje!M196+Luchenza!M196+Thyolo!M196+Muloza!M196+MUST!M196+Phalombe!M196+Mikolongwe!M196+Migowi!M196+Nkando!M196</f>
        <v>0</v>
      </c>
      <c r="N196" s="119">
        <f>Mulanje!N196+Luchenza!N196+Thyolo!N196+Muloza!N196+MUST!N196+Phalombe!N196+Mikolongwe!N196+Migowi!N196+Nkando!N196</f>
        <v>0</v>
      </c>
      <c r="O196" s="119">
        <f>Mulanje!O196+Luchenza!O196+Thyolo!O196+Muloza!O196+MUST!O196+Phalombe!O196+Mikolongwe!O196+Migowi!O196+Nkando!O196</f>
        <v>0</v>
      </c>
      <c r="P196" s="34"/>
    </row>
    <row r="197" spans="1:16" x14ac:dyDescent="0.25">
      <c r="A197" s="176" t="s">
        <v>56</v>
      </c>
      <c r="B197" s="177"/>
      <c r="C197" s="14" t="s">
        <v>55</v>
      </c>
      <c r="D197" s="119">
        <f>Mulanje!D197+Luchenza!D197+Thyolo!D197+Muloza!D197+MUST!D197+Phalombe!D197+Mikolongwe!D197+Migowi!D197+Nkando!D197</f>
        <v>244</v>
      </c>
      <c r="E197" s="119">
        <f>Mulanje!E197+Luchenza!E197+Thyolo!E197+Muloza!E197+MUST!E197+Phalombe!E197+Mikolongwe!E197+Migowi!E197+Nkando!E197</f>
        <v>253</v>
      </c>
      <c r="F197" s="119">
        <f>Mulanje!F197+Luchenza!F197+Thyolo!F197+Muloza!F197+MUST!F197+Phalombe!F197+Mikolongwe!F197+Migowi!F197+Nkando!F197</f>
        <v>290</v>
      </c>
      <c r="G197" s="119">
        <f>Mulanje!G197+Luchenza!G197+Thyolo!G197+Muloza!G197+MUST!G197+Phalombe!G197+Mikolongwe!G197+Migowi!G197+Nkando!G197</f>
        <v>0</v>
      </c>
      <c r="H197" s="119">
        <f>Mulanje!H197+Luchenza!H197+Thyolo!H197+Muloza!H197+MUST!H197+Phalombe!H197+Mikolongwe!H197+Migowi!H197+Nkando!H197</f>
        <v>0</v>
      </c>
      <c r="I197" s="119">
        <f>Mulanje!I197+Luchenza!I197+Thyolo!I197+Muloza!I197+MUST!I197+Phalombe!I197+Mikolongwe!I197+Migowi!I197+Nkando!I197</f>
        <v>0</v>
      </c>
      <c r="J197" s="119">
        <f>Mulanje!J197+Luchenza!J197+Thyolo!J197+Muloza!J197+MUST!J197+Phalombe!J197+Mikolongwe!J197+Migowi!J197+Nkando!J197</f>
        <v>0</v>
      </c>
      <c r="K197" s="119">
        <f>Mulanje!K197+Luchenza!K197+Thyolo!K197+Muloza!K197+MUST!K197+Phalombe!K197+Mikolongwe!K197+Migowi!K197+Nkando!K197</f>
        <v>0</v>
      </c>
      <c r="L197" s="119">
        <f>Mulanje!L197+Luchenza!L197+Thyolo!L197+Muloza!L197+MUST!L197+Phalombe!L197+Mikolongwe!L197+Migowi!L197+Nkando!L197</f>
        <v>0</v>
      </c>
      <c r="M197" s="119">
        <f>Mulanje!M197+Luchenza!M197+Thyolo!M197+Muloza!M197+MUST!M197+Phalombe!M197+Mikolongwe!M197+Migowi!M197+Nkando!M197</f>
        <v>0</v>
      </c>
      <c r="N197" s="119">
        <f>Mulanje!N197+Luchenza!N197+Thyolo!N197+Muloza!N197+MUST!N197+Phalombe!N197+Mikolongwe!N197+Migowi!N197+Nkando!N197</f>
        <v>0</v>
      </c>
      <c r="O197" s="119">
        <f>Mulanje!O197+Luchenza!O197+Thyolo!O197+Muloza!O197+MUST!O197+Phalombe!O197+Mikolongwe!O197+Migowi!O197+Nkando!O197</f>
        <v>0</v>
      </c>
      <c r="P197" s="34">
        <f>SUM(D197:O197)</f>
        <v>787</v>
      </c>
    </row>
    <row r="198" spans="1:16" ht="15" x14ac:dyDescent="0.25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4"/>
    </row>
    <row r="199" spans="1:16" x14ac:dyDescent="0.25">
      <c r="A199" s="217" t="s">
        <v>54</v>
      </c>
      <c r="B199" s="69" t="s">
        <v>53</v>
      </c>
      <c r="C199" s="4" t="s">
        <v>47</v>
      </c>
      <c r="D199" s="119">
        <f>Mulanje!D199+Luchenza!D199+Thyolo!D199+Muloza!D199+MUST!D199+Phalombe!D199+Mikolongwe!D199+Migowi!D199+Nkando!D199</f>
        <v>0</v>
      </c>
      <c r="E199" s="119">
        <f>Mulanje!E199+Luchenza!E199+Thyolo!E199+Muloza!E199+MUST!E199+Phalombe!E199+Mikolongwe!E199+Migowi!E199+Nkando!E199</f>
        <v>0</v>
      </c>
      <c r="F199" s="119">
        <f>Mulanje!F199+Luchenza!F199+Thyolo!F199+Muloza!F199+MUST!F199+Phalombe!F199+Mikolongwe!F199+Migowi!F199+Nkando!F199</f>
        <v>0</v>
      </c>
      <c r="G199" s="119">
        <f>Mulanje!G199+Luchenza!G199+Thyolo!G199+Muloza!G199+MUST!G199+Phalombe!G199+Mikolongwe!G199+Migowi!G199+Nkando!G199</f>
        <v>0</v>
      </c>
      <c r="H199" s="119">
        <f>Mulanje!H199+Luchenza!H199+Thyolo!H199+Muloza!H199+MUST!H199+Phalombe!H199+Mikolongwe!H199+Migowi!H199+Nkando!H199</f>
        <v>0</v>
      </c>
      <c r="I199" s="119">
        <f>Mulanje!I199+Luchenza!I199+Thyolo!I199+Muloza!I199+MUST!I199+Phalombe!I199+Mikolongwe!I199+Migowi!I199+Nkando!I199</f>
        <v>0</v>
      </c>
      <c r="J199" s="119">
        <f>Mulanje!J199+Luchenza!J199+Thyolo!J199+Muloza!J199+MUST!J199+Phalombe!J199+Mikolongwe!J199+Migowi!J199+Nkando!J199</f>
        <v>0</v>
      </c>
      <c r="K199" s="119">
        <f>Mulanje!K199+Luchenza!K199+Thyolo!K199+Muloza!K199+MUST!K199+Phalombe!K199+Mikolongwe!K199+Migowi!K199+Nkando!K199</f>
        <v>0</v>
      </c>
      <c r="L199" s="119">
        <f>Mulanje!L199+Luchenza!L199+Thyolo!L199+Muloza!L199+MUST!L199+Phalombe!L199+Mikolongwe!L199+Migowi!L199+Nkando!L199</f>
        <v>0</v>
      </c>
      <c r="M199" s="119">
        <f>Mulanje!M199+Luchenza!M199+Thyolo!M199+Muloza!M199+MUST!M199+Phalombe!M199+Mikolongwe!M199+Migowi!M199+Nkando!M199</f>
        <v>0</v>
      </c>
      <c r="N199" s="119">
        <f>Mulanje!N199+Luchenza!N199+Thyolo!N199+Muloza!N199+MUST!N199+Phalombe!N199+Mikolongwe!N199+Migowi!N199+Nkando!N199</f>
        <v>0</v>
      </c>
      <c r="O199" s="119">
        <f>Mulanje!O199+Luchenza!O199+Thyolo!O199+Muloza!O199+MUST!O199+Phalombe!O199+Mikolongwe!O199+Migowi!O199+Nkando!O199</f>
        <v>0</v>
      </c>
      <c r="P199" s="34">
        <f t="shared" ref="P199:P204" si="64">SUM(D199:O199)</f>
        <v>0</v>
      </c>
    </row>
    <row r="200" spans="1:16" x14ac:dyDescent="0.25">
      <c r="A200" s="221"/>
      <c r="B200" s="69" t="s">
        <v>52</v>
      </c>
      <c r="C200" s="4" t="s">
        <v>47</v>
      </c>
      <c r="D200" s="119">
        <f>Mulanje!D200+Luchenza!D200+Thyolo!D200+Muloza!D200+MUST!D200+Phalombe!D200+Mikolongwe!D200+Migowi!D200+Nkando!D200</f>
        <v>1200</v>
      </c>
      <c r="E200" s="119">
        <f>Mulanje!E200+Luchenza!E200+Thyolo!E200+Muloza!E200+MUST!E200+Phalombe!E200+Mikolongwe!E200+Migowi!E200+Nkando!E200</f>
        <v>2832</v>
      </c>
      <c r="F200" s="119">
        <f>Mulanje!F200+Luchenza!F200+Thyolo!F200+Muloza!F200+MUST!F200+Phalombe!F200+Mikolongwe!F200+Migowi!F200+Nkando!F200</f>
        <v>0</v>
      </c>
      <c r="G200" s="119">
        <f>Mulanje!G200+Luchenza!G200+Thyolo!G200+Muloza!G200+MUST!G200+Phalombe!G200+Mikolongwe!G200+Migowi!G200+Nkando!G200</f>
        <v>0</v>
      </c>
      <c r="H200" s="119">
        <f>Mulanje!H200+Luchenza!H200+Thyolo!H200+Muloza!H200+MUST!H200+Phalombe!H200+Mikolongwe!H200+Migowi!H200+Nkando!H200</f>
        <v>0</v>
      </c>
      <c r="I200" s="119">
        <f>Mulanje!I200+Luchenza!I200+Thyolo!I200+Muloza!I200+MUST!I200+Phalombe!I200+Mikolongwe!I200+Migowi!I200+Nkando!I200</f>
        <v>0</v>
      </c>
      <c r="J200" s="119">
        <f>Mulanje!J200+Luchenza!J200+Thyolo!J200+Muloza!J200+MUST!J200+Phalombe!J200+Mikolongwe!J200+Migowi!J200+Nkando!J200</f>
        <v>0</v>
      </c>
      <c r="K200" s="119">
        <f>Mulanje!K200+Luchenza!K200+Thyolo!K200+Muloza!K200+MUST!K200+Phalombe!K200+Mikolongwe!K200+Migowi!K200+Nkando!K200</f>
        <v>0</v>
      </c>
      <c r="L200" s="119">
        <f>Mulanje!L200+Luchenza!L200+Thyolo!L200+Muloza!L200+MUST!L200+Phalombe!L200+Mikolongwe!L200+Migowi!L200+Nkando!L200</f>
        <v>0</v>
      </c>
      <c r="M200" s="119">
        <f>Mulanje!M200+Luchenza!M200+Thyolo!M200+Muloza!M200+MUST!M200+Phalombe!M200+Mikolongwe!M200+Migowi!M200+Nkando!M200</f>
        <v>0</v>
      </c>
      <c r="N200" s="119">
        <f>Mulanje!N200+Luchenza!N200+Thyolo!N200+Muloza!N200+MUST!N200+Phalombe!N200+Mikolongwe!N200+Migowi!N200+Nkando!N200</f>
        <v>0</v>
      </c>
      <c r="O200" s="119">
        <f>Mulanje!O200+Luchenza!O200+Thyolo!O200+Muloza!O200+MUST!O200+Phalombe!O200+Mikolongwe!O200+Migowi!O200+Nkando!O200</f>
        <v>0</v>
      </c>
      <c r="P200" s="34">
        <f t="shared" si="64"/>
        <v>4032</v>
      </c>
    </row>
    <row r="201" spans="1:16" x14ac:dyDescent="0.25">
      <c r="A201" s="221"/>
      <c r="B201" s="69" t="s">
        <v>51</v>
      </c>
      <c r="C201" s="4" t="s">
        <v>47</v>
      </c>
      <c r="D201" s="119">
        <f>Mulanje!D201+Luchenza!D201+Thyolo!D201+Muloza!D201+MUST!D201+Phalombe!D201+Mikolongwe!D201+Migowi!D201+Nkando!D201</f>
        <v>0</v>
      </c>
      <c r="E201" s="119">
        <f>Mulanje!E201+Luchenza!E201+Thyolo!E201+Muloza!E201+MUST!E201+Phalombe!E201+Mikolongwe!E201+Migowi!E201+Nkando!E201</f>
        <v>0</v>
      </c>
      <c r="F201" s="119">
        <f>Mulanje!F201+Luchenza!F201+Thyolo!F201+Muloza!F201+MUST!F201+Phalombe!F201+Mikolongwe!F201+Migowi!F201+Nkando!F201</f>
        <v>0</v>
      </c>
      <c r="G201" s="119">
        <f>Mulanje!G201+Luchenza!G201+Thyolo!G201+Muloza!G201+MUST!G201+Phalombe!G201+Mikolongwe!G201+Migowi!G201+Nkando!G201</f>
        <v>0</v>
      </c>
      <c r="H201" s="119">
        <f>Mulanje!H201+Luchenza!H201+Thyolo!H201+Muloza!H201+MUST!H201+Phalombe!H201+Mikolongwe!H201+Migowi!H201+Nkando!H201</f>
        <v>0</v>
      </c>
      <c r="I201" s="119">
        <f>Mulanje!I201+Luchenza!I201+Thyolo!I201+Muloza!I201+MUST!I201+Phalombe!I201+Mikolongwe!I201+Migowi!I201+Nkando!I201</f>
        <v>0</v>
      </c>
      <c r="J201" s="119">
        <f>Mulanje!J201+Luchenza!J201+Thyolo!J201+Muloza!J201+MUST!J201+Phalombe!J201+Mikolongwe!J201+Migowi!J201+Nkando!J201</f>
        <v>0</v>
      </c>
      <c r="K201" s="119">
        <f>Mulanje!K201+Luchenza!K201+Thyolo!K201+Muloza!K201+MUST!K201+Phalombe!K201+Mikolongwe!K201+Migowi!K201+Nkando!K201</f>
        <v>0</v>
      </c>
      <c r="L201" s="119">
        <f>Mulanje!L201+Luchenza!L201+Thyolo!L201+Muloza!L201+MUST!L201+Phalombe!L201+Mikolongwe!L201+Migowi!L201+Nkando!L201</f>
        <v>0</v>
      </c>
      <c r="M201" s="119">
        <f>Mulanje!M201+Luchenza!M201+Thyolo!M201+Muloza!M201+MUST!M201+Phalombe!M201+Mikolongwe!M201+Migowi!M201+Nkando!M201</f>
        <v>0</v>
      </c>
      <c r="N201" s="119">
        <f>Mulanje!N201+Luchenza!N201+Thyolo!N201+Muloza!N201+MUST!N201+Phalombe!N201+Mikolongwe!N201+Migowi!N201+Nkando!N201</f>
        <v>0</v>
      </c>
      <c r="O201" s="119">
        <f>Mulanje!O201+Luchenza!O201+Thyolo!O201+Muloza!O201+MUST!O201+Phalombe!O201+Mikolongwe!O201+Migowi!O201+Nkando!O201</f>
        <v>0</v>
      </c>
      <c r="P201" s="34">
        <f t="shared" si="64"/>
        <v>0</v>
      </c>
    </row>
    <row r="202" spans="1:16" x14ac:dyDescent="0.25">
      <c r="A202" s="221"/>
      <c r="B202" s="69" t="s">
        <v>50</v>
      </c>
      <c r="C202" s="4" t="s">
        <v>47</v>
      </c>
      <c r="D202" s="119">
        <f>Mulanje!D202+Luchenza!D202+Thyolo!D202+Muloza!D202+MUST!D202+Phalombe!D202+Mikolongwe!D202+Migowi!D202+Nkando!D202</f>
        <v>0</v>
      </c>
      <c r="E202" s="119">
        <f>Mulanje!E202+Luchenza!E202+Thyolo!E202+Muloza!E202+MUST!E202+Phalombe!E202+Mikolongwe!E202+Migowi!E202+Nkando!E202</f>
        <v>1000</v>
      </c>
      <c r="F202" s="119">
        <f>Mulanje!F202+Luchenza!F202+Thyolo!F202+Muloza!F202+MUST!F202+Phalombe!F202+Mikolongwe!F202+Migowi!F202+Nkando!F202</f>
        <v>0</v>
      </c>
      <c r="G202" s="119">
        <f>Mulanje!G202+Luchenza!G202+Thyolo!G202+Muloza!G202+MUST!G202+Phalombe!G202+Mikolongwe!G202+Migowi!G202+Nkando!G202</f>
        <v>0</v>
      </c>
      <c r="H202" s="119">
        <f>Mulanje!H202+Luchenza!H202+Thyolo!H202+Muloza!H202+MUST!H202+Phalombe!H202+Mikolongwe!H202+Migowi!H202+Nkando!H202</f>
        <v>0</v>
      </c>
      <c r="I202" s="119">
        <f>Mulanje!I202+Luchenza!I202+Thyolo!I202+Muloza!I202+MUST!I202+Phalombe!I202+Mikolongwe!I202+Migowi!I202+Nkando!I202</f>
        <v>0</v>
      </c>
      <c r="J202" s="119">
        <f>Mulanje!J202+Luchenza!J202+Thyolo!J202+Muloza!J202+MUST!J202+Phalombe!J202+Mikolongwe!J202+Migowi!J202+Nkando!J202</f>
        <v>0</v>
      </c>
      <c r="K202" s="119">
        <f>Mulanje!K202+Luchenza!K202+Thyolo!K202+Muloza!K202+MUST!K202+Phalombe!K202+Mikolongwe!K202+Migowi!K202+Nkando!K202</f>
        <v>0</v>
      </c>
      <c r="L202" s="119">
        <f>Mulanje!L202+Luchenza!L202+Thyolo!L202+Muloza!L202+MUST!L202+Phalombe!L202+Mikolongwe!L202+Migowi!L202+Nkando!L202</f>
        <v>0</v>
      </c>
      <c r="M202" s="119">
        <f>Mulanje!M202+Luchenza!M202+Thyolo!M202+Muloza!M202+MUST!M202+Phalombe!M202+Mikolongwe!M202+Migowi!M202+Nkando!M202</f>
        <v>0</v>
      </c>
      <c r="N202" s="119">
        <f>Mulanje!N202+Luchenza!N202+Thyolo!N202+Muloza!N202+MUST!N202+Phalombe!N202+Mikolongwe!N202+Migowi!N202+Nkando!N202</f>
        <v>0</v>
      </c>
      <c r="O202" s="119">
        <f>Mulanje!O202+Luchenza!O202+Thyolo!O202+Muloza!O202+MUST!O202+Phalombe!O202+Mikolongwe!O202+Migowi!O202+Nkando!O202</f>
        <v>0</v>
      </c>
      <c r="P202" s="34">
        <f t="shared" si="64"/>
        <v>1000</v>
      </c>
    </row>
    <row r="203" spans="1:16" x14ac:dyDescent="0.25">
      <c r="A203" s="219"/>
      <c r="B203" s="69" t="s">
        <v>49</v>
      </c>
      <c r="C203" s="4" t="s">
        <v>47</v>
      </c>
      <c r="D203" s="119">
        <f>Mulanje!D203+Luchenza!D203+Thyolo!D203+Muloza!D203+MUST!D203+Phalombe!D203+Mikolongwe!D203+Migowi!D203+Nkando!D203</f>
        <v>0</v>
      </c>
      <c r="E203" s="119">
        <f>Mulanje!E203+Luchenza!E203+Thyolo!E203+Muloza!E203+MUST!E203+Phalombe!E203+Mikolongwe!E203+Migowi!E203+Nkando!E203</f>
        <v>0</v>
      </c>
      <c r="F203" s="119">
        <f>Mulanje!F203+Luchenza!F203+Thyolo!F203+Muloza!F203+MUST!F203+Phalombe!F203+Mikolongwe!F203+Migowi!F203+Nkando!F203</f>
        <v>0</v>
      </c>
      <c r="G203" s="119">
        <f>Mulanje!G203+Luchenza!G203+Thyolo!G203+Muloza!G203+MUST!G203+Phalombe!G203+Mikolongwe!G203+Migowi!G203+Nkando!G203</f>
        <v>0</v>
      </c>
      <c r="H203" s="119">
        <f>Mulanje!H203+Luchenza!H203+Thyolo!H203+Muloza!H203+MUST!H203+Phalombe!H203+Mikolongwe!H203+Migowi!H203+Nkando!H203</f>
        <v>0</v>
      </c>
      <c r="I203" s="119">
        <f>Mulanje!I203+Luchenza!I203+Thyolo!I203+Muloza!I203+MUST!I203+Phalombe!I203+Mikolongwe!I203+Migowi!I203+Nkando!I203</f>
        <v>0</v>
      </c>
      <c r="J203" s="119">
        <f>Mulanje!J203+Luchenza!J203+Thyolo!J203+Muloza!J203+MUST!J203+Phalombe!J203+Mikolongwe!J203+Migowi!J203+Nkando!J203</f>
        <v>0</v>
      </c>
      <c r="K203" s="119">
        <f>Mulanje!K203+Luchenza!K203+Thyolo!K203+Muloza!K203+MUST!K203+Phalombe!K203+Mikolongwe!K203+Migowi!K203+Nkando!K203</f>
        <v>0</v>
      </c>
      <c r="L203" s="119">
        <f>Mulanje!L203+Luchenza!L203+Thyolo!L203+Muloza!L203+MUST!L203+Phalombe!L203+Mikolongwe!L203+Migowi!L203+Nkando!L203</f>
        <v>0</v>
      </c>
      <c r="M203" s="119">
        <f>Mulanje!M203+Luchenza!M203+Thyolo!M203+Muloza!M203+MUST!M203+Phalombe!M203+Mikolongwe!M203+Migowi!M203+Nkando!M203</f>
        <v>0</v>
      </c>
      <c r="N203" s="119">
        <f>Mulanje!N203+Luchenza!N203+Thyolo!N203+Muloza!N203+MUST!N203+Phalombe!N203+Mikolongwe!N203+Migowi!N203+Nkando!N203</f>
        <v>0</v>
      </c>
      <c r="O203" s="119">
        <f>Mulanje!O203+Luchenza!O203+Thyolo!O203+Muloza!O203+MUST!O203+Phalombe!O203+Mikolongwe!O203+Migowi!O203+Nkando!O203</f>
        <v>0</v>
      </c>
      <c r="P203" s="34">
        <f t="shared" si="64"/>
        <v>0</v>
      </c>
    </row>
    <row r="204" spans="1:16" x14ac:dyDescent="0.25">
      <c r="A204" s="73" t="s">
        <v>48</v>
      </c>
      <c r="B204" s="69"/>
      <c r="C204" s="4" t="s">
        <v>47</v>
      </c>
      <c r="D204" s="13">
        <f t="shared" ref="D204:H204" si="65">SUM(D199:D203)</f>
        <v>1200</v>
      </c>
      <c r="E204" s="13">
        <f>SUM(E199:E203)</f>
        <v>3832</v>
      </c>
      <c r="F204" s="13">
        <f>SUM(F199:F203)</f>
        <v>0</v>
      </c>
      <c r="G204" s="9">
        <f t="shared" si="65"/>
        <v>0</v>
      </c>
      <c r="H204" s="9">
        <f t="shared" si="65"/>
        <v>0</v>
      </c>
      <c r="I204" s="9">
        <f t="shared" ref="I204:O204" si="66">SUM(I199:I203)</f>
        <v>0</v>
      </c>
      <c r="J204" s="9">
        <f t="shared" si="66"/>
        <v>0</v>
      </c>
      <c r="K204" s="9">
        <f t="shared" si="66"/>
        <v>0</v>
      </c>
      <c r="L204" s="9">
        <f t="shared" si="66"/>
        <v>0</v>
      </c>
      <c r="M204" s="9">
        <f t="shared" si="66"/>
        <v>0</v>
      </c>
      <c r="N204" s="9">
        <f t="shared" si="66"/>
        <v>0</v>
      </c>
      <c r="O204" s="9">
        <f t="shared" si="66"/>
        <v>0</v>
      </c>
      <c r="P204" s="100">
        <f t="shared" si="64"/>
        <v>5032</v>
      </c>
    </row>
    <row r="205" spans="1:16" ht="15" x14ac:dyDescent="0.25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4"/>
    </row>
    <row r="206" spans="1:16" x14ac:dyDescent="0.25">
      <c r="A206" s="176" t="s">
        <v>43</v>
      </c>
      <c r="B206" s="177"/>
      <c r="C206" s="4" t="s">
        <v>31</v>
      </c>
      <c r="D206" s="13">
        <f>Mulanje!D206+Luchenza!D206+Thyolo!D206+Muloza!D206+MUST!D206+Phalombe!D206+Mikolongwe!D206+Migowi!D206+Nkando!D206</f>
        <v>30494765</v>
      </c>
      <c r="E206" s="13">
        <f>Mulanje!E206+Luchenza!E206+Thyolo!E206+Muloza!E206+MUST!E206+Phalombe!E206+Mikolongwe!E206+Migowi!E206+Nkando!E206</f>
        <v>39346896.509999998</v>
      </c>
      <c r="F206" s="13">
        <f>Mulanje!F206+Luchenza!F206+Thyolo!F206+Muloza!F206+MUST!F206+Phalombe!F206+Mikolongwe!F206+Migowi!F206+Nkando!F206</f>
        <v>27693462.189999998</v>
      </c>
      <c r="G206" s="13">
        <f>Mulanje!G206+Luchenza!G206+Thyolo!G206+Muloza!G206+MUST!G206+Phalombe!G206+Mikolongwe!G206+Migowi!G206+Nkando!G206</f>
        <v>0</v>
      </c>
      <c r="H206" s="13">
        <f>Mulanje!H206+Luchenza!H206+Thyolo!H206+Muloza!H206+MUST!H206+Phalombe!H206+Mikolongwe!H206+Migowi!H206+Nkando!H206</f>
        <v>0</v>
      </c>
      <c r="I206" s="13">
        <f>Mulanje!I206+Luchenza!I206+Thyolo!I206+Muloza!I206+MUST!I206+Phalombe!I206+Mikolongwe!I206+Migowi!I206+Nkando!I206</f>
        <v>0</v>
      </c>
      <c r="J206" s="13">
        <f>Mulanje!J206+Luchenza!J206+Thyolo!J206+Muloza!J206+MUST!J206+Phalombe!J206+Mikolongwe!J206+Migowi!J206+Nkando!J206</f>
        <v>0</v>
      </c>
      <c r="K206" s="13">
        <f>Mulanje!K206+Luchenza!K206+Thyolo!K206+Muloza!K206+MUST!K206+Phalombe!K206+Mikolongwe!K206+Migowi!K206+Nkando!K206</f>
        <v>0</v>
      </c>
      <c r="L206" s="13">
        <f>Mulanje!L206+Luchenza!L206+Thyolo!L206+Muloza!L206+MUST!L206+Phalombe!L206+Mikolongwe!L206+Migowi!L206+Nkando!L206</f>
        <v>0</v>
      </c>
      <c r="M206" s="13">
        <f>Mulanje!M206+Luchenza!M206+Thyolo!M206+Muloza!M206+MUST!M206+Phalombe!M206+Mikolongwe!M206+Migowi!M206+Nkando!M206</f>
        <v>0</v>
      </c>
      <c r="N206" s="13">
        <f>Mulanje!N206+Luchenza!N206+Thyolo!N206+Muloza!N206+MUST!N206+Phalombe!N206+Mikolongwe!N206+Migowi!N206+Nkando!N206</f>
        <v>0</v>
      </c>
      <c r="O206" s="13">
        <f>Mulanje!O206+Luchenza!O206+Thyolo!O206+Muloza!O206+MUST!O206+Phalombe!O206+Mikolongwe!O206+Migowi!O206+Nkando!O206</f>
        <v>0</v>
      </c>
      <c r="P206" s="35">
        <f>SUM(D206:O206)</f>
        <v>97535123.699999988</v>
      </c>
    </row>
    <row r="207" spans="1:16" x14ac:dyDescent="0.25">
      <c r="A207" s="176" t="s">
        <v>42</v>
      </c>
      <c r="B207" s="177"/>
      <c r="C207" s="4" t="s">
        <v>31</v>
      </c>
      <c r="D207" s="13">
        <f>Mulanje!D207+Luchenza!D207+Thyolo!D207+Muloza!D207+MUST!D207+Phalombe!D207+Mikolongwe!D207+Migowi!D207+Nkando!D207</f>
        <v>122100</v>
      </c>
      <c r="E207" s="13">
        <f>Mulanje!E207+Luchenza!E207+Thyolo!E207+Muloza!E207+MUST!E207+Phalombe!E207+Mikolongwe!E207+Migowi!E207+Nkando!E207</f>
        <v>233900</v>
      </c>
      <c r="F207" s="13">
        <f>Mulanje!F207+Luchenza!F207+Thyolo!F207+Muloza!F207+MUST!F207+Phalombe!F207+Mikolongwe!F207+Migowi!F207+Nkando!F207</f>
        <v>196900</v>
      </c>
      <c r="G207" s="13">
        <f>Mulanje!G207+Luchenza!G207+Thyolo!G207+Muloza!G207+MUST!G207+Phalombe!G207+Mikolongwe!G207+Migowi!G207+Nkando!G207</f>
        <v>0</v>
      </c>
      <c r="H207" s="13">
        <f>Mulanje!H207+Luchenza!H207+Thyolo!H207+Muloza!H207+MUST!H207+Phalombe!H207+Mikolongwe!H207+Migowi!H207+Nkando!H207</f>
        <v>0</v>
      </c>
      <c r="I207" s="13">
        <f>Mulanje!I207+Luchenza!I207+Thyolo!I207+Muloza!I207+MUST!I207+Phalombe!I207+Mikolongwe!I207+Migowi!I207+Nkando!I207</f>
        <v>0</v>
      </c>
      <c r="J207" s="13">
        <f>Mulanje!J207+Luchenza!J207+Thyolo!J207+Muloza!J207+MUST!J207+Phalombe!J207+Mikolongwe!J207+Migowi!J207+Nkando!J207</f>
        <v>0</v>
      </c>
      <c r="K207" s="13">
        <f>Mulanje!K207+Luchenza!K207+Thyolo!K207+Muloza!K207+MUST!K207+Phalombe!K207+Mikolongwe!K207+Migowi!K207+Nkando!K207</f>
        <v>0</v>
      </c>
      <c r="L207" s="13">
        <f>Mulanje!L207+Luchenza!L207+Thyolo!L207+Muloza!L207+MUST!L207+Phalombe!L207+Mikolongwe!L207+Migowi!L207+Nkando!L207</f>
        <v>0</v>
      </c>
      <c r="M207" s="13">
        <f>Mulanje!M207+Luchenza!M207+Thyolo!M207+Muloza!M207+MUST!M207+Phalombe!M207+Mikolongwe!M207+Migowi!M207+Nkando!M207</f>
        <v>0</v>
      </c>
      <c r="N207" s="13">
        <f>Mulanje!N207+Luchenza!N207+Thyolo!N207+Muloza!N207+MUST!N207+Phalombe!N207+Mikolongwe!N207+Migowi!N207+Nkando!N207</f>
        <v>0</v>
      </c>
      <c r="O207" s="13">
        <f>Mulanje!O207+Luchenza!O207+Thyolo!O207+Muloza!O207+MUST!O207+Phalombe!O207+Mikolongwe!O207+Migowi!O207+Nkando!O207</f>
        <v>0</v>
      </c>
      <c r="P207" s="35">
        <f>SUM(D207:O207)</f>
        <v>552900</v>
      </c>
    </row>
    <row r="208" spans="1:16" x14ac:dyDescent="0.25">
      <c r="A208" s="182" t="s">
        <v>41</v>
      </c>
      <c r="B208" s="183"/>
      <c r="C208" s="4" t="s">
        <v>31</v>
      </c>
      <c r="D208" s="13">
        <f>Mulanje!D208+Luchenza!D208+Thyolo!D208+Muloza!D208+MUST!D208+Phalombe!D208+Mikolongwe!D208+Migowi!D208+Nkando!D208</f>
        <v>435506</v>
      </c>
      <c r="E208" s="13">
        <f>Mulanje!E208+Luchenza!E208+Thyolo!E208+Muloza!E208+MUST!E208+Phalombe!E208+Mikolongwe!E208+Migowi!E208+Nkando!E208</f>
        <v>786650</v>
      </c>
      <c r="F208" s="13">
        <f>Mulanje!F208+Luchenza!F208+Thyolo!F208+Muloza!F208+MUST!F208+Phalombe!F208+Mikolongwe!F208+Migowi!F208+Nkando!F208</f>
        <v>140900</v>
      </c>
      <c r="G208" s="13">
        <f>Mulanje!G208+Luchenza!G208+Thyolo!G208+Muloza!G208+MUST!G208+Phalombe!G208+Mikolongwe!G208+Migowi!G208+Nkando!G208</f>
        <v>0</v>
      </c>
      <c r="H208" s="13">
        <f>Mulanje!H208+Luchenza!H208+Thyolo!H208+Muloza!H208+MUST!H208+Phalombe!H208+Mikolongwe!H208+Migowi!H208+Nkando!H208</f>
        <v>0</v>
      </c>
      <c r="I208" s="13">
        <f>Mulanje!I208+Luchenza!I208+Thyolo!I208+Muloza!I208+MUST!I208+Phalombe!I208+Mikolongwe!I208+Migowi!I208+Nkando!I208</f>
        <v>0</v>
      </c>
      <c r="J208" s="13">
        <f>Mulanje!J208+Luchenza!J208+Thyolo!J208+Muloza!J208+MUST!J208+Phalombe!J208+Mikolongwe!J208+Migowi!J208+Nkando!J208</f>
        <v>0</v>
      </c>
      <c r="K208" s="13">
        <f>Mulanje!K208+Luchenza!K208+Thyolo!K208+Muloza!K208+MUST!K208+Phalombe!K208+Mikolongwe!K208+Migowi!K208+Nkando!K208</f>
        <v>0</v>
      </c>
      <c r="L208" s="13">
        <f>Mulanje!L208+Luchenza!L208+Thyolo!L208+Muloza!L208+MUST!L208+Phalombe!L208+Mikolongwe!L208+Migowi!L208+Nkando!L208</f>
        <v>0</v>
      </c>
      <c r="M208" s="13">
        <f>Mulanje!M208+Luchenza!M208+Thyolo!M208+Muloza!M208+MUST!M208+Phalombe!M208+Mikolongwe!M208+Migowi!M208+Nkando!M208</f>
        <v>0</v>
      </c>
      <c r="N208" s="13">
        <f>Mulanje!N208+Luchenza!N208+Thyolo!N208+Muloza!N208+MUST!N208+Phalombe!N208+Mikolongwe!N208+Migowi!N208+Nkando!N208</f>
        <v>0</v>
      </c>
      <c r="O208" s="13">
        <f>Mulanje!O208+Luchenza!O208+Thyolo!O208+Muloza!O208+MUST!O208+Phalombe!O208+Mikolongwe!O208+Migowi!O208+Nkando!O208</f>
        <v>0</v>
      </c>
      <c r="P208" s="35">
        <f>SUM(D208:O208)</f>
        <v>1363056</v>
      </c>
    </row>
    <row r="209" spans="1:16" x14ac:dyDescent="0.25">
      <c r="A209" s="176" t="s">
        <v>40</v>
      </c>
      <c r="B209" s="177"/>
      <c r="C209" s="4" t="s">
        <v>31</v>
      </c>
      <c r="D209" s="13">
        <f>Mulanje!D209+Luchenza!D209+Thyolo!D209+Muloza!D209+MUST!D209+Phalombe!D209+Mikolongwe!D209+Migowi!D209+Nkando!D209</f>
        <v>160100</v>
      </c>
      <c r="E209" s="13">
        <f>Mulanje!E209+Luchenza!E209+Thyolo!E209+Muloza!E209+MUST!E209+Phalombe!E209+Mikolongwe!E209+Migowi!E209+Nkando!E209</f>
        <v>468100</v>
      </c>
      <c r="F209" s="13">
        <f>Mulanje!F209+Luchenza!F209+Thyolo!F209+Muloza!F209+MUST!F209+Phalombe!F209+Mikolongwe!F209+Migowi!F209+Nkando!F209</f>
        <v>30000</v>
      </c>
      <c r="G209" s="13">
        <f>Mulanje!G209+Luchenza!G209+Thyolo!G209+Muloza!G209+MUST!G209+Phalombe!G209+Mikolongwe!G209+Migowi!G209+Nkando!G209</f>
        <v>0</v>
      </c>
      <c r="H209" s="13">
        <f>Mulanje!H209+Luchenza!H209+Thyolo!H209+Muloza!H209+MUST!H209+Phalombe!H209+Mikolongwe!H209+Migowi!H209+Nkando!H209</f>
        <v>0</v>
      </c>
      <c r="I209" s="13">
        <f>Mulanje!I209+Luchenza!I209+Thyolo!I209+Muloza!I209+MUST!I209+Phalombe!I209+Mikolongwe!I209+Migowi!I209+Nkando!I209</f>
        <v>0</v>
      </c>
      <c r="J209" s="13">
        <f>Mulanje!J209+Luchenza!J209+Thyolo!J209+Muloza!J209+MUST!J209+Phalombe!J209+Mikolongwe!J209+Migowi!J209+Nkando!J209</f>
        <v>0</v>
      </c>
      <c r="K209" s="13">
        <f>Mulanje!K209+Luchenza!K209+Thyolo!K209+Muloza!K209+MUST!K209+Phalombe!K209+Mikolongwe!K209+Migowi!K209+Nkando!K209</f>
        <v>0</v>
      </c>
      <c r="L209" s="13">
        <f>Mulanje!L209+Luchenza!L209+Thyolo!L209+Muloza!L209+MUST!L209+Phalombe!L209+Mikolongwe!L209+Migowi!L209+Nkando!L209</f>
        <v>0</v>
      </c>
      <c r="M209" s="13">
        <f>Mulanje!M209+Luchenza!M209+Thyolo!M209+Muloza!M209+MUST!M209+Phalombe!M209+Mikolongwe!M209+Migowi!M209+Nkando!M209</f>
        <v>0</v>
      </c>
      <c r="N209" s="13">
        <f>Mulanje!N209+Luchenza!N209+Thyolo!N209+Muloza!N209+MUST!N209+Phalombe!N209+Mikolongwe!N209+Migowi!N209+Nkando!N209</f>
        <v>0</v>
      </c>
      <c r="O209" s="13">
        <f>Mulanje!O209+Luchenza!O209+Thyolo!O209+Muloza!O209+MUST!O209+Phalombe!O209+Mikolongwe!O209+Migowi!O209+Nkando!O209</f>
        <v>0</v>
      </c>
      <c r="P209" s="35">
        <f>SUM(D209:O209)</f>
        <v>658200</v>
      </c>
    </row>
    <row r="210" spans="1:16" x14ac:dyDescent="0.25">
      <c r="A210" s="225" t="s">
        <v>45</v>
      </c>
      <c r="B210" s="226"/>
      <c r="C210" s="4" t="s">
        <v>31</v>
      </c>
      <c r="D210" s="9">
        <f t="shared" ref="D210:O210" si="67">SUM(D206:D209)</f>
        <v>31212471</v>
      </c>
      <c r="E210" s="9">
        <f t="shared" si="67"/>
        <v>40835546.509999998</v>
      </c>
      <c r="F210" s="9">
        <f t="shared" si="67"/>
        <v>28061262.189999998</v>
      </c>
      <c r="G210" s="9">
        <f t="shared" si="67"/>
        <v>0</v>
      </c>
      <c r="H210" s="9">
        <f t="shared" si="67"/>
        <v>0</v>
      </c>
      <c r="I210" s="9">
        <f t="shared" si="67"/>
        <v>0</v>
      </c>
      <c r="J210" s="9">
        <f t="shared" si="67"/>
        <v>0</v>
      </c>
      <c r="K210" s="9">
        <f t="shared" si="67"/>
        <v>0</v>
      </c>
      <c r="L210" s="9">
        <f t="shared" si="67"/>
        <v>0</v>
      </c>
      <c r="M210" s="9">
        <f t="shared" si="67"/>
        <v>0</v>
      </c>
      <c r="N210" s="9">
        <f t="shared" si="67"/>
        <v>0</v>
      </c>
      <c r="O210" s="9">
        <f t="shared" si="67"/>
        <v>0</v>
      </c>
      <c r="P210" s="35">
        <f>SUM(D210:O210)</f>
        <v>100109279.69999999</v>
      </c>
    </row>
    <row r="211" spans="1:16" ht="15" x14ac:dyDescent="0.25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4"/>
    </row>
    <row r="212" spans="1:16" x14ac:dyDescent="0.25">
      <c r="A212" s="176" t="s">
        <v>43</v>
      </c>
      <c r="B212" s="177"/>
      <c r="C212" s="4" t="s">
        <v>31</v>
      </c>
      <c r="D212" s="13">
        <f>Mulanje!D212+Luchenza!D212+Thyolo!D212+Muloza!D212+MUST!D212+Phalombe!D212+Mikolongwe!D212+Migowi!D212+Nkando!D212</f>
        <v>36533506.149999999</v>
      </c>
      <c r="E212" s="13">
        <f>Mulanje!E212+Luchenza!E212+Thyolo!E212+Muloza!E212+MUST!E212+Phalombe!E212+Mikolongwe!E212+Migowi!E212+Nkando!E212</f>
        <v>39101290.379999995</v>
      </c>
      <c r="F212" s="13">
        <f>Mulanje!F212+Luchenza!F212+Thyolo!F212+Muloza!F212+MUST!F212+Phalombe!F212+Mikolongwe!F212+Migowi!F212+Nkando!F212</f>
        <v>37736406.199999996</v>
      </c>
      <c r="G212" s="13">
        <f>Mulanje!G212+Luchenza!G212+Thyolo!G212+Muloza!G212+MUST!G212+Phalombe!G212+Mikolongwe!G212+Migowi!G212+Nkando!G212</f>
        <v>0</v>
      </c>
      <c r="H212" s="13">
        <f>Mulanje!H212+Luchenza!H212+Thyolo!H212+Muloza!H212+MUST!H212+Phalombe!H212+Mikolongwe!H212+Migowi!H212+Nkando!H212</f>
        <v>0</v>
      </c>
      <c r="I212" s="13">
        <f>Mulanje!I212+Luchenza!I212+Thyolo!I212+Muloza!I212+MUST!I212+Phalombe!I212+Mikolongwe!I212+Migowi!I212+Nkando!I212</f>
        <v>0</v>
      </c>
      <c r="J212" s="13">
        <f>Mulanje!J212+Luchenza!J212+Thyolo!J212+Muloza!J212+MUST!J212+Phalombe!J212+Mikolongwe!J212+Migowi!J212+Nkando!J212</f>
        <v>0</v>
      </c>
      <c r="K212" s="13">
        <f>Mulanje!K212+Luchenza!K212+Thyolo!K212+Muloza!K212+MUST!K212+Phalombe!K212+Mikolongwe!K212+Migowi!K212+Nkando!K212</f>
        <v>0</v>
      </c>
      <c r="L212" s="13">
        <f>Mulanje!L212+Luchenza!L212+Thyolo!L212+Muloza!L212+MUST!L212+Phalombe!L212+Mikolongwe!L212+Migowi!L212+Nkando!L212</f>
        <v>0</v>
      </c>
      <c r="M212" s="13">
        <f>Mulanje!M212+Luchenza!M212+Thyolo!M212+Muloza!M212+MUST!M212+Phalombe!M212+Mikolongwe!M212+Migowi!M212+Nkando!M212</f>
        <v>0</v>
      </c>
      <c r="N212" s="13">
        <f>Mulanje!N212+Luchenza!N212+Thyolo!N212+Muloza!N212+MUST!N212+Phalombe!N212+Mikolongwe!N212+Migowi!N212+Nkando!N212</f>
        <v>0</v>
      </c>
      <c r="O212" s="13">
        <f>Mulanje!O212+Luchenza!O212+Thyolo!O212+Muloza!O212+MUST!O212+Phalombe!O212+Mikolongwe!O212+Migowi!O212+Nkando!O212</f>
        <v>0</v>
      </c>
      <c r="P212" s="35">
        <f>SUM(D212:O212)</f>
        <v>113371202.72999999</v>
      </c>
    </row>
    <row r="213" spans="1:16" x14ac:dyDescent="0.25">
      <c r="A213" s="176" t="s">
        <v>42</v>
      </c>
      <c r="B213" s="177"/>
      <c r="C213" s="4" t="s">
        <v>31</v>
      </c>
      <c r="D213" s="13">
        <f>Mulanje!D213+Luchenza!D213+Thyolo!D213+Muloza!D213+MUST!D213+Phalombe!D213+Mikolongwe!D213+Migowi!D213+Nkando!D213</f>
        <v>59150</v>
      </c>
      <c r="E213" s="13">
        <f>Mulanje!E213+Luchenza!E213+Thyolo!E213+Muloza!E213+MUST!E213+Phalombe!E213+Mikolongwe!E213+Migowi!E213+Nkando!E213</f>
        <v>75600</v>
      </c>
      <c r="F213" s="13">
        <f>Mulanje!F213+Luchenza!F213+Thyolo!F213+Muloza!F213+MUST!F213+Phalombe!F213+Mikolongwe!F213+Migowi!F213+Nkando!F213</f>
        <v>62500</v>
      </c>
      <c r="G213" s="13">
        <f>Mulanje!G213+Luchenza!G213+Thyolo!G213+Muloza!G213+MUST!G213+Phalombe!G213+Mikolongwe!G213+Migowi!G213+Nkando!G213</f>
        <v>0</v>
      </c>
      <c r="H213" s="13">
        <f>Mulanje!H213+Luchenza!H213+Thyolo!H213+Muloza!H213+MUST!H213+Phalombe!H213+Mikolongwe!H213+Migowi!H213+Nkando!H213</f>
        <v>0</v>
      </c>
      <c r="I213" s="13">
        <f>Mulanje!I213+Luchenza!I213+Thyolo!I213+Muloza!I213+MUST!I213+Phalombe!I213+Mikolongwe!I213+Migowi!I213+Nkando!I213</f>
        <v>0</v>
      </c>
      <c r="J213" s="13">
        <f>Mulanje!J213+Luchenza!J213+Thyolo!J213+Muloza!J213+MUST!J213+Phalombe!J213+Mikolongwe!J213+Migowi!J213+Nkando!J213</f>
        <v>0</v>
      </c>
      <c r="K213" s="13">
        <f>Mulanje!K213+Luchenza!K213+Thyolo!K213+Muloza!K213+MUST!K213+Phalombe!K213+Mikolongwe!K213+Migowi!K213+Nkando!K213</f>
        <v>0</v>
      </c>
      <c r="L213" s="13">
        <f>Mulanje!L213+Luchenza!L213+Thyolo!L213+Muloza!L213+MUST!L213+Phalombe!L213+Mikolongwe!L213+Migowi!L213+Nkando!L213</f>
        <v>0</v>
      </c>
      <c r="M213" s="13">
        <f>Mulanje!M213+Luchenza!M213+Thyolo!M213+Muloza!M213+MUST!M213+Phalombe!M213+Mikolongwe!M213+Migowi!M213+Nkando!M213</f>
        <v>0</v>
      </c>
      <c r="N213" s="13">
        <f>Mulanje!N213+Luchenza!N213+Thyolo!N213+Muloza!N213+MUST!N213+Phalombe!N213+Mikolongwe!N213+Migowi!N213+Nkando!N213</f>
        <v>0</v>
      </c>
      <c r="O213" s="13">
        <f>Mulanje!O213+Luchenza!O213+Thyolo!O213+Muloza!O213+MUST!O213+Phalombe!O213+Mikolongwe!O213+Migowi!O213+Nkando!O213</f>
        <v>0</v>
      </c>
      <c r="P213" s="35">
        <f>SUM(D213:O213)</f>
        <v>197250</v>
      </c>
    </row>
    <row r="214" spans="1:16" x14ac:dyDescent="0.25">
      <c r="A214" s="182" t="s">
        <v>41</v>
      </c>
      <c r="B214" s="183"/>
      <c r="C214" s="4" t="s">
        <v>31</v>
      </c>
      <c r="D214" s="13">
        <f>Mulanje!D214+Luchenza!D214+Thyolo!D214+Muloza!D214+MUST!D214+Phalombe!D214+Mikolongwe!D214+Migowi!D214+Nkando!D214</f>
        <v>11280900</v>
      </c>
      <c r="E214" s="13">
        <f>Mulanje!E214+Luchenza!E214+Thyolo!E214+Muloza!E214+MUST!E214+Phalombe!E214+Mikolongwe!E214+Migowi!E214+Nkando!E214</f>
        <v>16827158</v>
      </c>
      <c r="F214" s="13">
        <f>Mulanje!F214+Luchenza!F214+Thyolo!F214+Muloza!F214+MUST!F214+Phalombe!F214+Mikolongwe!F214+Migowi!F214+Nkando!F214</f>
        <v>9118616.0899999999</v>
      </c>
      <c r="G214" s="13">
        <f>Mulanje!G214+Luchenza!G214+Thyolo!G214+Muloza!G214+MUST!G214+Phalombe!G214+Mikolongwe!G214+Migowi!G214+Nkando!G214</f>
        <v>0</v>
      </c>
      <c r="H214" s="13">
        <f>Mulanje!H214+Luchenza!H214+Thyolo!H214+Muloza!H214+MUST!H214+Phalombe!H214+Mikolongwe!H214+Migowi!H214+Nkando!H214</f>
        <v>0</v>
      </c>
      <c r="I214" s="13">
        <f>Mulanje!I214+Luchenza!I214+Thyolo!I214+Muloza!I214+MUST!I214+Phalombe!I214+Mikolongwe!I214+Migowi!I214+Nkando!I214</f>
        <v>0</v>
      </c>
      <c r="J214" s="13">
        <f>Mulanje!J214+Luchenza!J214+Thyolo!J214+Muloza!J214+MUST!J214+Phalombe!J214+Mikolongwe!J214+Migowi!J214+Nkando!J214</f>
        <v>0</v>
      </c>
      <c r="K214" s="13">
        <f>Mulanje!K214+Luchenza!K214+Thyolo!K214+Muloza!K214+MUST!K214+Phalombe!K214+Mikolongwe!K214+Migowi!K214+Nkando!K214</f>
        <v>0</v>
      </c>
      <c r="L214" s="13">
        <f>Mulanje!L214+Luchenza!L214+Thyolo!L214+Muloza!L214+MUST!L214+Phalombe!L214+Mikolongwe!L214+Migowi!L214+Nkando!L214</f>
        <v>0</v>
      </c>
      <c r="M214" s="13">
        <f>Mulanje!M214+Luchenza!M214+Thyolo!M214+Muloza!M214+MUST!M214+Phalombe!M214+Mikolongwe!M214+Migowi!M214+Nkando!M214</f>
        <v>0</v>
      </c>
      <c r="N214" s="13">
        <f>Mulanje!N214+Luchenza!N214+Thyolo!N214+Muloza!N214+MUST!N214+Phalombe!N214+Mikolongwe!N214+Migowi!N214+Nkando!N214</f>
        <v>0</v>
      </c>
      <c r="O214" s="13">
        <f>Mulanje!O214+Luchenza!O214+Thyolo!O214+Muloza!O214+MUST!O214+Phalombe!O214+Mikolongwe!O214+Migowi!O214+Nkando!O214</f>
        <v>0</v>
      </c>
      <c r="P214" s="35">
        <f>SUM(D214:O214)</f>
        <v>37226674.090000004</v>
      </c>
    </row>
    <row r="215" spans="1:16" x14ac:dyDescent="0.25">
      <c r="A215" s="176" t="s">
        <v>40</v>
      </c>
      <c r="B215" s="177"/>
      <c r="C215" s="4" t="s">
        <v>31</v>
      </c>
      <c r="D215" s="13">
        <f>Mulanje!D215+Luchenza!D215+Thyolo!D215+Muloza!D215+MUST!D215+Phalombe!D215+Mikolongwe!D215+Migowi!D215+Nkando!D215</f>
        <v>77665942.230000004</v>
      </c>
      <c r="E215" s="13">
        <f>Mulanje!E215+Luchenza!E215+Thyolo!E215+Muloza!E215+MUST!E215+Phalombe!E215+Mikolongwe!E215+Migowi!E215+Nkando!E215</f>
        <v>72895340.900000006</v>
      </c>
      <c r="F215" s="13">
        <f>Mulanje!F215+Luchenza!F215+Thyolo!F215+Muloza!F215+MUST!F215+Phalombe!F215+Mikolongwe!F215+Migowi!F215+Nkando!F215</f>
        <v>63151724.799999997</v>
      </c>
      <c r="G215" s="13">
        <f>Mulanje!G215+Luchenza!G215+Thyolo!G215+Muloza!G215+MUST!G215+Phalombe!G215+Mikolongwe!G215+Migowi!G215+Nkando!G215</f>
        <v>0</v>
      </c>
      <c r="H215" s="13">
        <f>Mulanje!H215+Luchenza!H215+Thyolo!H215+Muloza!H215+MUST!H215+Phalombe!H215+Mikolongwe!H215+Migowi!H215+Nkando!H215</f>
        <v>0</v>
      </c>
      <c r="I215" s="13">
        <f>Mulanje!I215+Luchenza!I215+Thyolo!I215+Muloza!I215+MUST!I215+Phalombe!I215+Mikolongwe!I215+Migowi!I215+Nkando!I215</f>
        <v>0</v>
      </c>
      <c r="J215" s="13">
        <f>Mulanje!J215+Luchenza!J215+Thyolo!J215+Muloza!J215+MUST!J215+Phalombe!J215+Mikolongwe!J215+Migowi!J215+Nkando!J215</f>
        <v>0</v>
      </c>
      <c r="K215" s="13">
        <f>Mulanje!K215+Luchenza!K215+Thyolo!K215+Muloza!K215+MUST!K215+Phalombe!K215+Mikolongwe!K215+Migowi!K215+Nkando!K215</f>
        <v>0</v>
      </c>
      <c r="L215" s="13">
        <f>Mulanje!L215+Luchenza!L215+Thyolo!L215+Muloza!L215+MUST!L215+Phalombe!L215+Mikolongwe!L215+Migowi!L215+Nkando!L215</f>
        <v>0</v>
      </c>
      <c r="M215" s="13">
        <f>Mulanje!M215+Luchenza!M215+Thyolo!M215+Muloza!M215+MUST!M215+Phalombe!M215+Mikolongwe!M215+Migowi!M215+Nkando!M215</f>
        <v>0</v>
      </c>
      <c r="N215" s="13">
        <f>Mulanje!N215+Luchenza!N215+Thyolo!N215+Muloza!N215+MUST!N215+Phalombe!N215+Mikolongwe!N215+Migowi!N215+Nkando!N215</f>
        <v>0</v>
      </c>
      <c r="O215" s="13">
        <f>Mulanje!O215+Luchenza!O215+Thyolo!O215+Muloza!O215+MUST!O215+Phalombe!O215+Mikolongwe!O215+Migowi!O215+Nkando!O215</f>
        <v>0</v>
      </c>
      <c r="P215" s="35">
        <f>SUM(D215:O215)</f>
        <v>213713007.93000001</v>
      </c>
    </row>
    <row r="216" spans="1:16" x14ac:dyDescent="0.25">
      <c r="A216" s="225" t="s">
        <v>39</v>
      </c>
      <c r="B216" s="226"/>
      <c r="C216" s="4" t="s">
        <v>31</v>
      </c>
      <c r="D216" s="9">
        <f t="shared" ref="D216:H216" si="68">SUM(D212:D215)</f>
        <v>125539498.38</v>
      </c>
      <c r="E216" s="9">
        <f t="shared" si="68"/>
        <v>128899389.28</v>
      </c>
      <c r="F216" s="9">
        <f t="shared" si="68"/>
        <v>110069247.08999999</v>
      </c>
      <c r="G216" s="9">
        <f t="shared" ref="G216" si="69">SUM(G212:G215)</f>
        <v>0</v>
      </c>
      <c r="H216" s="9">
        <f t="shared" si="68"/>
        <v>0</v>
      </c>
      <c r="I216" s="9">
        <f t="shared" ref="I216:O216" si="70">SUM(I212:I215)</f>
        <v>0</v>
      </c>
      <c r="J216" s="9">
        <f t="shared" si="70"/>
        <v>0</v>
      </c>
      <c r="K216" s="9">
        <f t="shared" si="70"/>
        <v>0</v>
      </c>
      <c r="L216" s="9">
        <f t="shared" si="70"/>
        <v>0</v>
      </c>
      <c r="M216" s="9">
        <f t="shared" si="70"/>
        <v>0</v>
      </c>
      <c r="N216" s="9">
        <f t="shared" si="70"/>
        <v>0</v>
      </c>
      <c r="O216" s="9">
        <f t="shared" si="70"/>
        <v>0</v>
      </c>
      <c r="P216" s="35">
        <f>SUM(D216:O216)</f>
        <v>364508134.75</v>
      </c>
    </row>
    <row r="217" spans="1:16" x14ac:dyDescent="0.25">
      <c r="A217" s="66" t="s">
        <v>38</v>
      </c>
      <c r="B217" s="67"/>
      <c r="C217" s="4" t="s">
        <v>31</v>
      </c>
      <c r="D217" s="9">
        <f>D210+D216</f>
        <v>156751969.38</v>
      </c>
      <c r="E217" s="9">
        <f t="shared" ref="E217:P217" si="71">E210+E216</f>
        <v>169734935.78999999</v>
      </c>
      <c r="F217" s="9">
        <f t="shared" si="71"/>
        <v>138130509.27999997</v>
      </c>
      <c r="G217" s="9">
        <f t="shared" si="71"/>
        <v>0</v>
      </c>
      <c r="H217" s="9">
        <f t="shared" si="71"/>
        <v>0</v>
      </c>
      <c r="I217" s="9">
        <f t="shared" ref="I217:O217" si="72">I210+I216</f>
        <v>0</v>
      </c>
      <c r="J217" s="9">
        <f t="shared" si="72"/>
        <v>0</v>
      </c>
      <c r="K217" s="9">
        <f t="shared" si="72"/>
        <v>0</v>
      </c>
      <c r="L217" s="9">
        <f t="shared" si="72"/>
        <v>0</v>
      </c>
      <c r="M217" s="9">
        <f t="shared" si="72"/>
        <v>0</v>
      </c>
      <c r="N217" s="9">
        <f t="shared" si="72"/>
        <v>0</v>
      </c>
      <c r="O217" s="9">
        <f t="shared" si="72"/>
        <v>0</v>
      </c>
      <c r="P217" s="35">
        <f t="shared" si="71"/>
        <v>464617414.44999999</v>
      </c>
    </row>
    <row r="218" spans="1:16" ht="15" x14ac:dyDescent="0.25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4"/>
    </row>
    <row r="219" spans="1:16" x14ac:dyDescent="0.25">
      <c r="A219" s="176" t="s">
        <v>35</v>
      </c>
      <c r="B219" s="177"/>
      <c r="C219" s="4" t="s">
        <v>31</v>
      </c>
      <c r="D219" s="13">
        <f>Mulanje!D219+Luchenza!D219+Thyolo!D219+Muloza!D219+MUST!D219+Phalombe!D219+Mikolongwe!D222+Migowi!D219+Nkando!D219</f>
        <v>26731066.580000002</v>
      </c>
      <c r="E219" s="13">
        <f>Mulanje!E219+Luchenza!E219+Thyolo!E219+Muloza!E219+MUST!E219+Phalombe!E219+Mikolongwe!E219+Migowi!E219+Nkando!E219</f>
        <v>26998073.489999998</v>
      </c>
      <c r="F219" s="13">
        <f>Mulanje!F219+Luchenza!F219+Thyolo!F219+Muloza!F219+MUST!F219+Phalombe!F219+Mikolongwe!F219+Migowi!F219+Nkando!F219</f>
        <v>34486481.059999995</v>
      </c>
      <c r="G219" s="13">
        <f>Mulanje!G219+Luchenza!G219+Thyolo!G219+Muloza!G219+MUST!G219+Phalombe!G219+Mikolongwe!G219+Migowi!G219+Nkando!G219</f>
        <v>0</v>
      </c>
      <c r="H219" s="13">
        <f>Mulanje!H219+Luchenza!H219+Thyolo!H219+Muloza!H219+MUST!H219+Phalombe!H219+Mikolongwe!H219+Migowi!H219+Nkando!H219</f>
        <v>0</v>
      </c>
      <c r="I219" s="13">
        <f>Mulanje!I219+Luchenza!I219+Thyolo!I219+Muloza!I219+MUST!I219+Phalombe!I219+Mikolongwe!I219+Migowi!I219+Nkando!I219</f>
        <v>0</v>
      </c>
      <c r="J219" s="13">
        <f>Mulanje!J219+Luchenza!J219+Thyolo!J219+Muloza!J219+MUST!J219+Phalombe!J219+Mikolongwe!J219+Migowi!J219+Nkando!J219</f>
        <v>0</v>
      </c>
      <c r="K219" s="13">
        <f>Mulanje!K219+Luchenza!K219+Thyolo!K219+Muloza!K219+MUST!K219+Phalombe!K219+Mikolongwe!K219+Migowi!K219+Nkando!K219</f>
        <v>0</v>
      </c>
      <c r="L219" s="13">
        <f>Mulanje!L219+Luchenza!L219+Thyolo!L219+Muloza!L219+MUST!L219+Phalombe!L219+Mikolongwe!L219+Migowi!L219+Nkando!L219</f>
        <v>0</v>
      </c>
      <c r="M219" s="13">
        <f>Mulanje!M219+Luchenza!M219+Thyolo!M219+Muloza!M219+MUST!M219+Phalombe!M219+Mikolongwe!M219+Migowi!M219+Nkando!M219</f>
        <v>0</v>
      </c>
      <c r="N219" s="13">
        <f>Mulanje!N219+Luchenza!N219+Thyolo!N219+Muloza!N219+MUST!N219+Phalombe!N219+Mikolongwe!N219+Migowi!N219+Nkando!N219</f>
        <v>0</v>
      </c>
      <c r="O219" s="13">
        <f>Mulanje!O219+Luchenza!O219+Thyolo!O219+Muloza!O219+MUST!O219+Phalombe!O219+Mikolongwe!O219+Migowi!O219+Nkando!O219</f>
        <v>0</v>
      </c>
      <c r="P219" s="35">
        <f>SUM(D219:O219)</f>
        <v>88215621.129999995</v>
      </c>
    </row>
    <row r="220" spans="1:16" x14ac:dyDescent="0.25">
      <c r="A220" s="176" t="s">
        <v>34</v>
      </c>
      <c r="B220" s="177"/>
      <c r="C220" s="4" t="s">
        <v>31</v>
      </c>
      <c r="D220" s="13">
        <f>Mulanje!D220+Luchenza!D220+Thyolo!D220+Muloza!D220+MUST!D220+Phalombe!D220+Mikolongwe!D220+Migowi!D220+Nkando!D220</f>
        <v>161057.76</v>
      </c>
      <c r="E220" s="13">
        <f>Mulanje!E220+Luchenza!E220+Thyolo!E220+Muloza!E220+MUST!E220+Phalombe!E220+Mikolongwe!E220+Migowi!E220+Nkando!E220</f>
        <v>176360.16</v>
      </c>
      <c r="F220" s="13">
        <f>Mulanje!F220+Luchenza!F220+Thyolo!F220+Muloza!F220+MUST!F220+Phalombe!F220+Mikolongwe!F220+Migowi!F220+Nkando!F220</f>
        <v>209538.8</v>
      </c>
      <c r="G220" s="13">
        <f>Mulanje!G220+Luchenza!G220+Thyolo!G220+Muloza!G220+MUST!G220+Phalombe!G220+Mikolongwe!G220+Migowi!G220+Nkando!G220</f>
        <v>0</v>
      </c>
      <c r="H220" s="13">
        <f>Mulanje!H220+Luchenza!H220+Thyolo!H220+Muloza!H220+MUST!H220+Phalombe!H220+Mikolongwe!H220+Migowi!H220+Nkando!H220</f>
        <v>0</v>
      </c>
      <c r="I220" s="13">
        <f>Mulanje!I220+Luchenza!I220+Thyolo!I220+Muloza!I220+MUST!I220+Phalombe!I220+Mikolongwe!I220+Migowi!I220+Nkando!I220</f>
        <v>0</v>
      </c>
      <c r="J220" s="13">
        <f>Mulanje!J220+Luchenza!J220+Thyolo!J220+Muloza!J220+MUST!J220+Phalombe!J220+Mikolongwe!J220+Migowi!J220+Nkando!J220</f>
        <v>0</v>
      </c>
      <c r="K220" s="13">
        <f>Mulanje!K220+Luchenza!K220+Thyolo!K220+Muloza!K220+MUST!K220+Phalombe!K220+Mikolongwe!K220+Migowi!K220+Nkando!K220</f>
        <v>0</v>
      </c>
      <c r="L220" s="13">
        <f>Mulanje!L220+Luchenza!L220+Thyolo!L220+Muloza!L220+MUST!L220+Phalombe!L220+Mikolongwe!L220+Migowi!L220+Nkando!L220</f>
        <v>0</v>
      </c>
      <c r="M220" s="13">
        <f>Mulanje!M220+Luchenza!M220+Thyolo!M220+Muloza!M220+MUST!M220+Phalombe!M220+Mikolongwe!M220+Migowi!M220+Nkando!M220</f>
        <v>0</v>
      </c>
      <c r="N220" s="13">
        <f>Mulanje!N220+Luchenza!N220+Thyolo!N220+Muloza!N220+MUST!N220+Phalombe!N220+Mikolongwe!N220+Migowi!N220+Nkando!N220</f>
        <v>0</v>
      </c>
      <c r="O220" s="13">
        <f>Mulanje!O220+Luchenza!O220+Thyolo!O220+Muloza!O220+MUST!O220+Phalombe!O220+Mikolongwe!O220+Migowi!O220+Nkando!O220</f>
        <v>0</v>
      </c>
      <c r="P220" s="35">
        <f>SUM(D220:O220)</f>
        <v>546956.72</v>
      </c>
    </row>
    <row r="221" spans="1:16" x14ac:dyDescent="0.25">
      <c r="A221" s="176" t="s">
        <v>33</v>
      </c>
      <c r="B221" s="177"/>
      <c r="C221" s="4" t="s">
        <v>31</v>
      </c>
      <c r="D221" s="13">
        <f>Mulanje!D221+Luchenza!D221+Thyolo!D221+Muloza!D221+MUST!D221+Phalombe!D221+Mikolongwe!D221+Migowi!D221+Nkando!D221</f>
        <v>397928.96000000002</v>
      </c>
      <c r="E221" s="13">
        <f>Mulanje!E221+Luchenza!E221+Thyolo!E221+Muloza!E221+MUST!E221+Phalombe!E221+Mikolongwe!E221+Migowi!E221+Nkando!E221</f>
        <v>315761.51999999996</v>
      </c>
      <c r="F221" s="13">
        <f>Mulanje!F221+Luchenza!F221+Thyolo!F221+Muloza!F221+MUST!F221+Phalombe!F221+Mikolongwe!F221+Migowi!F221+Nkando!F221</f>
        <v>898655.77</v>
      </c>
      <c r="G221" s="13">
        <f>Mulanje!G221+Luchenza!G221+Thyolo!G221+Muloza!G221+MUST!G221+Phalombe!G221+Mikolongwe!G221+Migowi!G221+Nkando!G221</f>
        <v>0</v>
      </c>
      <c r="H221" s="13">
        <f>Mulanje!H221+Luchenza!H221+Thyolo!H221+Muloza!H221+MUST!H221+Phalombe!H221+Mikolongwe!H221+Migowi!H221+Nkando!H221</f>
        <v>0</v>
      </c>
      <c r="I221" s="13">
        <f>Mulanje!I221+Luchenza!I221+Thyolo!I221+Muloza!I221+MUST!I221+Phalombe!I221+Mikolongwe!I221+Migowi!I221+Nkando!I221</f>
        <v>0</v>
      </c>
      <c r="J221" s="13">
        <f>Mulanje!J221+Luchenza!J221+Thyolo!J221+Muloza!J221+MUST!J221+Phalombe!J221+Mikolongwe!J221+Migowi!J221+Nkando!J221</f>
        <v>0</v>
      </c>
      <c r="K221" s="13">
        <f>Mulanje!K221+Luchenza!K221+Thyolo!K221+Muloza!K221+MUST!K221+Phalombe!K221+Mikolongwe!K221+Migowi!K221+Nkando!K221</f>
        <v>0</v>
      </c>
      <c r="L221" s="13">
        <f>Mulanje!L221+Luchenza!L221+Thyolo!L221+Muloza!L221+MUST!L221+Phalombe!L221+Mikolongwe!L221+Migowi!L221+Nkando!L221</f>
        <v>0</v>
      </c>
      <c r="M221" s="13">
        <f>Mulanje!M221+Luchenza!M221+Thyolo!M221+Muloza!M221+MUST!M221+Phalombe!M221+Mikolongwe!M221+Migowi!M221+Nkando!M221</f>
        <v>0</v>
      </c>
      <c r="N221" s="13">
        <f>Mulanje!N221+Luchenza!N221+Thyolo!N221+Muloza!N221+MUST!N221+Phalombe!N221+Mikolongwe!N221+Migowi!N221+Nkando!N221</f>
        <v>0</v>
      </c>
      <c r="O221" s="13">
        <f>Mulanje!O221+Luchenza!O221+Thyolo!O221+Muloza!O221+MUST!O221+Phalombe!O221+Mikolongwe!O221+Migowi!O221+Nkando!O221</f>
        <v>0</v>
      </c>
      <c r="P221" s="35">
        <f>SUM(D221:O221)</f>
        <v>1612346.25</v>
      </c>
    </row>
    <row r="222" spans="1:16" x14ac:dyDescent="0.25">
      <c r="A222" s="176" t="s">
        <v>32</v>
      </c>
      <c r="B222" s="177"/>
      <c r="C222" s="4" t="s">
        <v>31</v>
      </c>
      <c r="D222" s="13">
        <f>Mulanje!D222+Luchenza!D222+Thyolo!D222+Muloza!D222+MUST!D222+Phalombe!D222+Mikolongwe!D222+Migowi!D222+Nkando!D222</f>
        <v>551632.66</v>
      </c>
      <c r="E222" s="13">
        <f>Mulanje!E222+Luchenza!E222+Thyolo!E222+Muloza!E222+MUST!E222+Phalombe!E222+Mikolongwe!E222+Migowi!E222+Nkando!E222</f>
        <v>1192829.5899999999</v>
      </c>
      <c r="F222" s="13">
        <f>Mulanje!F222+Luchenza!F222+Thyolo!F222+Muloza!F222+MUST!F222+Phalombe!F222+Mikolongwe!F222+Migowi!F222+Nkando!F222</f>
        <v>1291416.75</v>
      </c>
      <c r="G222" s="13">
        <f>Mulanje!G222+Luchenza!G222+Thyolo!G222+Muloza!G222+MUST!G222+Phalombe!G222+Mikolongwe!G222+Migowi!G222+Nkando!G222</f>
        <v>0</v>
      </c>
      <c r="H222" s="13">
        <f>Mulanje!H222+Luchenza!H222+Thyolo!H222+Muloza!H222+MUST!H222+Phalombe!H222+Mikolongwe!H222+Migowi!H222+Nkando!H222</f>
        <v>0</v>
      </c>
      <c r="I222" s="13">
        <f>Mulanje!I222+Luchenza!I222+Thyolo!I222+Muloza!I222+MUST!I222+Phalombe!I222+Mikolongwe!I222+Migowi!I222+Nkando!I222</f>
        <v>0</v>
      </c>
      <c r="J222" s="13">
        <f>Mulanje!J222+Luchenza!J222+Thyolo!J222+Muloza!J222+MUST!J222+Phalombe!J222+Mikolongwe!J222+Migowi!J222+Nkando!J222</f>
        <v>0</v>
      </c>
      <c r="K222" s="13">
        <f>Mulanje!K222+Luchenza!K222+Thyolo!K222+Muloza!K222+MUST!K222+Phalombe!K222+Mikolongwe!K222+Migowi!K222+Nkando!K222</f>
        <v>0</v>
      </c>
      <c r="L222" s="13">
        <f>Mulanje!L222+Luchenza!L222+Thyolo!L222+Muloza!L222+MUST!L222+Phalombe!L222+Mikolongwe!L222+Migowi!L222+Nkando!L222</f>
        <v>0</v>
      </c>
      <c r="M222" s="13">
        <f>Mulanje!M222+Luchenza!M222+Thyolo!M222+Muloza!M222+MUST!M222+Phalombe!M222+Mikolongwe!M222+Migowi!M222+Nkando!M222</f>
        <v>0</v>
      </c>
      <c r="N222" s="13">
        <f>Mulanje!N222+Luchenza!N222+Thyolo!N222+Muloza!N222+MUST!N222+Phalombe!N222+Mikolongwe!N222+Migowi!N222+Nkando!N222</f>
        <v>0</v>
      </c>
      <c r="O222" s="13">
        <f>Mulanje!O222+Luchenza!O222+Thyolo!O222+Muloza!O222+MUST!O222+Phalombe!O222+Mikolongwe!O222+Migowi!O222+Nkando!O222</f>
        <v>0</v>
      </c>
      <c r="P222" s="35">
        <f>SUM(D222:O222)</f>
        <v>3035879</v>
      </c>
    </row>
    <row r="223" spans="1:16" x14ac:dyDescent="0.25">
      <c r="A223" s="225" t="s">
        <v>36</v>
      </c>
      <c r="B223" s="226"/>
      <c r="C223" s="4" t="s">
        <v>31</v>
      </c>
      <c r="D223" s="10">
        <f t="shared" ref="D223:O223" si="73">SUM(D219:D222)</f>
        <v>27841685.960000005</v>
      </c>
      <c r="E223" s="9">
        <f t="shared" si="73"/>
        <v>28683024.759999998</v>
      </c>
      <c r="F223" s="9">
        <f t="shared" si="73"/>
        <v>36886092.379999995</v>
      </c>
      <c r="G223" s="9">
        <f t="shared" si="73"/>
        <v>0</v>
      </c>
      <c r="H223" s="9">
        <f t="shared" si="73"/>
        <v>0</v>
      </c>
      <c r="I223" s="9">
        <f t="shared" si="73"/>
        <v>0</v>
      </c>
      <c r="J223" s="12">
        <f t="shared" si="73"/>
        <v>0</v>
      </c>
      <c r="K223" s="12">
        <f t="shared" si="73"/>
        <v>0</v>
      </c>
      <c r="L223" s="12">
        <f t="shared" si="73"/>
        <v>0</v>
      </c>
      <c r="M223" s="12">
        <f t="shared" si="73"/>
        <v>0</v>
      </c>
      <c r="N223" s="12">
        <f t="shared" si="73"/>
        <v>0</v>
      </c>
      <c r="O223" s="12">
        <f t="shared" si="73"/>
        <v>0</v>
      </c>
      <c r="P223" s="35">
        <f>SUM(D223:O223)</f>
        <v>93410803.099999994</v>
      </c>
    </row>
    <row r="224" spans="1:16" ht="15" x14ac:dyDescent="0.25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4"/>
    </row>
    <row r="225" spans="1:16" x14ac:dyDescent="0.25">
      <c r="A225" s="176" t="s">
        <v>35</v>
      </c>
      <c r="B225" s="177"/>
      <c r="C225" s="4" t="s">
        <v>31</v>
      </c>
      <c r="D225" s="13">
        <f>Mulanje!D225+Luchenza!D225+Thyolo!D225+Muloza!D225+MUST!D225+Phalombe!D225+Mikolongwe!D225+Migowi!D225+Nkando!D225</f>
        <v>0</v>
      </c>
      <c r="E225" s="13">
        <f>Mulanje!E225+Luchenza!E225+Thyolo!E225+Muloza!E225+MUST!E225+Phalombe!E225+Mikolongwe!E225+Migowi!E225+Nkando!E225</f>
        <v>0</v>
      </c>
      <c r="F225" s="13">
        <f>Mulanje!F225+Luchenza!F225+Thyolo!F225+Muloza!F225+MUST!F225+Phalombe!F225+Mikolongwe!F225+Migowi!F225+Nkando!F225</f>
        <v>0</v>
      </c>
      <c r="G225" s="13">
        <f>Mulanje!G225+Luchenza!G225+Thyolo!G225+Muloza!G225+MUST!G225+Phalombe!G225+Mikolongwe!G225+Migowi!G225+Nkando!G225</f>
        <v>0</v>
      </c>
      <c r="H225" s="13">
        <f>Mulanje!H225+Luchenza!H225+Thyolo!H225+Muloza!H225+MUST!H225+Phalombe!H225+Mikolongwe!H225+Migowi!H225+Nkando!H225</f>
        <v>0</v>
      </c>
      <c r="I225" s="13">
        <f>Mulanje!I225+Luchenza!I225+Thyolo!I225+Muloza!I225+MUST!I225+Phalombe!I225+Mikolongwe!I225+Migowi!I225+Nkando!I225</f>
        <v>0</v>
      </c>
      <c r="J225" s="13">
        <f>Mulanje!J225+Luchenza!J225+Thyolo!J225+Muloza!J225+MUST!J225+Phalombe!J225+Mikolongwe!J225+Migowi!J225+Nkando!J225</f>
        <v>0</v>
      </c>
      <c r="K225" s="13">
        <f>Mulanje!K225+Luchenza!K225+Thyolo!K225+Muloza!K225+MUST!K225+Phalombe!K225+Mikolongwe!K225+Migowi!K225+Nkando!K225</f>
        <v>0</v>
      </c>
      <c r="L225" s="13">
        <f>Mulanje!L225+Luchenza!L225+Thyolo!L225+Muloza!L225+MUST!L225+Phalombe!L225+Mikolongwe!L225+Migowi!L225+Nkando!L225</f>
        <v>0</v>
      </c>
      <c r="M225" s="13">
        <f>Mulanje!M225+Luchenza!M225+Thyolo!M225+Muloza!M225+MUST!M225+Phalombe!M225+Mikolongwe!M225+Migowi!M225+Nkando!M225</f>
        <v>0</v>
      </c>
      <c r="N225" s="13">
        <f>Mulanje!N225+Luchenza!N225+Thyolo!N225+Muloza!N225+MUST!N225+Phalombe!N225+Mikolongwe!N225+Migowi!N225+Nkando!N225</f>
        <v>0</v>
      </c>
      <c r="O225" s="13">
        <f>Mulanje!O225+Luchenza!O225+Thyolo!O225+Muloza!O225+MUST!O225+Phalombe!O225+Mikolongwe!O225+Migowi!O225+Nkando!O225</f>
        <v>0</v>
      </c>
      <c r="P225" s="35">
        <f t="shared" ref="P225:P230" si="74">SUM(D225:O225)</f>
        <v>0</v>
      </c>
    </row>
    <row r="226" spans="1:16" x14ac:dyDescent="0.25">
      <c r="A226" s="176" t="s">
        <v>34</v>
      </c>
      <c r="B226" s="177"/>
      <c r="C226" s="4" t="s">
        <v>31</v>
      </c>
      <c r="D226" s="13">
        <f>Mulanje!D226+Luchenza!D226+Thyolo!D226+Muloza!D226+MUST!D226+Phalombe!D226+Mikolongwe!D226+Migowi!D226+Nkando!D226</f>
        <v>0</v>
      </c>
      <c r="E226" s="13">
        <f>Mulanje!E226+Luchenza!E226+Thyolo!E226+Muloza!E226+MUST!E226+Phalombe!E226+Mikolongwe!E226+Migowi!E226+Nkando!E226</f>
        <v>0</v>
      </c>
      <c r="F226" s="13">
        <f>Mulanje!F226+Luchenza!F226+Thyolo!F226+Muloza!F226+MUST!F226+Phalombe!F226+Mikolongwe!F226+Migowi!F226+Nkando!F226</f>
        <v>0</v>
      </c>
      <c r="G226" s="13">
        <f>Mulanje!G226+Luchenza!G226+Thyolo!G226+Muloza!G226+MUST!G226+Phalombe!G226+Mikolongwe!G226+Migowi!G226+Nkando!G226</f>
        <v>0</v>
      </c>
      <c r="H226" s="13">
        <f>Mulanje!H226+Luchenza!H226+Thyolo!H226+Muloza!H226+MUST!H226+Phalombe!H226+Mikolongwe!H226+Migowi!H226+Nkando!H226</f>
        <v>0</v>
      </c>
      <c r="I226" s="13">
        <f>Mulanje!I226+Luchenza!I226+Thyolo!I226+Muloza!I226+MUST!I226+Phalombe!I226+Mikolongwe!I226+Migowi!I226+Nkando!I226</f>
        <v>0</v>
      </c>
      <c r="J226" s="13">
        <f>Mulanje!J226+Luchenza!J226+Thyolo!J226+Muloza!J226+MUST!J226+Phalombe!J226+Mikolongwe!J226+Migowi!J226+Nkando!J226</f>
        <v>0</v>
      </c>
      <c r="K226" s="13">
        <f>Mulanje!K226+Luchenza!K226+Thyolo!K226+Muloza!K226+MUST!K226+Phalombe!K226+Mikolongwe!K226+Migowi!K226+Nkando!K226</f>
        <v>0</v>
      </c>
      <c r="L226" s="13">
        <f>Mulanje!L226+Luchenza!L226+Thyolo!L226+Muloza!L226+MUST!L226+Phalombe!L226+Mikolongwe!L226+Migowi!L226+Nkando!L226</f>
        <v>0</v>
      </c>
      <c r="M226" s="13">
        <f>Mulanje!M226+Luchenza!M226+Thyolo!M226+Muloza!M226+MUST!M226+Phalombe!M226+Mikolongwe!M226+Migowi!M226+Nkando!M226</f>
        <v>0</v>
      </c>
      <c r="N226" s="13">
        <f>Mulanje!N226+Luchenza!N226+Thyolo!N226+Muloza!N226+MUST!N226+Phalombe!N226+Mikolongwe!N226+Migowi!N226+Nkando!N226</f>
        <v>0</v>
      </c>
      <c r="O226" s="13">
        <f>Mulanje!O226+Luchenza!O226+Thyolo!O226+Muloza!O226+MUST!O226+Phalombe!O226+Mikolongwe!O226+Migowi!O226+Nkando!O226</f>
        <v>0</v>
      </c>
      <c r="P226" s="35">
        <f t="shared" si="74"/>
        <v>0</v>
      </c>
    </row>
    <row r="227" spans="1:16" x14ac:dyDescent="0.25">
      <c r="A227" s="176" t="s">
        <v>33</v>
      </c>
      <c r="B227" s="177"/>
      <c r="C227" s="4" t="s">
        <v>31</v>
      </c>
      <c r="D227" s="13">
        <f>Mulanje!D227+Luchenza!D227+Thyolo!D227+Muloza!D227+MUST!D227+Phalombe!D227+Mikolongwe!D227+Migowi!D227+Nkando!D227</f>
        <v>0</v>
      </c>
      <c r="E227" s="13">
        <f>Mulanje!E227+Luchenza!E227+Thyolo!E227+Muloza!E227+MUST!E227+Phalombe!E227+Mikolongwe!E227+Migowi!E227+Nkando!E227</f>
        <v>0</v>
      </c>
      <c r="F227" s="13">
        <f>Mulanje!F227+Luchenza!F227+Thyolo!F227+Muloza!F227+MUST!F227+Phalombe!F227+Mikolongwe!F227+Migowi!F227+Nkando!F227</f>
        <v>0</v>
      </c>
      <c r="G227" s="13">
        <f>Mulanje!G227+Luchenza!G227+Thyolo!G227+Muloza!G227+MUST!G227+Phalombe!G227+Mikolongwe!G227+Migowi!G227+Nkando!G227</f>
        <v>0</v>
      </c>
      <c r="H227" s="13">
        <f>Mulanje!H227+Luchenza!H227+Thyolo!H227+Muloza!H227+MUST!H227+Phalombe!H227+Mikolongwe!H227+Migowi!H227+Nkando!H227</f>
        <v>0</v>
      </c>
      <c r="I227" s="13">
        <f>Mulanje!I227+Luchenza!I227+Thyolo!I227+Muloza!I227+MUST!I227+Phalombe!I227+Mikolongwe!I227+Migowi!I227+Nkando!I227</f>
        <v>0</v>
      </c>
      <c r="J227" s="13">
        <f>Mulanje!J227+Luchenza!J227+Thyolo!J227+Muloza!J227+MUST!J227+Phalombe!J227+Mikolongwe!J227+Migowi!J227+Nkando!J227</f>
        <v>0</v>
      </c>
      <c r="K227" s="13">
        <f>Mulanje!K227+Luchenza!K227+Thyolo!K227+Muloza!K227+MUST!K227+Phalombe!K227+Mikolongwe!K227+Migowi!K227+Nkando!K227</f>
        <v>0</v>
      </c>
      <c r="L227" s="13">
        <f>Mulanje!L227+Luchenza!L227+Thyolo!L227+Muloza!L227+MUST!L227+Phalombe!L227+Mikolongwe!L227+Migowi!L227+Nkando!L227</f>
        <v>0</v>
      </c>
      <c r="M227" s="13">
        <f>Mulanje!M227+Luchenza!M227+Thyolo!M227+Muloza!M227+MUST!M227+Phalombe!M227+Mikolongwe!M227+Migowi!M227+Nkando!M227</f>
        <v>0</v>
      </c>
      <c r="N227" s="13">
        <f>Mulanje!N227+Luchenza!N227+Thyolo!N227+Muloza!N227+MUST!N227+Phalombe!N227+Mikolongwe!N227+Migowi!N227+Nkando!N227</f>
        <v>0</v>
      </c>
      <c r="O227" s="13">
        <f>Mulanje!O227+Luchenza!O227+Thyolo!O227+Muloza!O227+MUST!O227+Phalombe!O227+Mikolongwe!O227+Migowi!O227+Nkando!O227</f>
        <v>0</v>
      </c>
      <c r="P227" s="35">
        <f t="shared" si="74"/>
        <v>0</v>
      </c>
    </row>
    <row r="228" spans="1:16" x14ac:dyDescent="0.25">
      <c r="A228" s="176" t="s">
        <v>32</v>
      </c>
      <c r="B228" s="177"/>
      <c r="C228" s="4" t="s">
        <v>31</v>
      </c>
      <c r="D228" s="13">
        <f>Mulanje!D228+Luchenza!D228+Thyolo!D228+Muloza!D228+MUST!D228+Phalombe!D228+Mikolongwe!D228+Migowi!D228+Nkando!D228</f>
        <v>0</v>
      </c>
      <c r="E228" s="13">
        <f>Mulanje!E228+Luchenza!E228+Thyolo!E228+Muloza!E228+MUST!E228+Phalombe!E228+Mikolongwe!E228+Migowi!E228+Nkando!E228</f>
        <v>0</v>
      </c>
      <c r="F228" s="13">
        <f>Mulanje!F228+Luchenza!F228+Thyolo!F228+Muloza!F228+MUST!F228+Phalombe!F228+Mikolongwe!F228+Migowi!F228+Nkando!F228</f>
        <v>0</v>
      </c>
      <c r="G228" s="13">
        <f>Mulanje!G228+Luchenza!G228+Thyolo!G228+Muloza!G228+MUST!G228+Phalombe!G228+Mikolongwe!G228+Migowi!G228+Nkando!G228</f>
        <v>0</v>
      </c>
      <c r="H228" s="13">
        <f>Mulanje!H228+Luchenza!H228+Thyolo!H228+Muloza!H228+MUST!H228+Phalombe!H228+Mikolongwe!H228+Migowi!H228+Nkando!H228</f>
        <v>0</v>
      </c>
      <c r="I228" s="13">
        <f>Mulanje!I228+Luchenza!I228+Thyolo!I228+Muloza!I228+MUST!I228+Phalombe!I228+Mikolongwe!I228+Migowi!I228+Nkando!I228</f>
        <v>0</v>
      </c>
      <c r="J228" s="13">
        <f>Mulanje!J228+Luchenza!J228+Thyolo!J228+Muloza!J228+MUST!J228+Phalombe!J228+Mikolongwe!J228+Migowi!J228+Nkando!J228</f>
        <v>0</v>
      </c>
      <c r="K228" s="13">
        <f>Mulanje!K228+Luchenza!K228+Thyolo!K228+Muloza!K228+MUST!K228+Phalombe!K228+Mikolongwe!K228+Migowi!K228+Nkando!K228</f>
        <v>0</v>
      </c>
      <c r="L228" s="13">
        <f>Mulanje!L228+Luchenza!L228+Thyolo!L228+Muloza!L228+MUST!L228+Phalombe!L228+Mikolongwe!L228+Migowi!L228+Nkando!L228</f>
        <v>0</v>
      </c>
      <c r="M228" s="13">
        <f>Mulanje!M228+Luchenza!M228+Thyolo!M228+Muloza!M228+MUST!M228+Phalombe!M228+Mikolongwe!M228+Migowi!M228+Nkando!M228</f>
        <v>0</v>
      </c>
      <c r="N228" s="13">
        <f>Mulanje!N228+Luchenza!N228+Thyolo!N228+Muloza!N228+MUST!N228+Phalombe!N228+Mikolongwe!N228+Migowi!N228+Nkando!N228</f>
        <v>0</v>
      </c>
      <c r="O228" s="13">
        <f>Mulanje!O228+Luchenza!O228+Thyolo!O228+Muloza!O228+MUST!O228+Phalombe!O228+Mikolongwe!O228+Migowi!O228+Nkando!O228</f>
        <v>0</v>
      </c>
      <c r="P228" s="35">
        <f t="shared" si="74"/>
        <v>0</v>
      </c>
    </row>
    <row r="229" spans="1:16" x14ac:dyDescent="0.25">
      <c r="A229" s="225" t="s">
        <v>214</v>
      </c>
      <c r="B229" s="226"/>
      <c r="C229" s="4" t="s">
        <v>31</v>
      </c>
      <c r="D229" s="13">
        <f>Mulanje!D229+Luchenza!D229+Thyolo!D229+Muloza!D229+MUST!D229+Phalombe!D229+Mikolongwe!D229+Migowi!D229+Nkando!D229</f>
        <v>121805935.34</v>
      </c>
      <c r="E229" s="13">
        <f>Mulanje!E229+Luchenza!E229+Thyolo!E229+Muloza!E229+MUST!E229+Phalombe!E229+Mikolongwe!E229+Migowi!E229+Nkando!E229</f>
        <v>126592122.49000001</v>
      </c>
      <c r="F229" s="13">
        <f>Mulanje!F229+Luchenza!F229+Thyolo!F229+Muloza!F229+MUST!F229+Phalombe!F229+Mikolongwe!F229+Migowi!F229+Nkando!F229</f>
        <v>103773086.69</v>
      </c>
      <c r="G229" s="13">
        <f>Mulanje!G229+Luchenza!G229+Thyolo!G229+Muloza!G229+MUST!G229+Phalombe!G229+Mikolongwe!G229+Migowi!G229+Nkando!G229</f>
        <v>0</v>
      </c>
      <c r="H229" s="13">
        <f>Mulanje!H229+Luchenza!H229+Thyolo!H229+Muloza!H229+MUST!H229+Phalombe!H229+Mikolongwe!H229+Migowi!H229+Nkando!H229</f>
        <v>0</v>
      </c>
      <c r="I229" s="13">
        <f>Mulanje!I229+Luchenza!I229+Thyolo!I229+Muloza!I229+MUST!I229+Phalombe!I229+Mikolongwe!I229+Migowi!I229+Nkando!I229</f>
        <v>0</v>
      </c>
      <c r="J229" s="13">
        <f>Mulanje!J229+Luchenza!J229+Thyolo!J229+Muloza!J229+MUST!J229+Phalombe!J229+Mikolongwe!J229+Migowi!J229+Nkando!J229</f>
        <v>0</v>
      </c>
      <c r="K229" s="13">
        <f>Mulanje!K229+Luchenza!K229+Thyolo!K229+Muloza!K229+MUST!K229+Phalombe!K229+Mikolongwe!K229+Migowi!K229+Nkando!K229</f>
        <v>0</v>
      </c>
      <c r="L229" s="13">
        <f>Mulanje!L229+Luchenza!L229+Thyolo!L229+Muloza!L229+MUST!L229+Phalombe!L229+Mikolongwe!L229+Migowi!L229+Nkando!L229</f>
        <v>0</v>
      </c>
      <c r="M229" s="13">
        <f>Mulanje!M229+Luchenza!M229+Thyolo!M229+Muloza!M229+MUST!M229+Phalombe!M229+Mikolongwe!M229+Migowi!M229+Nkando!M229</f>
        <v>0</v>
      </c>
      <c r="N229" s="13">
        <f>Mulanje!N229+Luchenza!N229+Thyolo!N229+Muloza!N229+MUST!N229+Phalombe!N229+Mikolongwe!N229+Migowi!N229+Nkando!N229</f>
        <v>0</v>
      </c>
      <c r="O229" s="13">
        <f>Mulanje!O229+Luchenza!O229+Thyolo!O229+Muloza!O229+MUST!O229+Phalombe!O229+Mikolongwe!O229+Migowi!O229+Nkando!O229</f>
        <v>0</v>
      </c>
      <c r="P229" s="35">
        <f t="shared" si="74"/>
        <v>352171144.51999998</v>
      </c>
    </row>
    <row r="230" spans="1:16" x14ac:dyDescent="0.25">
      <c r="A230" s="66" t="s">
        <v>215</v>
      </c>
      <c r="B230" s="109"/>
      <c r="C230" s="4" t="s">
        <v>31</v>
      </c>
      <c r="D230" s="10">
        <f>D223+D229</f>
        <v>149647621.30000001</v>
      </c>
      <c r="E230" s="10">
        <f t="shared" ref="E230:O230" si="75">E223+E229</f>
        <v>155275147.25</v>
      </c>
      <c r="F230" s="10">
        <f t="shared" si="75"/>
        <v>140659179.06999999</v>
      </c>
      <c r="G230" s="10">
        <f t="shared" si="75"/>
        <v>0</v>
      </c>
      <c r="H230" s="10">
        <f t="shared" si="75"/>
        <v>0</v>
      </c>
      <c r="I230" s="10">
        <f t="shared" si="75"/>
        <v>0</v>
      </c>
      <c r="J230" s="10">
        <f t="shared" si="75"/>
        <v>0</v>
      </c>
      <c r="K230" s="10">
        <f t="shared" si="75"/>
        <v>0</v>
      </c>
      <c r="L230" s="10">
        <f t="shared" si="75"/>
        <v>0</v>
      </c>
      <c r="M230" s="10">
        <f t="shared" si="75"/>
        <v>0</v>
      </c>
      <c r="N230" s="10">
        <f t="shared" si="75"/>
        <v>0</v>
      </c>
      <c r="O230" s="10">
        <f t="shared" si="75"/>
        <v>0</v>
      </c>
      <c r="P230" s="35">
        <f t="shared" si="74"/>
        <v>445581947.62</v>
      </c>
    </row>
    <row r="231" spans="1:16" ht="15" x14ac:dyDescent="0.25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4"/>
    </row>
    <row r="232" spans="1:16" x14ac:dyDescent="0.25">
      <c r="A232" s="176" t="s">
        <v>29</v>
      </c>
      <c r="B232" s="177"/>
      <c r="C232" s="4" t="s">
        <v>18</v>
      </c>
      <c r="D232" s="13">
        <f>Mulanje!D232+Luchenza!D232+Thyolo!D232+Muloza!D232+MUST!D232+Phalombe!D232+Mikolongwe!D232+Migowi!D232+Nkando!D232</f>
        <v>2374506.16</v>
      </c>
      <c r="E232" s="13">
        <f>Mulanje!E232+Luchenza!E232+Thyolo!E232+Muloza!E232+MUST!E232+Phalombe!E232+Mikolongwe!E232+Migowi!E232+Nkando!E232</f>
        <v>2372809.6100000003</v>
      </c>
      <c r="F232" s="13">
        <f>Mulanje!F232+Luchenza!F232+Thyolo!F232+Muloza!F232+MUST!F232+Phalombe!F232+Mikolongwe!F232+Migowi!F232+Nkando!F232</f>
        <v>2358938.73</v>
      </c>
      <c r="G232" s="13">
        <f>Mulanje!G232+Luchenza!G232+Thyolo!G232+Muloza!G232+MUST!G232+Phalombe!G232+Mikolongwe!G232+Migowi!G232+Nkando!G232</f>
        <v>0</v>
      </c>
      <c r="H232" s="13">
        <f>Mulanje!H232+Luchenza!H232+Thyolo!H232+Muloza!H232+MUST!H232+Phalombe!H232+Mikolongwe!H232+Migowi!H232+Nkando!H232</f>
        <v>0</v>
      </c>
      <c r="I232" s="13">
        <f>Mulanje!I232+Luchenza!I232+Thyolo!I232+Muloza!I232+MUST!I232+Phalombe!I232+Mikolongwe!I232+Migowi!I232+Nkando!I232</f>
        <v>0</v>
      </c>
      <c r="J232" s="13">
        <f>Mulanje!J232+Luchenza!J232+Thyolo!J232+Muloza!J232+MUST!J232+Phalombe!J232+Mikolongwe!J232+Migowi!J232+Nkando!J232</f>
        <v>0</v>
      </c>
      <c r="K232" s="13">
        <f>Mulanje!K232+Luchenza!K232+Thyolo!K232+Muloza!K232+MUST!K232+Phalombe!K232+Mikolongwe!K232+Migowi!K232+Nkando!K232</f>
        <v>0</v>
      </c>
      <c r="L232" s="13">
        <f>Mulanje!L232+Luchenza!L232+Thyolo!L232+Muloza!L232+MUST!L232+Phalombe!L232+Mikolongwe!L232+Migowi!L232+Nkando!L232</f>
        <v>0</v>
      </c>
      <c r="M232" s="13">
        <f>Mulanje!M232+Luchenza!M232+Thyolo!M232+Muloza!M232+MUST!M232+Phalombe!M232+Mikolongwe!M232+Migowi!M232+Nkando!M232</f>
        <v>0</v>
      </c>
      <c r="N232" s="13">
        <f>Mulanje!N232+Luchenza!N232+Thyolo!N232+Muloza!N232+MUST!N232+Phalombe!N232+Mikolongwe!N232+Migowi!N232+Nkando!N232</f>
        <v>0</v>
      </c>
      <c r="O232" s="13">
        <f>Mulanje!O232+Luchenza!O232+Thyolo!O232+Muloza!O232+MUST!O232+Phalombe!O232+Mikolongwe!O232+Migowi!O232+Nkando!O232</f>
        <v>0</v>
      </c>
      <c r="P232" s="35">
        <f>SUM(D232:O232)</f>
        <v>7106254.5</v>
      </c>
    </row>
    <row r="233" spans="1:16" x14ac:dyDescent="0.25">
      <c r="A233" s="176" t="s">
        <v>28</v>
      </c>
      <c r="B233" s="177"/>
      <c r="C233" s="4" t="s">
        <v>18</v>
      </c>
      <c r="D233" s="13">
        <f>Mulanje!D233+Luchenza!D233+Thyolo!D233+Muloza!D233+MUST!D233+Phalombe!D233+Mikolongwe!D233+Migowi!D233+Nkando!D233</f>
        <v>3251.76</v>
      </c>
      <c r="E233" s="13">
        <f>Mulanje!E233+Luchenza!E233+Thyolo!E233+Muloza!E233+MUST!E233+Phalombe!E233+Mikolongwe!E233+Migowi!E233+Nkando!E233</f>
        <v>3251.76</v>
      </c>
      <c r="F233" s="13">
        <f>Mulanje!F233+Luchenza!F233+Thyolo!F233+Muloza!F233+MUST!F233+Phalombe!F233+Mikolongwe!F233+Migowi!F233+Nkando!F233</f>
        <v>3251.76</v>
      </c>
      <c r="G233" s="13">
        <f>Mulanje!G233+Luchenza!G233+Thyolo!G233+Muloza!G233+MUST!G233+Phalombe!G233+Mikolongwe!G233+Migowi!G233+Nkando!G233</f>
        <v>0</v>
      </c>
      <c r="H233" s="13">
        <f>Mulanje!H233+Luchenza!H233+Thyolo!H233+Muloza!H233+MUST!H233+Phalombe!H233+Mikolongwe!H233+Migowi!H233+Nkando!H233</f>
        <v>0</v>
      </c>
      <c r="I233" s="13">
        <f>Mulanje!I233+Luchenza!I233+Thyolo!I233+Muloza!I233+MUST!I233+Phalombe!I233+Mikolongwe!I233+Migowi!I233+Nkando!I233</f>
        <v>0</v>
      </c>
      <c r="J233" s="13">
        <f>Mulanje!J233+Luchenza!J233+Thyolo!J233+Muloza!J233+MUST!J233+Phalombe!J233+Mikolongwe!J233+Migowi!J233+Nkando!J233</f>
        <v>0</v>
      </c>
      <c r="K233" s="13">
        <f>Mulanje!K233+Luchenza!K233+Thyolo!K233+Muloza!K233+MUST!K233+Phalombe!K233+Mikolongwe!K233+Migowi!K233+Nkando!K233</f>
        <v>0</v>
      </c>
      <c r="L233" s="13">
        <f>Mulanje!L233+Luchenza!L233+Thyolo!L233+Muloza!L233+MUST!L233+Phalombe!L233+Mikolongwe!L233+Migowi!L233+Nkando!L233</f>
        <v>0</v>
      </c>
      <c r="M233" s="13">
        <f>Mulanje!M233+Luchenza!M233+Thyolo!M233+Muloza!M233+MUST!M233+Phalombe!M233+Mikolongwe!M233+Migowi!M233+Nkando!M233</f>
        <v>0</v>
      </c>
      <c r="N233" s="13">
        <f>Mulanje!N233+Luchenza!N233+Thyolo!N233+Muloza!N233+MUST!N233+Phalombe!N233+Mikolongwe!N233+Migowi!N233+Nkando!N233</f>
        <v>0</v>
      </c>
      <c r="O233" s="13">
        <f>Mulanje!O233+Luchenza!O233+Thyolo!O233+Muloza!O233+MUST!O233+Phalombe!O233+Mikolongwe!O233+Migowi!O233+Nkando!O233</f>
        <v>0</v>
      </c>
      <c r="P233" s="35">
        <f>SUM(D233:O233)</f>
        <v>9755.2800000000007</v>
      </c>
    </row>
    <row r="234" spans="1:16" x14ac:dyDescent="0.25">
      <c r="A234" s="176" t="s">
        <v>27</v>
      </c>
      <c r="B234" s="177"/>
      <c r="C234" s="4" t="s">
        <v>18</v>
      </c>
      <c r="D234" s="13">
        <f>Mulanje!D234+Luchenza!D234+Thyolo!D234+Muloza!D234+MUST!D234+Phalombe!D234+Mikolongwe!D234+Migowi!D234+Nkando!D234</f>
        <v>37330.04</v>
      </c>
      <c r="E234" s="13">
        <f>Mulanje!E234+Luchenza!E234+Thyolo!E234+Muloza!E234+MUST!E234+Phalombe!E234+Mikolongwe!E234+Migowi!E234+Nkando!E234</f>
        <v>40723.68</v>
      </c>
      <c r="F234" s="13">
        <f>Mulanje!F234+Luchenza!F234+Thyolo!F234+Muloza!F234+MUST!F234+Phalombe!F234+Mikolongwe!F234+Migowi!F234+Nkando!F234</f>
        <v>50904.6</v>
      </c>
      <c r="G234" s="13">
        <f>Mulanje!G234+Luchenza!G234+Thyolo!G234+Muloza!G234+MUST!G234+Phalombe!G234+Mikolongwe!G234+Migowi!G234+Nkando!G234</f>
        <v>0</v>
      </c>
      <c r="H234" s="13">
        <f>Mulanje!H234+Luchenza!H234+Thyolo!H234+Muloza!H234+MUST!H234+Phalombe!H234+Mikolongwe!H234+Migowi!H234+Nkando!H234</f>
        <v>0</v>
      </c>
      <c r="I234" s="13">
        <f>Mulanje!I234+Luchenza!I234+Thyolo!I234+Muloza!I234+MUST!I234+Phalombe!I234+Mikolongwe!I234+Migowi!I234+Nkando!I234</f>
        <v>0</v>
      </c>
      <c r="J234" s="13">
        <f>Mulanje!J234+Luchenza!J234+Thyolo!J234+Muloza!J234+MUST!J234+Phalombe!J234+Mikolongwe!J234+Migowi!J234+Nkando!J234</f>
        <v>0</v>
      </c>
      <c r="K234" s="13">
        <f>Mulanje!K234+Luchenza!K234+Thyolo!K234+Muloza!K234+MUST!K234+Phalombe!K234+Mikolongwe!K234+Migowi!K234+Nkando!K234</f>
        <v>0</v>
      </c>
      <c r="L234" s="13">
        <f>Mulanje!L234+Luchenza!L234+Thyolo!L234+Muloza!L234+MUST!L234+Phalombe!L234+Mikolongwe!L234+Migowi!L234+Nkando!L234</f>
        <v>0</v>
      </c>
      <c r="M234" s="13">
        <f>Mulanje!M234+Luchenza!M234+Thyolo!M234+Muloza!M234+MUST!M234+Phalombe!M234+Mikolongwe!M234+Migowi!M234+Nkando!M234</f>
        <v>0</v>
      </c>
      <c r="N234" s="13">
        <f>Mulanje!N234+Luchenza!N234+Thyolo!N234+Muloza!N234+MUST!N234+Phalombe!N234+Mikolongwe!N234+Migowi!N234+Nkando!N234</f>
        <v>0</v>
      </c>
      <c r="O234" s="13">
        <f>Mulanje!O234+Luchenza!O234+Thyolo!O234+Muloza!O234+MUST!O234+Phalombe!O234+Mikolongwe!O234+Migowi!O234+Nkando!O234</f>
        <v>0</v>
      </c>
      <c r="P234" s="35">
        <f>SUM(D234:O234)</f>
        <v>128958.32</v>
      </c>
    </row>
    <row r="235" spans="1:16" x14ac:dyDescent="0.25">
      <c r="A235" s="176" t="s">
        <v>26</v>
      </c>
      <c r="B235" s="177"/>
      <c r="C235" s="4" t="s">
        <v>18</v>
      </c>
      <c r="D235" s="13">
        <f>Mulanje!D235+Luchenza!D235+Thyolo!D235+Muloza!D235+MUST!D235+Phalombe!D235+Mikolongwe!D235+Migowi!D235+Nkando!D235</f>
        <v>102021.48</v>
      </c>
      <c r="E235" s="13">
        <f>Mulanje!E235+Luchenza!E235+Thyolo!E235+Muloza!E235+MUST!E235+Phalombe!E235+Mikolongwe!E235+Migowi!E235+Nkando!E235</f>
        <v>97384.139999999985</v>
      </c>
      <c r="F235" s="13">
        <f>Mulanje!F235+Luchenza!F235+Thyolo!F235+Muloza!F235+MUST!F235+Phalombe!F235+Mikolongwe!F235+Migowi!F235+Nkando!F235</f>
        <v>97384.139999999985</v>
      </c>
      <c r="G235" s="13">
        <f>Mulanje!G235+Luchenza!G235+Thyolo!G235+Muloza!G235+MUST!G235+Phalombe!G235+Mikolongwe!G235+Migowi!G235+Nkando!G235</f>
        <v>0</v>
      </c>
      <c r="H235" s="13">
        <f>Mulanje!H235+Luchenza!H235+Thyolo!H235+Muloza!H235+MUST!H235+Phalombe!H235+Mikolongwe!H235+Migowi!H235+Nkando!H235</f>
        <v>0</v>
      </c>
      <c r="I235" s="13">
        <f>Mulanje!I235+Luchenza!I235+Thyolo!I235+Muloza!I235+MUST!I235+Phalombe!I235+Mikolongwe!I235+Migowi!I235+Nkando!I235</f>
        <v>0</v>
      </c>
      <c r="J235" s="13">
        <f>Mulanje!J235+Luchenza!J235+Thyolo!J235+Muloza!J235+MUST!J235+Phalombe!J235+Mikolongwe!J235+Migowi!J235+Nkando!J235</f>
        <v>0</v>
      </c>
      <c r="K235" s="13">
        <f>Mulanje!K235+Luchenza!K235+Thyolo!K235+Muloza!K235+MUST!K235+Phalombe!K235+Mikolongwe!K235+Migowi!K235+Nkando!K235</f>
        <v>0</v>
      </c>
      <c r="L235" s="13">
        <f>Mulanje!L235+Luchenza!L235+Thyolo!L235+Muloza!L235+MUST!L235+Phalombe!L235+Mikolongwe!L235+Migowi!L235+Nkando!L235</f>
        <v>0</v>
      </c>
      <c r="M235" s="13">
        <f>Mulanje!M235+Luchenza!M235+Thyolo!M235+Muloza!M235+MUST!M235+Phalombe!M235+Mikolongwe!M235+Migowi!M235+Nkando!M235</f>
        <v>0</v>
      </c>
      <c r="N235" s="13">
        <f>Mulanje!N235+Luchenza!N235+Thyolo!N235+Muloza!N235+MUST!N235+Phalombe!N235+Mikolongwe!N235+Migowi!N235+Nkando!N235</f>
        <v>0</v>
      </c>
      <c r="O235" s="13">
        <f>Mulanje!O235+Luchenza!O235+Thyolo!O235+Muloza!O235+MUST!O235+Phalombe!O235+Mikolongwe!O235+Migowi!O235+Nkando!O235</f>
        <v>0</v>
      </c>
      <c r="P235" s="35">
        <f>SUM(D235:O235)</f>
        <v>296789.76000000001</v>
      </c>
    </row>
    <row r="236" spans="1:16" x14ac:dyDescent="0.25">
      <c r="A236" s="225" t="s">
        <v>25</v>
      </c>
      <c r="B236" s="226"/>
      <c r="C236" s="4" t="s">
        <v>18</v>
      </c>
      <c r="D236" s="10">
        <f t="shared" ref="D236:E236" si="76">SUM(D232:D235)</f>
        <v>2517109.44</v>
      </c>
      <c r="E236" s="10">
        <f t="shared" si="76"/>
        <v>2514169.1900000004</v>
      </c>
      <c r="F236" s="10">
        <f t="shared" ref="F236:H236" si="77">SUM(F232:F235)</f>
        <v>2510479.23</v>
      </c>
      <c r="G236" s="10">
        <f t="shared" si="77"/>
        <v>0</v>
      </c>
      <c r="H236" s="10">
        <f t="shared" si="77"/>
        <v>0</v>
      </c>
      <c r="I236" s="10">
        <f t="shared" ref="I236:O236" si="78">SUM(I232:I235)</f>
        <v>0</v>
      </c>
      <c r="J236" s="10">
        <f t="shared" si="78"/>
        <v>0</v>
      </c>
      <c r="K236" s="10">
        <f t="shared" si="78"/>
        <v>0</v>
      </c>
      <c r="L236" s="10">
        <f t="shared" si="78"/>
        <v>0</v>
      </c>
      <c r="M236" s="10">
        <f t="shared" si="78"/>
        <v>0</v>
      </c>
      <c r="N236" s="10">
        <f t="shared" si="78"/>
        <v>0</v>
      </c>
      <c r="O236" s="10">
        <f t="shared" si="78"/>
        <v>0</v>
      </c>
      <c r="P236" s="35">
        <f t="shared" ref="P236" si="79">SUM(P232:P235)</f>
        <v>7541757.8600000003</v>
      </c>
    </row>
    <row r="237" spans="1:16" ht="15" x14ac:dyDescent="0.25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4"/>
    </row>
    <row r="238" spans="1:16" x14ac:dyDescent="0.25">
      <c r="A238" s="176" t="s">
        <v>23</v>
      </c>
      <c r="B238" s="177"/>
      <c r="C238" s="4" t="s">
        <v>18</v>
      </c>
      <c r="D238" s="13">
        <f>Mulanje!D238+Luchenza!D238+Thyolo!D238+Muloza!D238+MUST!D238+Phalombe!D238+Mikolongwe!D238+Migowi!D238+Nkando!D238</f>
        <v>3841686</v>
      </c>
      <c r="E238" s="13">
        <f>Mulanje!E238+Luchenza!E238+Thyolo!E238+Muloza!E238+MUST!E238+Phalombe!E238+Mikolongwe!E238+Migowi!E238+Nkando!E238</f>
        <v>3839007</v>
      </c>
      <c r="F238" s="13">
        <f>Mulanje!F238+Luchenza!F238+Thyolo!F238+Muloza!F238+MUST!F238+Phalombe!F238+Mikolongwe!F238+Migowi!F238+Nkando!F238</f>
        <v>3812217</v>
      </c>
      <c r="G238" s="13">
        <f>Mulanje!G238+Luchenza!G238+Thyolo!G238+Muloza!G238+MUST!G238+Phalombe!G238+Mikolongwe!G238+Migowi!G238+Nkando!G238</f>
        <v>0</v>
      </c>
      <c r="H238" s="13">
        <f>Mulanje!H238+Luchenza!H238+Thyolo!H238+Muloza!H238+MUST!H238+Phalombe!H238+Mikolongwe!H238+Migowi!H238+Nkando!H238</f>
        <v>0</v>
      </c>
      <c r="I238" s="13">
        <f>Mulanje!I238+Luchenza!I238+Thyolo!I238+Muloza!I238+MUST!I238+Phalombe!I238+Mikolongwe!I238+Migowi!I238+Nkando!I238</f>
        <v>0</v>
      </c>
      <c r="J238" s="13">
        <f>Mulanje!J238+Luchenza!J238+Thyolo!J238+Muloza!J238+MUST!J238+Phalombe!J238+Mikolongwe!J238+Migowi!J238+Nkando!J238</f>
        <v>0</v>
      </c>
      <c r="K238" s="13">
        <f>Mulanje!K238+Luchenza!K238+Thyolo!K238+Muloza!K238+MUST!K238+Phalombe!K238+Mikolongwe!K238+Migowi!K238+Nkando!K238</f>
        <v>0</v>
      </c>
      <c r="L238" s="13">
        <f>Mulanje!L238+Luchenza!L238+Thyolo!L238+Muloza!L238+MUST!L238+Phalombe!L238+Mikolongwe!L238+Migowi!L238+Nkando!L238</f>
        <v>0</v>
      </c>
      <c r="M238" s="13">
        <f>Mulanje!M238+Luchenza!M238+Thyolo!M238+Muloza!M238+MUST!M238+Phalombe!M238+Mikolongwe!M238+Migowi!M238+Nkando!M238</f>
        <v>0</v>
      </c>
      <c r="N238" s="13">
        <f>Mulanje!N238+Luchenza!N238+Thyolo!N238+Muloza!N238+MUST!N238+Phalombe!N238+Mikolongwe!N238+Migowi!N238+Nkando!N238</f>
        <v>0</v>
      </c>
      <c r="O238" s="13">
        <f>Mulanje!O238+Luchenza!O238+Thyolo!O238+Muloza!O238+MUST!O238+Phalombe!O238+Mikolongwe!O238+Migowi!O238+Nkando!O238</f>
        <v>0</v>
      </c>
      <c r="P238" s="35">
        <f>SUM(D238:O238)</f>
        <v>11492910</v>
      </c>
    </row>
    <row r="239" spans="1:16" x14ac:dyDescent="0.25">
      <c r="A239" s="176" t="s">
        <v>22</v>
      </c>
      <c r="B239" s="177"/>
      <c r="C239" s="4" t="s">
        <v>18</v>
      </c>
      <c r="D239" s="13">
        <f>Mulanje!D239+Luchenza!D239+Thyolo!D239+Muloza!D239+MUST!D239+Phalombe!D239+Mikolongwe!D239+Migowi!D239+Nkando!D239</f>
        <v>15181</v>
      </c>
      <c r="E239" s="13">
        <f>Mulanje!E239+Luchenza!E239+Thyolo!E239+Muloza!E239+MUST!E239+Phalombe!E239+Mikolongwe!E239+Migowi!E239+Nkando!E239</f>
        <v>15181</v>
      </c>
      <c r="F239" s="13">
        <f>Mulanje!F239+Luchenza!F239+Thyolo!F239+Muloza!F239+MUST!F239+Phalombe!F239+Mikolongwe!F239+Migowi!F239+Nkando!F239</f>
        <v>15181</v>
      </c>
      <c r="G239" s="13">
        <f>Mulanje!G239+Luchenza!G239+Thyolo!G239+Muloza!G239+MUST!G239+Phalombe!G239+Mikolongwe!G239+Migowi!G239+Nkando!G239</f>
        <v>0</v>
      </c>
      <c r="H239" s="13">
        <f>Mulanje!H239+Luchenza!H239+Thyolo!H239+Muloza!H239+MUST!H239+Phalombe!H239+Mikolongwe!H239+Migowi!H239+Nkando!H239</f>
        <v>0</v>
      </c>
      <c r="I239" s="13">
        <f>Mulanje!I239+Luchenza!I239+Thyolo!I239+Muloza!I239+MUST!I239+Phalombe!I239+Mikolongwe!I239+Migowi!I239+Nkando!I239</f>
        <v>0</v>
      </c>
      <c r="J239" s="13">
        <f>Mulanje!J239+Luchenza!J239+Thyolo!J239+Muloza!J239+MUST!J239+Phalombe!J239+Mikolongwe!J239+Migowi!J239+Nkando!J239</f>
        <v>0</v>
      </c>
      <c r="K239" s="13">
        <f>Mulanje!K239+Luchenza!K239+Thyolo!K239+Muloza!K239+MUST!K239+Phalombe!K239+Mikolongwe!K239+Migowi!K239+Nkando!K239</f>
        <v>0</v>
      </c>
      <c r="L239" s="13">
        <f>Mulanje!L239+Luchenza!L239+Thyolo!L239+Muloza!L239+MUST!L239+Phalombe!L239+Mikolongwe!L239+Migowi!L239+Nkando!L239</f>
        <v>0</v>
      </c>
      <c r="M239" s="13">
        <f>Mulanje!M239+Luchenza!M239+Thyolo!M239+Muloza!M239+MUST!M239+Phalombe!M239+Mikolongwe!M239+Migowi!M239+Nkando!M239</f>
        <v>0</v>
      </c>
      <c r="N239" s="13">
        <f>Mulanje!N239+Luchenza!N239+Thyolo!N239+Muloza!N239+MUST!N239+Phalombe!N239+Mikolongwe!N239+Migowi!N239+Nkando!N239</f>
        <v>0</v>
      </c>
      <c r="O239" s="13">
        <f>Mulanje!O239+Luchenza!O239+Thyolo!O239+Muloza!O239+MUST!O239+Phalombe!O239+Mikolongwe!O239+Migowi!O239+Nkando!O239</f>
        <v>0</v>
      </c>
      <c r="P239" s="35">
        <f>SUM(D239:O239)</f>
        <v>45543</v>
      </c>
    </row>
    <row r="240" spans="1:16" x14ac:dyDescent="0.25">
      <c r="A240" s="176" t="s">
        <v>21</v>
      </c>
      <c r="B240" s="177"/>
      <c r="C240" s="4" t="s">
        <v>18</v>
      </c>
      <c r="D240" s="13">
        <f>Mulanje!D240+Luchenza!D240+Thyolo!D240+Muloza!D240+MUST!D240+Phalombe!D240+Mikolongwe!D240+Migowi!D240+Nkando!D240</f>
        <v>9823</v>
      </c>
      <c r="E240" s="13">
        <f>Mulanje!E240+Luchenza!E240+Thyolo!E240+Muloza!E240+MUST!E240+Phalombe!E240+Mikolongwe!E240+Migowi!E240+Nkando!E240</f>
        <v>10716</v>
      </c>
      <c r="F240" s="13">
        <f>Mulanje!F240+Luchenza!F240+Thyolo!F240+Muloza!F240+MUST!F240+Phalombe!F240+Mikolongwe!F240+Migowi!F240+Nkando!F240</f>
        <v>13395</v>
      </c>
      <c r="G240" s="13">
        <f>Mulanje!G240+Luchenza!G240+Thyolo!G240+Muloza!G240+MUST!G240+Phalombe!G240+Mikolongwe!G240+Migowi!G240+Nkando!G240</f>
        <v>0</v>
      </c>
      <c r="H240" s="13">
        <f>Mulanje!H240+Luchenza!H240+Thyolo!H240+Muloza!H240+MUST!H240+Phalombe!H240+Mikolongwe!H240+Migowi!H240+Nkando!H240</f>
        <v>0</v>
      </c>
      <c r="I240" s="13">
        <f>Mulanje!I240+Luchenza!I240+Thyolo!I240+Muloza!I240+MUST!I240+Phalombe!I240+Mikolongwe!I240+Migowi!I240+Nkando!I240</f>
        <v>0</v>
      </c>
      <c r="J240" s="13">
        <f>Mulanje!J240+Luchenza!J240+Thyolo!J240+Muloza!J240+MUST!J240+Phalombe!J240+Mikolongwe!J240+Migowi!J240+Nkando!J240</f>
        <v>0</v>
      </c>
      <c r="K240" s="13">
        <f>Mulanje!K240+Luchenza!K240+Thyolo!K240+Muloza!K240+MUST!K240+Phalombe!K240+Mikolongwe!K240+Migowi!K240+Nkando!K240</f>
        <v>0</v>
      </c>
      <c r="L240" s="13">
        <f>Mulanje!L240+Luchenza!L240+Thyolo!L240+Muloza!L240+MUST!L240+Phalombe!L240+Mikolongwe!L240+Migowi!L240+Nkando!L240</f>
        <v>0</v>
      </c>
      <c r="M240" s="13">
        <f>Mulanje!M240+Luchenza!M240+Thyolo!M240+Muloza!M240+MUST!M240+Phalombe!M240+Mikolongwe!M240+Migowi!M240+Nkando!M240</f>
        <v>0</v>
      </c>
      <c r="N240" s="13">
        <f>Mulanje!N240+Luchenza!N240+Thyolo!N240+Muloza!N240+MUST!N240+Phalombe!N240+Mikolongwe!N240+Migowi!N240+Nkando!N240</f>
        <v>0</v>
      </c>
      <c r="O240" s="13">
        <f>Mulanje!O240+Luchenza!O240+Thyolo!O240+Muloza!O240+MUST!O240+Phalombe!O240+Mikolongwe!O240+Migowi!O240+Nkando!O240</f>
        <v>0</v>
      </c>
      <c r="P240" s="35">
        <f>SUM(D240:O240)</f>
        <v>33934</v>
      </c>
    </row>
    <row r="241" spans="1:16" x14ac:dyDescent="0.25">
      <c r="A241" s="176" t="s">
        <v>20</v>
      </c>
      <c r="B241" s="177"/>
      <c r="C241" s="4" t="s">
        <v>18</v>
      </c>
      <c r="D241" s="13">
        <f>Mulanje!D241+Luchenza!D241+Thyolo!D241+Muloza!D241+MUST!D241+Phalombe!D241+Mikolongwe!D241+Migowi!D241+Nkando!D241</f>
        <v>19646</v>
      </c>
      <c r="E241" s="13">
        <f>Mulanje!E241+Luchenza!E241+Thyolo!E241+Muloza!E241+MUST!E241+Phalombe!E241+Mikolongwe!E241+Migowi!E241+Nkando!E241</f>
        <v>18753</v>
      </c>
      <c r="F241" s="13">
        <f>Mulanje!F241+Luchenza!F241+Thyolo!F241+Muloza!F241+MUST!F241+Phalombe!F241+Mikolongwe!F241+Migowi!F241+Nkando!F241</f>
        <v>18753</v>
      </c>
      <c r="G241" s="13">
        <f>Mulanje!G241+Luchenza!G241+Thyolo!G241+Muloza!G241+MUST!G241+Phalombe!G241+Mikolongwe!G241+Migowi!G241+Nkando!G241</f>
        <v>0</v>
      </c>
      <c r="H241" s="13">
        <f>Mulanje!H241+Luchenza!H241+Thyolo!H241+Muloza!H241+MUST!H241+Phalombe!H241+Mikolongwe!H241+Migowi!H241+Nkando!H241</f>
        <v>0</v>
      </c>
      <c r="I241" s="13">
        <f>Mulanje!I241+Luchenza!I241+Thyolo!I241+Muloza!I241+MUST!I241+Phalombe!I241+Mikolongwe!I241+Migowi!I241+Nkando!I241</f>
        <v>0</v>
      </c>
      <c r="J241" s="13">
        <f>Mulanje!J241+Luchenza!J241+Thyolo!J241+Muloza!J241+MUST!J241+Phalombe!J241+Mikolongwe!J241+Migowi!J241+Nkando!J241</f>
        <v>0</v>
      </c>
      <c r="K241" s="13">
        <f>Mulanje!K241+Luchenza!K241+Thyolo!K241+Muloza!K241+MUST!K241+Phalombe!K241+Mikolongwe!K241+Migowi!K241+Nkando!K241</f>
        <v>0</v>
      </c>
      <c r="L241" s="13">
        <f>Mulanje!L241+Luchenza!L241+Thyolo!L241+Muloza!L241+MUST!L241+Phalombe!L241+Mikolongwe!L241+Migowi!L241+Nkando!L241</f>
        <v>0</v>
      </c>
      <c r="M241" s="13">
        <f>Mulanje!M241+Luchenza!M241+Thyolo!M241+Muloza!M241+MUST!M241+Phalombe!M241+Mikolongwe!M241+Migowi!M241+Nkando!M241</f>
        <v>0</v>
      </c>
      <c r="N241" s="13">
        <f>Mulanje!N241+Luchenza!N241+Thyolo!N241+Muloza!N241+MUST!N241+Phalombe!N241+Mikolongwe!N241+Migowi!N241+Nkando!N241</f>
        <v>0</v>
      </c>
      <c r="O241" s="13">
        <f>Mulanje!O241+Luchenza!O241+Thyolo!O241+Muloza!O241+MUST!O241+Phalombe!O241+Mikolongwe!O241+Migowi!O241+Nkando!O241</f>
        <v>0</v>
      </c>
      <c r="P241" s="35">
        <f>SUM(D241:O241)</f>
        <v>57152</v>
      </c>
    </row>
    <row r="242" spans="1:16" x14ac:dyDescent="0.25">
      <c r="A242" s="225" t="s">
        <v>19</v>
      </c>
      <c r="B242" s="226"/>
      <c r="C242" s="4" t="s">
        <v>18</v>
      </c>
      <c r="D242" s="10">
        <f t="shared" ref="D242:P242" si="80">SUM(D238:D241)</f>
        <v>3886336</v>
      </c>
      <c r="E242" s="10">
        <f t="shared" si="80"/>
        <v>3883657</v>
      </c>
      <c r="F242" s="10">
        <f t="shared" si="80"/>
        <v>3859546</v>
      </c>
      <c r="G242" s="10">
        <f t="shared" ref="G242:H242" si="81">SUM(G238:G241)</f>
        <v>0</v>
      </c>
      <c r="H242" s="10">
        <f t="shared" si="81"/>
        <v>0</v>
      </c>
      <c r="I242" s="10">
        <f t="shared" si="80"/>
        <v>0</v>
      </c>
      <c r="J242" s="10">
        <f t="shared" si="80"/>
        <v>0</v>
      </c>
      <c r="K242" s="10">
        <f t="shared" si="80"/>
        <v>0</v>
      </c>
      <c r="L242" s="10">
        <f t="shared" si="80"/>
        <v>0</v>
      </c>
      <c r="M242" s="10">
        <f t="shared" si="80"/>
        <v>0</v>
      </c>
      <c r="N242" s="10">
        <f t="shared" si="80"/>
        <v>0</v>
      </c>
      <c r="O242" s="10">
        <f t="shared" si="80"/>
        <v>0</v>
      </c>
      <c r="P242" s="35">
        <f t="shared" si="80"/>
        <v>11629539</v>
      </c>
    </row>
    <row r="243" spans="1:16" x14ac:dyDescent="0.25">
      <c r="A243" s="225" t="s">
        <v>216</v>
      </c>
      <c r="B243" s="226"/>
      <c r="C243" s="4" t="s">
        <v>18</v>
      </c>
      <c r="D243" s="9">
        <f>D230+D236+D242</f>
        <v>156051066.74000001</v>
      </c>
      <c r="E243" s="9">
        <f t="shared" ref="E243:O243" si="82">E230+E236+E242</f>
        <v>161672973.44</v>
      </c>
      <c r="F243" s="9">
        <f t="shared" si="82"/>
        <v>147029204.29999998</v>
      </c>
      <c r="G243" s="9">
        <f t="shared" si="82"/>
        <v>0</v>
      </c>
      <c r="H243" s="9">
        <f t="shared" si="82"/>
        <v>0</v>
      </c>
      <c r="I243" s="9">
        <f t="shared" si="82"/>
        <v>0</v>
      </c>
      <c r="J243" s="9">
        <f t="shared" si="82"/>
        <v>0</v>
      </c>
      <c r="K243" s="9">
        <f t="shared" si="82"/>
        <v>0</v>
      </c>
      <c r="L243" s="9">
        <f t="shared" si="82"/>
        <v>0</v>
      </c>
      <c r="M243" s="9">
        <f t="shared" si="82"/>
        <v>0</v>
      </c>
      <c r="N243" s="9">
        <f t="shared" si="82"/>
        <v>0</v>
      </c>
      <c r="O243" s="9">
        <f t="shared" si="82"/>
        <v>0</v>
      </c>
      <c r="P243" s="35">
        <f t="shared" ref="P243" si="83">P216+P223+P236+P242</f>
        <v>477090234.71000004</v>
      </c>
    </row>
    <row r="244" spans="1:16" ht="15" x14ac:dyDescent="0.25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4"/>
    </row>
    <row r="245" spans="1:16" x14ac:dyDescent="0.25">
      <c r="A245" s="246" t="s">
        <v>207</v>
      </c>
      <c r="B245" s="247"/>
      <c r="C245" s="4" t="s">
        <v>18</v>
      </c>
      <c r="D245" s="13">
        <f>Mulanje!D245+Luchenza!D245+Thyolo!D245+Muloza!D245+MUST!D245+Phalombe!D245+Mikolongwe!D245+Migowi!D245+Nkando!D245</f>
        <v>218670393.53</v>
      </c>
      <c r="E245" s="13">
        <f>Mulanje!E245+Luchenza!E245+Thyolo!E245+Muloza!E245+MUST!E245+Phalombe!E245+Mikolongwe!E245+Migowi!E245+Nkando!E245</f>
        <v>213978041.79999998</v>
      </c>
      <c r="F245" s="13">
        <f>Mulanje!F245+Luchenza!F245+Thyolo!F245+Muloza!F245+MUST!F245+Phalombe!F245+Mikolongwe!F245+Migowi!F245+Nkando!F245</f>
        <v>382263064.98999995</v>
      </c>
      <c r="G245" s="13">
        <f>Mulanje!G245+Luchenza!G245+Thyolo!G245+Muloza!G245+MUST!G245+Phalombe!G245+Mikolongwe!G245+Migowi!G245+Nkando!G245</f>
        <v>0</v>
      </c>
      <c r="H245" s="13">
        <f>Mulanje!H245+Luchenza!H245+Thyolo!H245+Muloza!H245+MUST!H245+Phalombe!H245+Mikolongwe!H245+Migowi!H245+Nkando!H245</f>
        <v>0</v>
      </c>
      <c r="I245" s="13">
        <f>Mulanje!I245+Luchenza!I245+Thyolo!I245+Muloza!I245+MUST!I245+Phalombe!I245+Mikolongwe!I245+Migowi!I245+Nkando!I245</f>
        <v>0</v>
      </c>
      <c r="J245" s="13">
        <f>Mulanje!J245+Luchenza!J245+Thyolo!J245+Muloza!J245+MUST!J245+Phalombe!J245+Mikolongwe!J245+Migowi!J245+Nkando!J245</f>
        <v>0</v>
      </c>
      <c r="K245" s="13">
        <f>Mulanje!K245+Luchenza!K245+Thyolo!K245+Muloza!K245+MUST!K245+Phalombe!K245+Mikolongwe!K245+Migowi!K245+Nkando!K245</f>
        <v>0</v>
      </c>
      <c r="L245" s="13">
        <f>Mulanje!L245+Luchenza!L245+Thyolo!L245+Muloza!L245+MUST!L245+Phalombe!L245+Mikolongwe!L245+Migowi!L245+Nkando!L245</f>
        <v>0</v>
      </c>
      <c r="M245" s="13">
        <f>Mulanje!M245+Luchenza!M245+Thyolo!M245+Muloza!M245+MUST!M245+Phalombe!M245+Mikolongwe!M245+Migowi!M245+Nkando!M245</f>
        <v>0</v>
      </c>
      <c r="N245" s="13">
        <f>Mulanje!N245+Luchenza!N245+Thyolo!N245+Muloza!N245+MUST!N245+Phalombe!N245+Mikolongwe!N245+Migowi!N245+Nkando!N245</f>
        <v>0</v>
      </c>
      <c r="O245" s="13">
        <f>Mulanje!O245+Luchenza!O245+Thyolo!O245+Muloza!O245+MUST!O245+Phalombe!O245+Mikolongwe!O245+Migowi!O245+Nkando!O245</f>
        <v>0</v>
      </c>
      <c r="P245" s="35">
        <f>O245</f>
        <v>0</v>
      </c>
    </row>
    <row r="246" spans="1:16" x14ac:dyDescent="0.25">
      <c r="A246" s="246" t="s">
        <v>208</v>
      </c>
      <c r="B246" s="247"/>
      <c r="C246" s="4" t="s">
        <v>18</v>
      </c>
      <c r="D246" s="13">
        <f>Mulanje!D246+Luchenza!D246+Thyolo!D246+Muloza!D246+MUST!D246+Phalombe!D246+Mikolongwe!D246+Migowi!D246+Nkando!D246</f>
        <v>34839234.969999999</v>
      </c>
      <c r="E246" s="13">
        <f>Mulanje!E246+Luchenza!E246+Thyolo!E246+Muloza!E246+MUST!E246+Phalombe!E246+Mikolongwe!E246+Migowi!E246+Nkando!E246</f>
        <v>34671525.009999998</v>
      </c>
      <c r="F246" s="13">
        <f>Mulanje!F246+Luchenza!F246+Thyolo!F246+Muloza!F246+MUST!F246+Phalombe!F246+Mikolongwe!F246+Migowi!F246+Nkando!F246</f>
        <v>34839234.969999999</v>
      </c>
      <c r="G246" s="13">
        <f>Mulanje!G246+Luchenza!G246+Thyolo!G246+Muloza!G246+MUST!G246+Phalombe!G246+Mikolongwe!G246+Migowi!G246+Nkando!G246</f>
        <v>0</v>
      </c>
      <c r="H246" s="13">
        <f>Mulanje!H246+Luchenza!H246+Thyolo!H246+Muloza!H246+MUST!H246+Phalombe!H246+Mikolongwe!H246+Migowi!H246+Nkando!H246</f>
        <v>0</v>
      </c>
      <c r="I246" s="13">
        <f>Mulanje!I246+Luchenza!I246+Thyolo!I246+Muloza!I246+MUST!I246+Phalombe!I246+Mikolongwe!I246+Migowi!I246+Nkando!I246</f>
        <v>0</v>
      </c>
      <c r="J246" s="13">
        <f>Mulanje!J246+Luchenza!J246+Thyolo!J246+Muloza!J246+MUST!J246+Phalombe!J246+Mikolongwe!J246+Migowi!J246+Nkando!J246</f>
        <v>0</v>
      </c>
      <c r="K246" s="13">
        <f>Mulanje!K246+Luchenza!K246+Thyolo!K246+Muloza!K246+MUST!K246+Phalombe!K246+Mikolongwe!K246+Migowi!K246+Nkando!K246</f>
        <v>0</v>
      </c>
      <c r="L246" s="13">
        <f>Mulanje!L246+Luchenza!L246+Thyolo!L246+Muloza!L246+MUST!L246+Phalombe!L246+Mikolongwe!L246+Migowi!L246+Nkando!L246</f>
        <v>0</v>
      </c>
      <c r="M246" s="13">
        <f>Mulanje!M246+Luchenza!M246+Thyolo!M246+Muloza!M246+MUST!M246+Phalombe!M246+Mikolongwe!M246+Migowi!M246+Nkando!M246</f>
        <v>0</v>
      </c>
      <c r="N246" s="13">
        <f>Mulanje!N246+Luchenza!N246+Thyolo!N246+Muloza!N246+MUST!N246+Phalombe!N246+Mikolongwe!N246+Migowi!N246+Nkando!N246</f>
        <v>0</v>
      </c>
      <c r="O246" s="13">
        <f>Mulanje!O246+Luchenza!O246+Thyolo!O246+Muloza!O246+MUST!O246+Phalombe!O246+Mikolongwe!O246+Migowi!O246+Nkando!O246</f>
        <v>0</v>
      </c>
      <c r="P246" s="35">
        <f>O246</f>
        <v>0</v>
      </c>
    </row>
    <row r="247" spans="1:16" x14ac:dyDescent="0.25">
      <c r="A247" s="248" t="s">
        <v>209</v>
      </c>
      <c r="B247" s="249"/>
      <c r="C247" s="4" t="s">
        <v>18</v>
      </c>
      <c r="D247" s="129">
        <f>D245+D246</f>
        <v>253509628.5</v>
      </c>
      <c r="E247" s="129">
        <f>E245+E246</f>
        <v>248649566.80999997</v>
      </c>
      <c r="F247" s="129">
        <f t="shared" ref="F247:P247" si="84">F245+F246</f>
        <v>417102299.95999992</v>
      </c>
      <c r="G247" s="129">
        <f t="shared" si="84"/>
        <v>0</v>
      </c>
      <c r="H247" s="129">
        <f t="shared" si="84"/>
        <v>0</v>
      </c>
      <c r="I247" s="129">
        <f t="shared" ref="I247:O247" si="85">I245+I246</f>
        <v>0</v>
      </c>
      <c r="J247" s="129">
        <f t="shared" si="85"/>
        <v>0</v>
      </c>
      <c r="K247" s="129">
        <f t="shared" si="85"/>
        <v>0</v>
      </c>
      <c r="L247" s="129">
        <f t="shared" si="85"/>
        <v>0</v>
      </c>
      <c r="M247" s="129">
        <f t="shared" si="85"/>
        <v>0</v>
      </c>
      <c r="N247" s="129">
        <f t="shared" si="85"/>
        <v>0</v>
      </c>
      <c r="O247" s="129">
        <f t="shared" si="85"/>
        <v>0</v>
      </c>
      <c r="P247" s="147">
        <f t="shared" si="84"/>
        <v>0</v>
      </c>
    </row>
    <row r="248" spans="1:16" ht="15" x14ac:dyDescent="0.25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4"/>
    </row>
    <row r="249" spans="1:16" x14ac:dyDescent="0.25">
      <c r="A249" s="176" t="s">
        <v>16</v>
      </c>
      <c r="B249" s="177"/>
      <c r="C249" s="4" t="s">
        <v>6</v>
      </c>
      <c r="D249" s="7">
        <f>D58/D243%</f>
        <v>82.837644424615107</v>
      </c>
      <c r="E249" s="7">
        <f t="shared" ref="E249:P249" si="86">E58/E243%</f>
        <v>74.09556766113252</v>
      </c>
      <c r="F249" s="7">
        <f t="shared" si="86"/>
        <v>73.372424897017567</v>
      </c>
      <c r="G249" s="7" t="e">
        <f t="shared" si="86"/>
        <v>#DIV/0!</v>
      </c>
      <c r="H249" s="7" t="e">
        <f t="shared" si="86"/>
        <v>#DIV/0!</v>
      </c>
      <c r="I249" s="7" t="e">
        <f t="shared" si="86"/>
        <v>#DIV/0!</v>
      </c>
      <c r="J249" s="7" t="e">
        <f t="shared" si="86"/>
        <v>#DIV/0!</v>
      </c>
      <c r="K249" s="7" t="e">
        <f t="shared" si="86"/>
        <v>#DIV/0!</v>
      </c>
      <c r="L249" s="7" t="e">
        <f t="shared" si="86"/>
        <v>#DIV/0!</v>
      </c>
      <c r="M249" s="7" t="e">
        <f t="shared" si="86"/>
        <v>#DIV/0!</v>
      </c>
      <c r="N249" s="7" t="e">
        <f t="shared" si="86"/>
        <v>#DIV/0!</v>
      </c>
      <c r="O249" s="7" t="e">
        <f t="shared" si="86"/>
        <v>#DIV/0!</v>
      </c>
      <c r="P249" s="101">
        <f t="shared" si="86"/>
        <v>74.843669757912068</v>
      </c>
    </row>
    <row r="250" spans="1:16" x14ac:dyDescent="0.25">
      <c r="A250" s="176" t="s">
        <v>210</v>
      </c>
      <c r="B250" s="177"/>
      <c r="C250" s="4" t="s">
        <v>6</v>
      </c>
      <c r="D250" s="25">
        <f>D210/(D223+D245)%</f>
        <v>12.66163956937703</v>
      </c>
      <c r="E250" s="25">
        <f t="shared" ref="E250:P250" si="87">E210/(E223+E245)%</f>
        <v>16.828223451289851</v>
      </c>
      <c r="F250" s="25">
        <f t="shared" si="87"/>
        <v>6.6948153650298723</v>
      </c>
      <c r="G250" s="25" t="e">
        <f t="shared" si="87"/>
        <v>#DIV/0!</v>
      </c>
      <c r="H250" s="25" t="e">
        <f t="shared" si="87"/>
        <v>#DIV/0!</v>
      </c>
      <c r="I250" s="25" t="e">
        <f t="shared" si="87"/>
        <v>#DIV/0!</v>
      </c>
      <c r="J250" s="25" t="e">
        <f t="shared" si="87"/>
        <v>#DIV/0!</v>
      </c>
      <c r="K250" s="25" t="e">
        <f t="shared" si="87"/>
        <v>#DIV/0!</v>
      </c>
      <c r="L250" s="25" t="e">
        <f t="shared" si="87"/>
        <v>#DIV/0!</v>
      </c>
      <c r="M250" s="25" t="e">
        <f t="shared" si="87"/>
        <v>#DIV/0!</v>
      </c>
      <c r="N250" s="25" t="e">
        <f t="shared" si="87"/>
        <v>#DIV/0!</v>
      </c>
      <c r="O250" s="25" t="e">
        <f t="shared" si="87"/>
        <v>#DIV/0!</v>
      </c>
      <c r="P250" s="98">
        <f t="shared" si="87"/>
        <v>107.17098705684931</v>
      </c>
    </row>
    <row r="251" spans="1:16" ht="16.5" thickBot="1" x14ac:dyDescent="0.3">
      <c r="A251" s="236" t="s">
        <v>15</v>
      </c>
      <c r="B251" s="237"/>
      <c r="C251" s="4" t="s">
        <v>6</v>
      </c>
      <c r="D251" s="6">
        <f>D210/D223%</f>
        <v>112.10697170007155</v>
      </c>
      <c r="E251" s="6">
        <f t="shared" ref="E251:P251" si="88">E210/E223%</f>
        <v>142.36834103684677</v>
      </c>
      <c r="F251" s="6">
        <f t="shared" si="88"/>
        <v>76.07545386188724</v>
      </c>
      <c r="G251" s="6" t="e">
        <f t="shared" si="88"/>
        <v>#DIV/0!</v>
      </c>
      <c r="H251" s="6" t="e">
        <f t="shared" si="88"/>
        <v>#DIV/0!</v>
      </c>
      <c r="I251" s="6" t="e">
        <f t="shared" si="88"/>
        <v>#DIV/0!</v>
      </c>
      <c r="J251" s="6" t="e">
        <f t="shared" si="88"/>
        <v>#DIV/0!</v>
      </c>
      <c r="K251" s="6" t="e">
        <f t="shared" si="88"/>
        <v>#DIV/0!</v>
      </c>
      <c r="L251" s="6" t="e">
        <f t="shared" si="88"/>
        <v>#DIV/0!</v>
      </c>
      <c r="M251" s="6" t="e">
        <f t="shared" si="88"/>
        <v>#DIV/0!</v>
      </c>
      <c r="N251" s="6" t="e">
        <f t="shared" si="88"/>
        <v>#DIV/0!</v>
      </c>
      <c r="O251" s="6" t="e">
        <f t="shared" si="88"/>
        <v>#DIV/0!</v>
      </c>
      <c r="P251" s="102">
        <f t="shared" si="88"/>
        <v>107.17098705684931</v>
      </c>
    </row>
    <row r="252" spans="1:16" ht="15" x14ac:dyDescent="0.25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40"/>
    </row>
    <row r="253" spans="1:16" ht="15" customHeight="1" x14ac:dyDescent="0.25">
      <c r="A253" s="176" t="s">
        <v>13</v>
      </c>
      <c r="B253" s="177"/>
      <c r="C253" s="4" t="s">
        <v>3</v>
      </c>
      <c r="D253" s="22">
        <f>Mulanje!D253+Luchenza!D253+Thyolo!D253+Muloza!D253+MUST!D253+Phalombe!D253+Mikolongwe!D253+Migowi!D253+Nkando!D253</f>
        <v>72</v>
      </c>
      <c r="E253" s="22">
        <f>Mulanje!E253+Luchenza!E253+Thyolo!E253+Muloza!E253+MUST!E253+Phalombe!E253+Mikolongwe!E253+Migowi!E253+Nkando!E253</f>
        <v>69</v>
      </c>
      <c r="F253" s="22">
        <f>Mulanje!F253+Luchenza!F253+Thyolo!F253+Muloza!F253+MUST!F253+Phalombe!F253+Mikolongwe!F253+Migowi!F253+Nkando!F253</f>
        <v>97</v>
      </c>
      <c r="G253" s="22">
        <f>Mulanje!G253+Luchenza!G253+Thyolo!G253+Muloza!G253+MUST!G253+Phalombe!G253+Mikolongwe!G253+Migowi!G253+Nkando!G253</f>
        <v>0</v>
      </c>
      <c r="H253" s="22">
        <f>Mulanje!H253+Luchenza!H253+Thyolo!H253+Muloza!H253+MUST!H253+Phalombe!H253+Mikolongwe!H253+Migowi!H253+Nkando!H253</f>
        <v>0</v>
      </c>
      <c r="I253" s="22">
        <f>Mulanje!I253+Luchenza!I253+Thyolo!I253+Muloza!I253+MUST!I253+Phalombe!I253+Mikolongwe!I253+Migowi!I253+Nkando!I253</f>
        <v>0</v>
      </c>
      <c r="J253" s="22">
        <f>Mulanje!J253+Luchenza!J253+Thyolo!J253+Muloza!J253+MUST!J253+Phalombe!J253+Mikolongwe!J253+Migowi!J253+Nkando!J253</f>
        <v>0</v>
      </c>
      <c r="K253" s="22">
        <f>Mulanje!K253+Luchenza!K253+Thyolo!K253+Muloza!K253+MUST!K253+Phalombe!K253+Mikolongwe!K253+Migowi!K253+Nkando!K253</f>
        <v>0</v>
      </c>
      <c r="L253" s="22">
        <f>Mulanje!L253+Luchenza!L253+Thyolo!L253+Muloza!L253+MUST!L253+Phalombe!L253+Mikolongwe!L253+Migowi!L253+Nkando!L253</f>
        <v>0</v>
      </c>
      <c r="M253" s="22">
        <f>Mulanje!M253+Luchenza!M253+Thyolo!M253+Muloza!M253+MUST!M253+Phalombe!M253+Mikolongwe!M253+Migowi!M253+Nkando!M253</f>
        <v>0</v>
      </c>
      <c r="N253" s="22">
        <f>Mulanje!N253+Luchenza!N253+Thyolo!N253+Muloza!N253+MUST!N253+Phalombe!N253+Mikolongwe!N253+Migowi!N253+Nkando!N253</f>
        <v>0</v>
      </c>
      <c r="O253" s="22">
        <f>Mulanje!O253+Luchenza!O253+Thyolo!O253+Muloza!O253+MUST!O253+Phalombe!O253+Mikolongwe!O253+Migowi!O253+Nkando!O253</f>
        <v>0</v>
      </c>
      <c r="P253" s="103">
        <f>SUM(D253:O253)</f>
        <v>238</v>
      </c>
    </row>
    <row r="254" spans="1:16" x14ac:dyDescent="0.25">
      <c r="A254" s="176" t="s">
        <v>12</v>
      </c>
      <c r="B254" s="177"/>
      <c r="C254" s="4" t="s">
        <v>3</v>
      </c>
      <c r="D254" s="22">
        <f>Mulanje!D254+Luchenza!D254+Thyolo!D254+Muloza!D254+MUST!D254+Phalombe!D254+Mikolongwe!D254+Migowi!D254+Nkando!D254</f>
        <v>19</v>
      </c>
      <c r="E254" s="22">
        <f>Mulanje!E254+Luchenza!E254+Thyolo!E254+Muloza!E254+MUST!E254+Phalombe!E254+Mikolongwe!E254+Migowi!E254+Nkando!E254</f>
        <v>19</v>
      </c>
      <c r="F254" s="22">
        <f>Mulanje!F254+Luchenza!F254+Thyolo!F254+Muloza!F254+MUST!F254+Phalombe!F254+Mikolongwe!F254+Migowi!F254+Nkando!F254</f>
        <v>23</v>
      </c>
      <c r="G254" s="22">
        <f>Mulanje!G254+Luchenza!G254+Thyolo!G254+Muloza!G254+MUST!G254+Phalombe!G254+Mikolongwe!G254+Migowi!G254+Nkando!G254</f>
        <v>0</v>
      </c>
      <c r="H254" s="22">
        <f>Mulanje!H254+Luchenza!H254+Thyolo!H254+Muloza!H254+MUST!H254+Phalombe!H254+Mikolongwe!H254+Migowi!H254+Nkando!H254</f>
        <v>0</v>
      </c>
      <c r="I254" s="22">
        <f>Mulanje!I254+Luchenza!I254+Thyolo!I254+Muloza!I254+MUST!I254+Phalombe!I254+Mikolongwe!I254+Migowi!I254+Nkando!I254</f>
        <v>0</v>
      </c>
      <c r="J254" s="22">
        <f>Mulanje!J254+Luchenza!J254+Thyolo!J254+Muloza!J254+MUST!J254+Phalombe!J254+Mikolongwe!J254+Migowi!J254+Nkando!J254</f>
        <v>0</v>
      </c>
      <c r="K254" s="22">
        <f>Mulanje!K254+Luchenza!K254+Thyolo!K254+Muloza!K254+MUST!K254+Phalombe!K254+Mikolongwe!K254+Migowi!K254+Nkando!K254</f>
        <v>0</v>
      </c>
      <c r="L254" s="22">
        <f>Mulanje!L254+Luchenza!L254+Thyolo!L254+Muloza!L254+MUST!L254+Phalombe!L254+Mikolongwe!L254+Migowi!L254+Nkando!L254</f>
        <v>0</v>
      </c>
      <c r="M254" s="22">
        <f>Mulanje!M254+Luchenza!M254+Thyolo!M254+Muloza!M254+MUST!M254+Phalombe!M254+Mikolongwe!M254+Migowi!M254+Nkando!M254</f>
        <v>0</v>
      </c>
      <c r="N254" s="22">
        <f>Mulanje!N254+Luchenza!N254+Thyolo!N254+Muloza!N254+MUST!N254+Phalombe!N254+Mikolongwe!N254+Migowi!N254+Nkando!N254</f>
        <v>0</v>
      </c>
      <c r="O254" s="22">
        <f>Mulanje!O254+Luchenza!O254+Thyolo!O254+Muloza!O254+MUST!O254+Phalombe!O254+Mikolongwe!O254+Migowi!O254+Nkando!O254</f>
        <v>0</v>
      </c>
      <c r="P254" s="103">
        <f>SUM(D254:O254)</f>
        <v>61</v>
      </c>
    </row>
    <row r="255" spans="1:16" ht="15.75" customHeight="1" x14ac:dyDescent="0.25">
      <c r="A255" s="176" t="s">
        <v>11</v>
      </c>
      <c r="B255" s="177"/>
      <c r="C255" s="4" t="s">
        <v>3</v>
      </c>
      <c r="D255" s="22">
        <f>Mulanje!D255+Luchenza!D255+Thyolo!D255+Muloza!D255+MUST!D255+Phalombe!D255+Mikolongwe!D255+Migowi!D255+Nkando!D255</f>
        <v>196</v>
      </c>
      <c r="E255" s="22">
        <f>Mulanje!E255+Luchenza!E255+Thyolo!E255+Muloza!E255+MUST!E255+Phalombe!E255+Mikolongwe!E255+Migowi!E255+Nkando!E255</f>
        <v>203</v>
      </c>
      <c r="F255" s="22">
        <f>Mulanje!F255+Luchenza!F255+Thyolo!F255+Muloza!F255+MUST!F255+Phalombe!F255+Mikolongwe!F255+Migowi!F255+Nkando!F255</f>
        <v>198</v>
      </c>
      <c r="G255" s="22">
        <f>Mulanje!G255+Luchenza!G255+Thyolo!G255+Muloza!G255+MUST!G255+Phalombe!G255+Mikolongwe!G255+Migowi!G255+Nkando!G255</f>
        <v>188</v>
      </c>
      <c r="H255" s="22">
        <f>Mulanje!H255+Luchenza!H255+Thyolo!H255+Muloza!H255+MUST!H255+Phalombe!H255+Mikolongwe!H255+Migowi!H255+Nkando!H255</f>
        <v>191</v>
      </c>
      <c r="I255" s="22">
        <f>Mulanje!I255+Luchenza!I255+Thyolo!I255+Muloza!I255+MUST!I255+Phalombe!I255+Mikolongwe!I255+Migowi!I255+Nkando!I255</f>
        <v>191</v>
      </c>
      <c r="J255" s="22">
        <f>Mulanje!J255+Luchenza!J255+Thyolo!J255+Muloza!J255+MUST!J255+Phalombe!J255+Mikolongwe!J255+Migowi!J255+Nkando!J255</f>
        <v>191</v>
      </c>
      <c r="K255" s="22">
        <f>Mulanje!K255+Luchenza!K255+Thyolo!K255+Muloza!K255+MUST!K255+Phalombe!K255+Mikolongwe!K255+Migowi!K255+Nkando!K255</f>
        <v>191</v>
      </c>
      <c r="L255" s="22">
        <f>Mulanje!L255+Luchenza!L255+Thyolo!L255+Muloza!L255+MUST!L255+Phalombe!L255+Mikolongwe!L255+Migowi!L255+Nkando!L255</f>
        <v>191</v>
      </c>
      <c r="M255" s="22">
        <f>Mulanje!M255+Luchenza!M255+Thyolo!M255+Muloza!M255+MUST!M255+Phalombe!M255+Mikolongwe!M255+Migowi!M255+Nkando!M255</f>
        <v>191</v>
      </c>
      <c r="N255" s="22">
        <f>Mulanje!N255+Luchenza!N255+Thyolo!N255+Muloza!N255+MUST!N255+Phalombe!N255+Mikolongwe!N255+Migowi!N255+Nkando!N255</f>
        <v>191</v>
      </c>
      <c r="O255" s="22">
        <f>Mulanje!O255+Luchenza!O255+Thyolo!O255+Muloza!O255+MUST!O255+Phalombe!O255+Mikolongwe!O255+Migowi!O255+Nkando!O255</f>
        <v>0</v>
      </c>
      <c r="P255" s="103">
        <f>SUM(D255:O255)</f>
        <v>2122</v>
      </c>
    </row>
    <row r="256" spans="1:16" x14ac:dyDescent="0.25">
      <c r="A256" s="176" t="s">
        <v>10</v>
      </c>
      <c r="B256" s="177"/>
      <c r="C256" s="4" t="s">
        <v>3</v>
      </c>
      <c r="D256" s="22">
        <f>Mulanje!D256+Luchenza!D256+Thyolo!D256+Muloza!D256+MUST!D256+Phalombe!D256+Mikolongwe!D256+Migowi!D256+Nkando!D256</f>
        <v>157</v>
      </c>
      <c r="E256" s="22">
        <f>Mulanje!E256+Luchenza!E256+Thyolo!E256+Muloza!E256+MUST!E256+Phalombe!E256+Mikolongwe!E256+Migowi!E256+Nkando!E256</f>
        <v>96</v>
      </c>
      <c r="F256" s="22">
        <f>Mulanje!F256+Luchenza!F256+Thyolo!F256+Muloza!F256+MUST!F256+Phalombe!F256+Mikolongwe!F256+Migowi!F256+Nkando!F256</f>
        <v>121</v>
      </c>
      <c r="G256" s="22">
        <f>Mulanje!G256+Luchenza!G256+Thyolo!G256+Muloza!G256+MUST!G256+Phalombe!G256+Mikolongwe!G256+Migowi!G256+Nkando!G256</f>
        <v>0</v>
      </c>
      <c r="H256" s="22">
        <f>Mulanje!H256+Luchenza!H256+Thyolo!H256+Muloza!H256+MUST!H256+Phalombe!H256+Mikolongwe!H256+Migowi!H256+Nkando!H256</f>
        <v>0</v>
      </c>
      <c r="I256" s="22">
        <f>Mulanje!I256+Luchenza!I256+Thyolo!I256+Muloza!I256+MUST!I256+Phalombe!I256+Mikolongwe!I256+Migowi!I256+Nkando!I256</f>
        <v>0</v>
      </c>
      <c r="J256" s="22">
        <f>Mulanje!J256+Luchenza!J256+Thyolo!J256+Muloza!J256+MUST!J256+Phalombe!J256+Mikolongwe!J256+Migowi!J256+Nkando!J256</f>
        <v>0</v>
      </c>
      <c r="K256" s="22">
        <f>Mulanje!K256+Luchenza!K256+Thyolo!K256+Muloza!K256+MUST!K256+Phalombe!K256+Mikolongwe!K256+Migowi!K256+Nkando!K256</f>
        <v>0</v>
      </c>
      <c r="L256" s="22">
        <f>Mulanje!L256+Luchenza!L256+Thyolo!L256+Muloza!L256+MUST!L256+Phalombe!L256+Mikolongwe!L256+Migowi!L256+Nkando!L256</f>
        <v>0</v>
      </c>
      <c r="M256" s="22">
        <f>Mulanje!M256+Luchenza!M256+Thyolo!M256+Muloza!M256+MUST!M256+Phalombe!M256+Mikolongwe!M256+Migowi!M256+Nkando!M256</f>
        <v>0</v>
      </c>
      <c r="N256" s="22">
        <f>Mulanje!N256+Luchenza!N256+Thyolo!N256+Muloza!N256+MUST!N256+Phalombe!N256+Mikolongwe!N256+Migowi!N256+Nkando!N256</f>
        <v>0</v>
      </c>
      <c r="O256" s="22">
        <f>Mulanje!O256+Luchenza!O256+Thyolo!O256+Muloza!O256+MUST!O256+Phalombe!O256+Mikolongwe!O256+Migowi!O256+Nkando!O256</f>
        <v>0</v>
      </c>
      <c r="P256" s="103">
        <f>SUM(D256:O256)</f>
        <v>374</v>
      </c>
    </row>
    <row r="257" spans="1:16" ht="15.6" customHeight="1" x14ac:dyDescent="0.25">
      <c r="A257" s="176" t="s">
        <v>9</v>
      </c>
      <c r="B257" s="177"/>
      <c r="C257" s="4" t="s">
        <v>3</v>
      </c>
      <c r="D257" s="22">
        <f>Mulanje!D257+Luchenza!D257+Thyolo!D257+Muloza!D257+MUST!D257+Phalombe!D257+Mikolongwe!D257+Migowi!D257+Nkando!D257</f>
        <v>139</v>
      </c>
      <c r="E257" s="22">
        <f>Mulanje!E257+Luchenza!E257+Thyolo!E257+Muloza!E257+MUST!E257+Phalombe!E257+Mikolongwe!E257+Migowi!E257+Nkando!E257</f>
        <v>139</v>
      </c>
      <c r="F257" s="22">
        <f>Mulanje!F257+Luchenza!F257+Thyolo!F257+Muloza!F257+MUST!F257+Phalombe!F257+Mikolongwe!F257+Migowi!F257+Nkando!F257</f>
        <v>162</v>
      </c>
      <c r="G257" s="22">
        <f>Mulanje!G257+Luchenza!G257+Thyolo!G257+Muloza!G257+MUST!G257+Phalombe!G257+Mikolongwe!G257+Migowi!G257+Nkando!G257</f>
        <v>0</v>
      </c>
      <c r="H257" s="22">
        <f>Mulanje!H257+Luchenza!H257+Thyolo!H257+Muloza!H257+MUST!H257+Phalombe!H257+Mikolongwe!H257+Migowi!H257+Nkando!H257</f>
        <v>0</v>
      </c>
      <c r="I257" s="22">
        <f>Mulanje!I257+Luchenza!I257+Thyolo!I257+Muloza!I257+MUST!I257+Phalombe!I257+Mikolongwe!I257+Migowi!I257+Nkando!I257</f>
        <v>0</v>
      </c>
      <c r="J257" s="22">
        <f>Mulanje!J257+Luchenza!J257+Thyolo!J257+Muloza!J257+MUST!J257+Phalombe!J257+Mikolongwe!J257+Migowi!J257+Nkando!J257</f>
        <v>0</v>
      </c>
      <c r="K257" s="22">
        <f>Mulanje!K257+Luchenza!K257+Thyolo!K257+Muloza!K257+MUST!K257+Phalombe!K257+Mikolongwe!K257+Migowi!K257+Nkando!K257</f>
        <v>0</v>
      </c>
      <c r="L257" s="22">
        <f>Mulanje!L257+Luchenza!L257+Thyolo!L257+Muloza!L257+MUST!L257+Phalombe!L257+Mikolongwe!L257+Migowi!L257+Nkando!L257</f>
        <v>0</v>
      </c>
      <c r="M257" s="22">
        <f>Mulanje!M257+Luchenza!M257+Thyolo!M257+Muloza!M257+MUST!M257+Phalombe!M257+Mikolongwe!M257+Migowi!M257+Nkando!M257</f>
        <v>0</v>
      </c>
      <c r="N257" s="22">
        <f>Mulanje!N257+Luchenza!N257+Thyolo!N257+Muloza!N257+MUST!N257+Phalombe!N257+Mikolongwe!N257+Migowi!N257+Nkando!N257</f>
        <v>0</v>
      </c>
      <c r="O257" s="22">
        <f>Mulanje!O257+Luchenza!O257+Thyolo!O257+Muloza!O257+MUST!O257+Phalombe!O257+Mikolongwe!O257+Migowi!O257+Nkando!O257</f>
        <v>0</v>
      </c>
      <c r="P257" s="103">
        <f>SUM(D257:O257)</f>
        <v>440</v>
      </c>
    </row>
    <row r="258" spans="1:16" x14ac:dyDescent="0.25">
      <c r="A258" s="225" t="s">
        <v>8</v>
      </c>
      <c r="B258" s="226"/>
      <c r="C258" s="4" t="s">
        <v>3</v>
      </c>
      <c r="D258" s="1">
        <f t="shared" ref="D258:P258" si="89">D257/D256</f>
        <v>0.88535031847133761</v>
      </c>
      <c r="E258" s="1">
        <f t="shared" si="89"/>
        <v>1.4479166666666667</v>
      </c>
      <c r="F258" s="1">
        <f t="shared" si="89"/>
        <v>1.3388429752066116</v>
      </c>
      <c r="G258" s="1" t="e">
        <f t="shared" si="89"/>
        <v>#DIV/0!</v>
      </c>
      <c r="H258" s="1" t="e">
        <f t="shared" si="89"/>
        <v>#DIV/0!</v>
      </c>
      <c r="I258" s="1" t="e">
        <f t="shared" si="89"/>
        <v>#DIV/0!</v>
      </c>
      <c r="J258" s="1" t="e">
        <f t="shared" si="89"/>
        <v>#DIV/0!</v>
      </c>
      <c r="K258" s="1" t="e">
        <f t="shared" si="89"/>
        <v>#DIV/0!</v>
      </c>
      <c r="L258" s="1" t="e">
        <f t="shared" si="89"/>
        <v>#DIV/0!</v>
      </c>
      <c r="M258" s="1" t="e">
        <f t="shared" si="89"/>
        <v>#DIV/0!</v>
      </c>
      <c r="N258" s="1" t="e">
        <f t="shared" si="89"/>
        <v>#DIV/0!</v>
      </c>
      <c r="O258" s="1" t="e">
        <f t="shared" si="89"/>
        <v>#DIV/0!</v>
      </c>
      <c r="P258" s="103">
        <f t="shared" si="89"/>
        <v>1.1764705882352942</v>
      </c>
    </row>
    <row r="259" spans="1:16" x14ac:dyDescent="0.25">
      <c r="A259" s="225" t="s">
        <v>7</v>
      </c>
      <c r="B259" s="226"/>
      <c r="C259" s="4" t="s">
        <v>6</v>
      </c>
      <c r="D259" s="1">
        <f t="shared" ref="D259:P259" si="90">D92/D255*100</f>
        <v>0</v>
      </c>
      <c r="E259" s="1">
        <f t="shared" si="90"/>
        <v>1.9704433497536946</v>
      </c>
      <c r="F259" s="1">
        <f t="shared" si="90"/>
        <v>8.0808080808080813</v>
      </c>
      <c r="G259" s="1">
        <f t="shared" si="90"/>
        <v>0</v>
      </c>
      <c r="H259" s="144">
        <f t="shared" si="90"/>
        <v>0</v>
      </c>
      <c r="I259" s="5">
        <f t="shared" si="90"/>
        <v>0</v>
      </c>
      <c r="J259" s="5">
        <f t="shared" si="90"/>
        <v>0</v>
      </c>
      <c r="K259" s="5">
        <f t="shared" si="90"/>
        <v>0</v>
      </c>
      <c r="L259" s="5">
        <f t="shared" si="90"/>
        <v>0</v>
      </c>
      <c r="M259" s="5">
        <f t="shared" si="90"/>
        <v>0</v>
      </c>
      <c r="N259" s="5">
        <f t="shared" si="90"/>
        <v>0</v>
      </c>
      <c r="O259" s="5" t="e">
        <f t="shared" si="90"/>
        <v>#DIV/0!</v>
      </c>
      <c r="P259" s="104">
        <f t="shared" si="90"/>
        <v>0.94250706880301593</v>
      </c>
    </row>
    <row r="260" spans="1:16" ht="15" x14ac:dyDescent="0.25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4"/>
    </row>
    <row r="261" spans="1:16" ht="15" customHeight="1" x14ac:dyDescent="0.25">
      <c r="A261" s="176" t="s">
        <v>4</v>
      </c>
      <c r="B261" s="177"/>
      <c r="C261" s="4" t="s">
        <v>3</v>
      </c>
      <c r="D261" s="22">
        <f>Mulanje!D261+Luchenza!D261+Thyolo!D261+Muloza!D261+MUST!D261+Phalombe!D261+Mikolongwe!D261+Migowi!D261+Nkando!D261</f>
        <v>81</v>
      </c>
      <c r="E261" s="22">
        <f>Mulanje!E261+Luchenza!E261+Thyolo!E261+Muloza!E261+MUST!E261+Phalombe!E261+Mikolongwe!E261+Migowi!E261+Nkando!E261</f>
        <v>79</v>
      </c>
      <c r="F261" s="22">
        <f>Mulanje!F261+Luchenza!F261+Thyolo!F261+Muloza!F261+MUST!F261+Phalombe!F261+Mikolongwe!F261+Migowi!F261+Nkando!F261</f>
        <v>102</v>
      </c>
      <c r="G261" s="22">
        <f>Mulanje!G261+Luchenza!G261+Thyolo!G261+Muloza!G261+MUST!G261+Phalombe!G261+Mikolongwe!G261+Migowi!G261+Nkando!G261</f>
        <v>5</v>
      </c>
      <c r="H261" s="22">
        <f>Mulanje!H261+Luchenza!H261+Thyolo!H261+Muloza!H261+MUST!H261+Phalombe!H261+Mikolongwe!H261+Migowi!H261+Nkando!H261</f>
        <v>0</v>
      </c>
      <c r="I261" s="22">
        <f>Mulanje!I261+Luchenza!I261+Thyolo!I261+Muloza!I261+MUST!I261+Phalombe!I261+Mikolongwe!I261+Migowi!I261+Nkando!I261</f>
        <v>0</v>
      </c>
      <c r="J261" s="22">
        <f>Mulanje!J261+Luchenza!J261+Thyolo!J261+Muloza!J261+MUST!J261+Phalombe!J261+Mikolongwe!J261+Migowi!J261+Nkando!J261</f>
        <v>0</v>
      </c>
      <c r="K261" s="22">
        <f>Mulanje!K261+Luchenza!K261+Thyolo!K261+Muloza!K261+MUST!K261+Phalombe!K261+Mikolongwe!K261+Migowi!K261+Nkando!K261</f>
        <v>0</v>
      </c>
      <c r="L261" s="22">
        <f>Mulanje!L261+Luchenza!L261+Thyolo!L261+Muloza!L261+MUST!L261+Phalombe!L261+Mikolongwe!L261+Migowi!L261+Nkando!L261</f>
        <v>0</v>
      </c>
      <c r="M261" s="22">
        <f>Mulanje!M261+Luchenza!M261+Thyolo!M261+Muloza!M261+MUST!M261+Phalombe!M261+Mikolongwe!M261+Migowi!M261+Nkando!M261</f>
        <v>0</v>
      </c>
      <c r="N261" s="22">
        <f>Mulanje!N261+Luchenza!N261+Thyolo!N261+Muloza!N261+MUST!N261+Phalombe!N261+Mikolongwe!N261+Migowi!N261+Nkando!N261</f>
        <v>0</v>
      </c>
      <c r="O261" s="22">
        <f>Mulanje!O261+Luchenza!O261+Thyolo!O261+Muloza!O261+MUST!O261+Phalombe!O261+Mikolongwe!O261+Migowi!O261+Nkando!O261</f>
        <v>0</v>
      </c>
      <c r="P261" s="35">
        <f>SUM(D261:O261)</f>
        <v>267</v>
      </c>
    </row>
    <row r="262" spans="1:16" ht="15.75" customHeight="1" x14ac:dyDescent="0.25">
      <c r="A262" s="176" t="s">
        <v>2</v>
      </c>
      <c r="B262" s="177"/>
      <c r="C262" s="4" t="s">
        <v>0</v>
      </c>
      <c r="D262" s="22">
        <f>Mulanje!D262+Luchenza!D262+Thyolo!D262+Muloza!D262+MUST!D262+Phalombe!D262+Mikolongwe!D262+Migowi!D262+Nkando!D262</f>
        <v>64</v>
      </c>
      <c r="E262" s="22">
        <f>Mulanje!E262+Luchenza!E262+Thyolo!E262+Muloza!E262+MUST!E262+Phalombe!E262+Mikolongwe!E262+Migowi!E262+Nkando!E262</f>
        <v>48</v>
      </c>
      <c r="F262" s="22">
        <f>Mulanje!F262+Luchenza!F262+Thyolo!F262+Muloza!F262+MUST!F262+Phalombe!F262+Mikolongwe!F262+Migowi!F262+Nkando!F262</f>
        <v>73</v>
      </c>
      <c r="G262" s="22">
        <f>Mulanje!G262+Luchenza!G262+Thyolo!G262+Muloza!G262+MUST!G262+Phalombe!G262+Mikolongwe!G262+Migowi!G262+Nkando!G262</f>
        <v>3</v>
      </c>
      <c r="H262" s="22">
        <f>Mulanje!H262+Luchenza!H262+Thyolo!H262+Muloza!H262+MUST!H262+Phalombe!H262+Mikolongwe!H262+Migowi!H262+Nkando!H262</f>
        <v>0</v>
      </c>
      <c r="I262" s="22">
        <f>Mulanje!I262+Luchenza!I262+Thyolo!I262+Muloza!I262+MUST!I262+Phalombe!I262+Mikolongwe!I262+Migowi!I262+Nkando!I262</f>
        <v>0</v>
      </c>
      <c r="J262" s="22">
        <f>Mulanje!J262+Luchenza!J262+Thyolo!J262+Muloza!J262+MUST!J262+Phalombe!J262+Mikolongwe!J262+Migowi!J262+Nkando!J262</f>
        <v>0</v>
      </c>
      <c r="K262" s="22">
        <f>Mulanje!K262+Luchenza!K262+Thyolo!K262+Muloza!K262+MUST!K262+Phalombe!K262+Mikolongwe!K262+Migowi!K262+Nkando!K262</f>
        <v>0</v>
      </c>
      <c r="L262" s="22">
        <f>Mulanje!L262+Luchenza!L262+Thyolo!L262+Muloza!L262+MUST!L262+Phalombe!L262+Mikolongwe!L262+Migowi!L262+Nkando!L262</f>
        <v>0</v>
      </c>
      <c r="M262" s="22">
        <f>Mulanje!M262+Luchenza!M262+Thyolo!M262+Muloza!M262+MUST!M262+Phalombe!M262+Mikolongwe!M262+Migowi!M262+Nkando!M262</f>
        <v>0</v>
      </c>
      <c r="N262" s="22">
        <f>Mulanje!N262+Luchenza!N262+Thyolo!N262+Muloza!N262+MUST!N262+Phalombe!N262+Mikolongwe!N262+Migowi!N262+Nkando!N262</f>
        <v>0</v>
      </c>
      <c r="O262" s="22">
        <f>Mulanje!O262+Luchenza!O262+Thyolo!O262+Muloza!O262+MUST!O262+Phalombe!O262+Mikolongwe!O262+Migowi!O262+Nkando!O262</f>
        <v>0</v>
      </c>
      <c r="P262" s="35">
        <f>SUM(D262:O262)</f>
        <v>188</v>
      </c>
    </row>
    <row r="263" spans="1:16" ht="16.5" thickBot="1" x14ac:dyDescent="0.3">
      <c r="A263" s="230" t="s">
        <v>1</v>
      </c>
      <c r="B263" s="231"/>
      <c r="C263" s="105" t="s">
        <v>0</v>
      </c>
      <c r="D263" s="106">
        <f>D261/D262</f>
        <v>1.265625</v>
      </c>
      <c r="E263" s="106">
        <f>E261/E262</f>
        <v>1.6458333333333333</v>
      </c>
      <c r="F263" s="106">
        <f>F261/F262</f>
        <v>1.3972602739726028</v>
      </c>
      <c r="G263" s="106">
        <f>G261/G262</f>
        <v>1.6666666666666667</v>
      </c>
      <c r="H263" s="106" t="e">
        <f>H261/H262</f>
        <v>#DIV/0!</v>
      </c>
      <c r="I263" s="106" t="e">
        <f t="shared" ref="I263:P263" si="91">I261/I262</f>
        <v>#DIV/0!</v>
      </c>
      <c r="J263" s="106" t="e">
        <f t="shared" si="91"/>
        <v>#DIV/0!</v>
      </c>
      <c r="K263" s="106" t="e">
        <f t="shared" si="91"/>
        <v>#DIV/0!</v>
      </c>
      <c r="L263" s="106" t="e">
        <f t="shared" si="91"/>
        <v>#DIV/0!</v>
      </c>
      <c r="M263" s="106" t="e">
        <f t="shared" si="91"/>
        <v>#DIV/0!</v>
      </c>
      <c r="N263" s="106" t="e">
        <f t="shared" si="91"/>
        <v>#DIV/0!</v>
      </c>
      <c r="O263" s="106" t="e">
        <f t="shared" si="91"/>
        <v>#DIV/0!</v>
      </c>
      <c r="P263" s="167">
        <f t="shared" si="91"/>
        <v>1.4202127659574468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263"/>
  <sheetViews>
    <sheetView zoomScale="60" zoomScaleNormal="60" workbookViewId="0">
      <pane xSplit="3" ySplit="8" topLeftCell="D48" activePane="bottomRight" state="frozen"/>
      <selection pane="topRight" activeCell="D1" sqref="D1"/>
      <selection pane="bottomLeft" activeCell="A9" sqref="A9"/>
      <selection pane="bottomRight" activeCell="P226" sqref="P226"/>
    </sheetView>
  </sheetViews>
  <sheetFormatPr defaultRowHeight="15" x14ac:dyDescent="0.25"/>
  <cols>
    <col min="1" max="1" width="39" customWidth="1"/>
    <col min="2" max="2" width="16.85546875" customWidth="1"/>
    <col min="3" max="3" width="11.28515625" bestFit="1" customWidth="1"/>
    <col min="4" max="4" width="20.140625" bestFit="1" customWidth="1"/>
    <col min="5" max="10" width="19.140625" customWidth="1"/>
    <col min="11" max="12" width="23.140625" customWidth="1"/>
    <col min="13" max="13" width="20.140625" bestFit="1" customWidth="1"/>
  </cols>
  <sheetData>
    <row r="1" spans="1:13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5" thickBot="1" x14ac:dyDescent="0.3">
      <c r="A7" s="180" t="s">
        <v>176</v>
      </c>
      <c r="B7" s="18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.75" thickBot="1" x14ac:dyDescent="0.3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</row>
    <row r="9" spans="1:13" ht="15.75" x14ac:dyDescent="0.25">
      <c r="A9" s="184" t="s">
        <v>178</v>
      </c>
      <c r="B9" s="185"/>
      <c r="C9" s="53" t="s">
        <v>154</v>
      </c>
      <c r="D9" s="52">
        <f>Mulanje!D9+Mulanje!E9+Mulanje!F9</f>
        <v>139772</v>
      </c>
      <c r="E9" s="52">
        <f>Luchenza!D9+Luchenza!E9+Luchenza!F9</f>
        <v>45715</v>
      </c>
      <c r="F9" s="52">
        <f>Thyolo!D9+Thyolo!E9+Thyolo!F9</f>
        <v>44510</v>
      </c>
      <c r="G9" s="52">
        <f>Muloza!D9+Muloza!E9+Muloza!F9</f>
        <v>29078</v>
      </c>
      <c r="H9" s="52">
        <f>MUST!D9+MUST!E9+MUST!F9</f>
        <v>60385</v>
      </c>
      <c r="I9" s="52">
        <f>Phalombe!D9+Phalombe!E9+Phalombe!F9</f>
        <v>26530</v>
      </c>
      <c r="J9" s="52">
        <f>Mikolongwe!D9+Mikolongwe!E9+Mikolongwe!F9</f>
        <v>2390</v>
      </c>
      <c r="K9" s="52">
        <f>Migowi!D9+Migowi!E9+Migowi!F9</f>
        <v>2976</v>
      </c>
      <c r="L9" s="424">
        <f>Nkando!D9+Nkando!E9+Nkando!F9</f>
        <v>6562</v>
      </c>
      <c r="M9" s="137">
        <f>SUM(D9:L9)</f>
        <v>357918</v>
      </c>
    </row>
    <row r="10" spans="1:13" x14ac:dyDescent="0.25">
      <c r="A10" s="212" t="s">
        <v>179</v>
      </c>
      <c r="B10" s="213"/>
      <c r="C10" s="213"/>
      <c r="D10" s="235"/>
      <c r="E10" s="235"/>
      <c r="F10" s="235"/>
      <c r="G10" s="235"/>
      <c r="H10" s="235"/>
      <c r="I10" s="235"/>
      <c r="J10" s="235"/>
      <c r="K10" s="235"/>
      <c r="L10" s="235"/>
      <c r="M10" s="214"/>
    </row>
    <row r="11" spans="1:13" ht="15.75" x14ac:dyDescent="0.25">
      <c r="A11" s="182" t="s">
        <v>159</v>
      </c>
      <c r="B11" s="183"/>
      <c r="C11" s="4" t="s">
        <v>154</v>
      </c>
      <c r="D11" s="22">
        <f>Mulanje!D11+Mulanje!E11+Mulanje!F11</f>
        <v>50455</v>
      </c>
      <c r="E11" s="22">
        <f>Luchenza!D11+Luchenza!E11+Luchenza!F11</f>
        <v>16229</v>
      </c>
      <c r="F11" s="22">
        <f>Thyolo!D11+Thyolo!E11+Thyolo!F11</f>
        <v>11925</v>
      </c>
      <c r="G11" s="22">
        <f>Muloza!D11+Muloza!E11+Muloza!F11</f>
        <v>8595</v>
      </c>
      <c r="H11" s="22">
        <f>MUST!D11+MUST!E11+MUST!F11</f>
        <v>2451</v>
      </c>
      <c r="I11" s="22">
        <f>Phalombe!D11+Phalombe!E11+Phalombe!F11</f>
        <v>7701</v>
      </c>
      <c r="J11" s="22">
        <f>Mikolongwe!D11+Mikolongwe!E11+Mikolongwe!F11</f>
        <v>0</v>
      </c>
      <c r="K11" s="412">
        <f>Migowi!D11+Migowi!E11+Migowi!F11</f>
        <v>0</v>
      </c>
      <c r="L11" s="30">
        <f>Nkando!D11+Nkando!E11+Nkando!F11</f>
        <v>0</v>
      </c>
      <c r="M11" s="426">
        <f>SUM(D11:L11)</f>
        <v>97356</v>
      </c>
    </row>
    <row r="12" spans="1:13" ht="15.75" x14ac:dyDescent="0.25">
      <c r="A12" s="182" t="s">
        <v>158</v>
      </c>
      <c r="B12" s="183"/>
      <c r="C12" s="4" t="s">
        <v>154</v>
      </c>
      <c r="D12" s="22">
        <f>Mulanje!D12+Mulanje!E12+Mulanje!F12</f>
        <v>2740</v>
      </c>
      <c r="E12" s="22">
        <f>Luchenza!D12+Luchenza!E12+Luchenza!F12</f>
        <v>66</v>
      </c>
      <c r="F12" s="22">
        <f>Thyolo!D12+Thyolo!E12+Thyolo!F12</f>
        <v>12</v>
      </c>
      <c r="G12" s="22">
        <f>Muloza!D12+Muloza!E12+Muloza!F12</f>
        <v>37</v>
      </c>
      <c r="H12" s="22">
        <f>MUST!D12+MUST!E12+MUST!F12</f>
        <v>0</v>
      </c>
      <c r="I12" s="22">
        <f>Phalombe!D12+Phalombe!E12+Phalombe!F12</f>
        <v>0</v>
      </c>
      <c r="J12" s="22">
        <f>Mikolongwe!D12+Mikolongwe!E12+Mikolongwe!F12</f>
        <v>0</v>
      </c>
      <c r="K12" s="412">
        <f>Migowi!D12+Migowi!E12+Migowi!F12</f>
        <v>0</v>
      </c>
      <c r="L12" s="30">
        <f>Nkando!D12+Nkando!E12+Nkando!F12</f>
        <v>0</v>
      </c>
      <c r="M12" s="426">
        <f>SUM(D12:L12)</f>
        <v>2855</v>
      </c>
    </row>
    <row r="13" spans="1:13" ht="15.75" x14ac:dyDescent="0.25">
      <c r="A13" s="182" t="s">
        <v>157</v>
      </c>
      <c r="B13" s="183"/>
      <c r="C13" s="4" t="s">
        <v>154</v>
      </c>
      <c r="D13" s="22">
        <f>Mulanje!D13+Mulanje!E13+Mulanje!F13</f>
        <v>363</v>
      </c>
      <c r="E13" s="22">
        <f>Luchenza!D13+Luchenza!E13+Luchenza!F13</f>
        <v>32</v>
      </c>
      <c r="F13" s="22">
        <f>Thyolo!D13+Thyolo!E13+Thyolo!F13</f>
        <v>0</v>
      </c>
      <c r="G13" s="22">
        <f>Muloza!D13+Muloza!E13+Muloza!F13</f>
        <v>0</v>
      </c>
      <c r="H13" s="22">
        <f>MUST!D13+MUST!E13+MUST!F13</f>
        <v>72</v>
      </c>
      <c r="I13" s="22">
        <f>Phalombe!D13+Phalombe!E13+Phalombe!F13</f>
        <v>0</v>
      </c>
      <c r="J13" s="22">
        <f>Mikolongwe!D13+Mikolongwe!E13+Mikolongwe!F13</f>
        <v>0</v>
      </c>
      <c r="K13" s="412">
        <f>Migowi!D13+Migowi!E13+Migowi!F13</f>
        <v>0</v>
      </c>
      <c r="L13" s="30">
        <f>Nkando!D13+Nkando!E13+Nkando!F13</f>
        <v>0</v>
      </c>
      <c r="M13" s="426">
        <f>SUM(D13:L13)</f>
        <v>467</v>
      </c>
    </row>
    <row r="14" spans="1:13" ht="15.75" x14ac:dyDescent="0.25">
      <c r="A14" s="176" t="s">
        <v>156</v>
      </c>
      <c r="B14" s="177"/>
      <c r="C14" s="4" t="s">
        <v>154</v>
      </c>
      <c r="D14" s="22">
        <f>Mulanje!D14+Mulanje!E14+Mulanje!F14</f>
        <v>572</v>
      </c>
      <c r="E14" s="22">
        <f>Luchenza!D14+Luchenza!E14+Luchenza!F14</f>
        <v>67</v>
      </c>
      <c r="F14" s="22">
        <f>Thyolo!D14+Thyolo!E14+Thyolo!F14</f>
        <v>93</v>
      </c>
      <c r="G14" s="22">
        <f>Muloza!D14+Muloza!E14+Muloza!F14</f>
        <v>34</v>
      </c>
      <c r="H14" s="22">
        <f>MUST!D14+MUST!E14+MUST!F14</f>
        <v>0</v>
      </c>
      <c r="I14" s="22">
        <f>Phalombe!D14+Phalombe!E14+Phalombe!F14</f>
        <v>13</v>
      </c>
      <c r="J14" s="22">
        <f>Mikolongwe!D14+Mikolongwe!E14+Mikolongwe!F14</f>
        <v>0</v>
      </c>
      <c r="K14" s="412">
        <f>Migowi!D14+Migowi!E14+Migowi!F14</f>
        <v>0</v>
      </c>
      <c r="L14" s="30">
        <f>Nkando!D14+Nkando!E14+Nkando!F14</f>
        <v>0</v>
      </c>
      <c r="M14" s="426">
        <f>SUM(D14:L14)</f>
        <v>779</v>
      </c>
    </row>
    <row r="15" spans="1:13" s="58" customFormat="1" ht="15.75" x14ac:dyDescent="0.25">
      <c r="A15" s="178" t="s">
        <v>160</v>
      </c>
      <c r="B15" s="179"/>
      <c r="C15" s="57" t="s">
        <v>154</v>
      </c>
      <c r="D15" s="30">
        <f t="shared" ref="D15:K15" si="0">SUM(D11:D14)</f>
        <v>54130</v>
      </c>
      <c r="E15" s="30">
        <f t="shared" si="0"/>
        <v>16394</v>
      </c>
      <c r="F15" s="30">
        <f t="shared" si="0"/>
        <v>12030</v>
      </c>
      <c r="G15" s="30">
        <f t="shared" si="0"/>
        <v>8666</v>
      </c>
      <c r="H15" s="30">
        <f t="shared" si="0"/>
        <v>2523</v>
      </c>
      <c r="I15" s="30">
        <f t="shared" si="0"/>
        <v>7714</v>
      </c>
      <c r="J15" s="30">
        <f t="shared" si="0"/>
        <v>0</v>
      </c>
      <c r="K15" s="29">
        <f t="shared" si="0"/>
        <v>0</v>
      </c>
      <c r="L15" s="30">
        <f>Nkando!D15+Nkando!E15+Nkando!F15</f>
        <v>0</v>
      </c>
      <c r="M15" s="426">
        <f>SUM(M11:M14)</f>
        <v>101457</v>
      </c>
    </row>
    <row r="16" spans="1:13" x14ac:dyDescent="0.25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39"/>
      <c r="M16" s="214"/>
    </row>
    <row r="17" spans="1:13" ht="15.75" x14ac:dyDescent="0.25">
      <c r="A17" s="182" t="s">
        <v>182</v>
      </c>
      <c r="B17" s="183"/>
      <c r="C17" s="4" t="s">
        <v>154</v>
      </c>
      <c r="D17" s="22">
        <f>Mulanje!D17+Mulanje!E17+Mulanje!F17</f>
        <v>25047.230000000018</v>
      </c>
      <c r="E17" s="22">
        <f>Luchenza!D17+Luchenza!E17+Luchenza!F17</f>
        <v>14129</v>
      </c>
      <c r="F17" s="22">
        <f>Thyolo!D17+Thyolo!E17+Thyolo!F17</f>
        <v>12798.8</v>
      </c>
      <c r="G17" s="22">
        <f>Muloza!D17+Muloza!E17+Muloza!F17</f>
        <v>9432</v>
      </c>
      <c r="H17" s="22">
        <f>MUST!D17+MUST!E17+MUST!F17</f>
        <v>6531</v>
      </c>
      <c r="I17" s="22">
        <f>Phalombe!D17+Phalombe!E17+Phalombe!F17</f>
        <v>9847.5</v>
      </c>
      <c r="J17" s="22">
        <f>Mikolongwe!D17+Mikolongwe!E17+Mikolongwe!F17</f>
        <v>684</v>
      </c>
      <c r="K17" s="22">
        <f>Migowi!D17+Migowi!E17+Migowi!F17</f>
        <v>2464</v>
      </c>
      <c r="L17" s="30">
        <f>Nkando!D17+Nkando!E17+Nkando!F17</f>
        <v>4867.8999999999996</v>
      </c>
      <c r="M17" s="50">
        <f>SUM(D17:L17)</f>
        <v>85801.430000000008</v>
      </c>
    </row>
    <row r="18" spans="1:13" ht="15.75" x14ac:dyDescent="0.25">
      <c r="A18" s="182" t="s">
        <v>183</v>
      </c>
      <c r="B18" s="183"/>
      <c r="C18" s="4" t="s">
        <v>154</v>
      </c>
      <c r="D18" s="22">
        <f>Mulanje!D18+Mulanje!E18+Mulanje!F18</f>
        <v>0</v>
      </c>
      <c r="E18" s="22">
        <f>Luchenza!D18+Luchenza!E18+Luchenza!F18</f>
        <v>641</v>
      </c>
      <c r="F18" s="22">
        <f>Thyolo!D18+Thyolo!E18+Thyolo!F18</f>
        <v>22</v>
      </c>
      <c r="G18" s="22">
        <f>Muloza!D18+Muloza!E18+Muloza!F18</f>
        <v>60</v>
      </c>
      <c r="H18" s="22">
        <f>MUST!D18+MUST!E18+MUST!F18</f>
        <v>0</v>
      </c>
      <c r="I18" s="22">
        <f>Phalombe!D18+Phalombe!E18+Phalombe!F18</f>
        <v>140.4</v>
      </c>
      <c r="J18" s="22">
        <f>Mikolongwe!D18+Mikolongwe!E18+Mikolongwe!F18</f>
        <v>0</v>
      </c>
      <c r="K18" s="22">
        <f>Migowi!D18+Migowi!E18+Migowi!F18</f>
        <v>0</v>
      </c>
      <c r="L18" s="30">
        <f>Nkando!D18+Nkando!E18+Nkando!F18</f>
        <v>20</v>
      </c>
      <c r="M18" s="50">
        <f>SUM(D18:L18)</f>
        <v>883.4</v>
      </c>
    </row>
    <row r="19" spans="1:13" ht="15.75" x14ac:dyDescent="0.25">
      <c r="A19" s="182" t="s">
        <v>184</v>
      </c>
      <c r="B19" s="183"/>
      <c r="C19" s="4" t="s">
        <v>154</v>
      </c>
      <c r="D19" s="22">
        <f>Mulanje!D19+Mulanje!E19+Mulanje!F19</f>
        <v>17612.329999999998</v>
      </c>
      <c r="E19" s="22">
        <f>Luchenza!D19+Luchenza!E19+Luchenza!F19</f>
        <v>532</v>
      </c>
      <c r="F19" s="22">
        <f>Thyolo!D19+Thyolo!E19+Thyolo!F19</f>
        <v>2953</v>
      </c>
      <c r="G19" s="22">
        <f>Muloza!D19+Muloza!E19+Muloza!F19</f>
        <v>285</v>
      </c>
      <c r="H19" s="22">
        <f>MUST!D19+MUST!E19+MUST!F19</f>
        <v>36128</v>
      </c>
      <c r="I19" s="22">
        <f>Phalombe!D19+Phalombe!E19+Phalombe!F19</f>
        <v>967.9</v>
      </c>
      <c r="J19" s="22">
        <f>Mikolongwe!D19+Mikolongwe!E19+Mikolongwe!F19</f>
        <v>1252</v>
      </c>
      <c r="K19" s="22">
        <f>Migowi!D19+Migowi!E19+Migowi!F19</f>
        <v>0</v>
      </c>
      <c r="L19" s="30">
        <f>Nkando!D19+Nkando!E19+Nkando!F19</f>
        <v>54</v>
      </c>
      <c r="M19" s="50">
        <f>SUM(D19:L19)</f>
        <v>59784.23</v>
      </c>
    </row>
    <row r="20" spans="1:13" ht="15.75" x14ac:dyDescent="0.25">
      <c r="A20" s="176" t="s">
        <v>185</v>
      </c>
      <c r="B20" s="177"/>
      <c r="C20" s="4" t="s">
        <v>154</v>
      </c>
      <c r="D20" s="22">
        <f>Mulanje!D20+Mulanje!E20+Mulanje!F20</f>
        <v>2619</v>
      </c>
      <c r="E20" s="22">
        <f>Luchenza!D20+Luchenza!E20+Luchenza!F20</f>
        <v>789</v>
      </c>
      <c r="F20" s="22">
        <f>Thyolo!D20+Thyolo!E20+Thyolo!F20</f>
        <v>975</v>
      </c>
      <c r="G20" s="22">
        <f>Muloza!D20+Muloza!E20+Muloza!F20</f>
        <v>523</v>
      </c>
      <c r="H20" s="22">
        <f>MUST!D20+MUST!E20+MUST!F20</f>
        <v>2588</v>
      </c>
      <c r="I20" s="22">
        <f>Phalombe!D20+Phalombe!E20+Phalombe!F20</f>
        <v>347.9</v>
      </c>
      <c r="J20" s="22">
        <f>Mikolongwe!D20+Mikolongwe!E20+Mikolongwe!F20</f>
        <v>15</v>
      </c>
      <c r="K20" s="22">
        <f>Migowi!D20+Migowi!E20+Migowi!F20</f>
        <v>0</v>
      </c>
      <c r="L20" s="30">
        <f>Nkando!D20+Nkando!E20+Nkando!F20</f>
        <v>113</v>
      </c>
      <c r="M20" s="50">
        <f>SUM(D20:L20)</f>
        <v>7969.9</v>
      </c>
    </row>
    <row r="21" spans="1:13" s="58" customFormat="1" ht="15.75" x14ac:dyDescent="0.25">
      <c r="A21" s="178" t="s">
        <v>186</v>
      </c>
      <c r="B21" s="179"/>
      <c r="C21" s="57" t="s">
        <v>154</v>
      </c>
      <c r="D21" s="30">
        <f>SUM(D17:D20)</f>
        <v>45278.560000000012</v>
      </c>
      <c r="E21" s="30">
        <f t="shared" ref="E21:L21" si="1">SUM(E17:E20)</f>
        <v>16091</v>
      </c>
      <c r="F21" s="30">
        <f t="shared" si="1"/>
        <v>16748.8</v>
      </c>
      <c r="G21" s="30">
        <f t="shared" si="1"/>
        <v>10300</v>
      </c>
      <c r="H21" s="30">
        <f t="shared" si="1"/>
        <v>45247</v>
      </c>
      <c r="I21" s="30">
        <f t="shared" si="1"/>
        <v>11303.699999999999</v>
      </c>
      <c r="J21" s="30">
        <f t="shared" si="1"/>
        <v>1951</v>
      </c>
      <c r="K21" s="30">
        <f t="shared" si="1"/>
        <v>2464</v>
      </c>
      <c r="L21" s="30">
        <f t="shared" si="1"/>
        <v>5054.8999999999996</v>
      </c>
      <c r="M21" s="50">
        <f>SUM(M17:M20)</f>
        <v>154438.96</v>
      </c>
    </row>
    <row r="22" spans="1:13" ht="15.75" x14ac:dyDescent="0.25">
      <c r="A22" s="65" t="s">
        <v>187</v>
      </c>
      <c r="B22" s="69"/>
      <c r="C22" s="4" t="s">
        <v>154</v>
      </c>
      <c r="D22" s="30">
        <f>D21+D15</f>
        <v>99408.560000000012</v>
      </c>
      <c r="E22" s="30">
        <f t="shared" ref="E22:M22" si="2">E21+E15</f>
        <v>32485</v>
      </c>
      <c r="F22" s="30">
        <f t="shared" si="2"/>
        <v>28778.799999999999</v>
      </c>
      <c r="G22" s="30">
        <f t="shared" si="2"/>
        <v>18966</v>
      </c>
      <c r="H22" s="30">
        <f t="shared" si="2"/>
        <v>47770</v>
      </c>
      <c r="I22" s="30">
        <f t="shared" si="2"/>
        <v>19017.699999999997</v>
      </c>
      <c r="J22" s="30">
        <f t="shared" si="2"/>
        <v>1951</v>
      </c>
      <c r="K22" s="30">
        <f>K21+K15</f>
        <v>2464</v>
      </c>
      <c r="L22" s="30">
        <f>L21+L15</f>
        <v>5054.8999999999996</v>
      </c>
      <c r="M22" s="50">
        <f t="shared" si="2"/>
        <v>255895.96</v>
      </c>
    </row>
    <row r="23" spans="1:13" x14ac:dyDescent="0.25">
      <c r="A23" s="212" t="s">
        <v>217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4"/>
    </row>
    <row r="24" spans="1:13" ht="15.75" x14ac:dyDescent="0.25">
      <c r="A24" s="173" t="s">
        <v>181</v>
      </c>
      <c r="B24" s="21" t="s">
        <v>155</v>
      </c>
      <c r="C24" s="4" t="s">
        <v>154</v>
      </c>
      <c r="D24" s="49">
        <f>D9-D22</f>
        <v>40363.439999999988</v>
      </c>
      <c r="E24" s="49">
        <f t="shared" ref="E24:L24" si="3">E9-E22</f>
        <v>13230</v>
      </c>
      <c r="F24" s="49">
        <f t="shared" si="3"/>
        <v>15731.2</v>
      </c>
      <c r="G24" s="49">
        <f t="shared" si="3"/>
        <v>10112</v>
      </c>
      <c r="H24" s="49">
        <f t="shared" si="3"/>
        <v>12615</v>
      </c>
      <c r="I24" s="49">
        <f t="shared" si="3"/>
        <v>7512.3000000000029</v>
      </c>
      <c r="J24" s="49">
        <f t="shared" si="3"/>
        <v>439</v>
      </c>
      <c r="K24" s="49">
        <f t="shared" si="3"/>
        <v>512</v>
      </c>
      <c r="L24" s="49">
        <f t="shared" si="3"/>
        <v>1507.1000000000004</v>
      </c>
      <c r="M24" s="146">
        <f>M9-M22</f>
        <v>102022.04000000001</v>
      </c>
    </row>
    <row r="25" spans="1:13" ht="15.75" x14ac:dyDescent="0.25">
      <c r="A25" s="175"/>
      <c r="B25" s="48" t="s">
        <v>153</v>
      </c>
      <c r="C25" s="47" t="s">
        <v>6</v>
      </c>
      <c r="D25" s="46">
        <f t="shared" ref="D25:M25" si="4">D24/D9</f>
        <v>0.28878058552499775</v>
      </c>
      <c r="E25" s="46">
        <f t="shared" si="4"/>
        <v>0.28940172809799847</v>
      </c>
      <c r="F25" s="46">
        <f t="shared" si="4"/>
        <v>0.35343068973264435</v>
      </c>
      <c r="G25" s="46">
        <f t="shared" si="4"/>
        <v>0.34775431597771511</v>
      </c>
      <c r="H25" s="46">
        <f t="shared" si="4"/>
        <v>0.20890949739173637</v>
      </c>
      <c r="I25" s="46">
        <f t="shared" si="4"/>
        <v>0.28316245759517539</v>
      </c>
      <c r="J25" s="46">
        <f t="shared" si="4"/>
        <v>0.18368200836820084</v>
      </c>
      <c r="K25" s="46">
        <f t="shared" si="4"/>
        <v>0.17204301075268819</v>
      </c>
      <c r="L25" s="46">
        <f t="shared" si="4"/>
        <v>0.22967083206339536</v>
      </c>
      <c r="M25" s="138">
        <f t="shared" si="4"/>
        <v>0.28504305455439516</v>
      </c>
    </row>
    <row r="26" spans="1:13" x14ac:dyDescent="0.25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</row>
    <row r="27" spans="1:13" x14ac:dyDescent="0.25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2"/>
    </row>
    <row r="28" spans="1:13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75" x14ac:dyDescent="0.25">
      <c r="A29" s="186" t="s">
        <v>148</v>
      </c>
      <c r="B29" s="441">
        <v>5111.67</v>
      </c>
      <c r="C29" s="4" t="s">
        <v>142</v>
      </c>
      <c r="D29" s="22">
        <f>Mulanje!D29+Mulanje!E29+Mulanje!F29</f>
        <v>281</v>
      </c>
      <c r="E29" s="22">
        <f>Luchenza!D29+Luchenza!E29+Luchenza!F29</f>
        <v>118</v>
      </c>
      <c r="F29" s="22">
        <f>Thyolo!D29+Thyolo!E29+Thyolo!F29</f>
        <v>220</v>
      </c>
      <c r="G29" s="22">
        <f>Muloza!D29+Muloza!E29+Muloza!F29</f>
        <v>45</v>
      </c>
      <c r="H29" s="22">
        <f>MUST!D29+MUST!E29+MUST!F29</f>
        <v>56</v>
      </c>
      <c r="I29" s="22">
        <f>Phalombe!D29+Phalombe!E29+Phalombe!F29</f>
        <v>72</v>
      </c>
      <c r="J29" s="22">
        <f>Mikolongwe!D29+Mikolongwe!E29+Mikolongwe!F29</f>
        <v>14</v>
      </c>
      <c r="K29" s="22">
        <f>Migowi!D29+Migowi!E29+Migowi!F29</f>
        <v>3</v>
      </c>
      <c r="L29" s="412">
        <f>Nkando!D29+Nkando!E29+Nkando!F29</f>
        <v>17</v>
      </c>
      <c r="M29" s="40">
        <f>SUM(D29:L29)</f>
        <v>826</v>
      </c>
    </row>
    <row r="30" spans="1:13" ht="15.75" x14ac:dyDescent="0.25">
      <c r="A30" s="187"/>
      <c r="B30" s="441"/>
      <c r="C30" s="37" t="s">
        <v>141</v>
      </c>
      <c r="D30" s="13">
        <f t="shared" ref="D30:M30" si="5">D29/(D9/1000)</f>
        <v>2.0104169647711991</v>
      </c>
      <c r="E30" s="13">
        <f t="shared" si="5"/>
        <v>2.5812096685989281</v>
      </c>
      <c r="F30" s="13">
        <f t="shared" si="5"/>
        <v>4.942709503482364</v>
      </c>
      <c r="G30" s="13">
        <f t="shared" si="5"/>
        <v>1.5475617305179175</v>
      </c>
      <c r="H30" s="13">
        <f t="shared" si="5"/>
        <v>0.9273826281361266</v>
      </c>
      <c r="I30" s="13">
        <f t="shared" si="5"/>
        <v>2.7139087825103654</v>
      </c>
      <c r="J30" s="13">
        <f t="shared" si="5"/>
        <v>5.8577405857740583</v>
      </c>
      <c r="K30" s="13">
        <f t="shared" si="5"/>
        <v>1.0080645161290323</v>
      </c>
      <c r="L30" s="412">
        <f>Nkando!D30+Nkando!E30+Nkando!F30</f>
        <v>7.7668057647135473</v>
      </c>
      <c r="M30" s="92">
        <f t="shared" si="5"/>
        <v>2.3077911700445353</v>
      </c>
    </row>
    <row r="31" spans="1:13" ht="15.75" x14ac:dyDescent="0.25">
      <c r="A31" s="173" t="s">
        <v>147</v>
      </c>
      <c r="B31" s="441">
        <v>1537</v>
      </c>
      <c r="C31" s="4" t="s">
        <v>142</v>
      </c>
      <c r="D31" s="22">
        <f>Mulanje!D31+Mulanje!E31+Mulanje!F31</f>
        <v>0</v>
      </c>
      <c r="E31" s="22">
        <f>Luchenza!D31+Luchenza!E31+Luchenza!F31</f>
        <v>0</v>
      </c>
      <c r="F31" s="22">
        <f>Thyolo!D31+Thyolo!E31+Thyolo!F31</f>
        <v>0</v>
      </c>
      <c r="G31" s="22">
        <f>Muloza!D31+Muloza!E31+Muloza!F31</f>
        <v>0</v>
      </c>
      <c r="H31" s="22">
        <f>MUST!D31+MUST!E31+MUST!F31</f>
        <v>0</v>
      </c>
      <c r="I31" s="22">
        <f>Phalombe!D31+Phalombe!E31+Phalombe!F31</f>
        <v>0</v>
      </c>
      <c r="J31" s="22">
        <f>Mikolongwe!D31+Mikolongwe!E31+Mikolongwe!F31</f>
        <v>0</v>
      </c>
      <c r="K31" s="22">
        <f>Migowi!D31+Migowi!E31+Migowi!F31</f>
        <v>0</v>
      </c>
      <c r="L31" s="412">
        <f>Nkando!D31+Nkando!E31+Nkando!F31</f>
        <v>0</v>
      </c>
      <c r="M31" s="40">
        <f>SUM(D31:L31)</f>
        <v>0</v>
      </c>
    </row>
    <row r="32" spans="1:13" ht="15.75" x14ac:dyDescent="0.25">
      <c r="A32" s="175"/>
      <c r="B32" s="441"/>
      <c r="C32" s="37" t="s">
        <v>141</v>
      </c>
      <c r="D32" s="13">
        <f t="shared" ref="D32:M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412">
        <f>Nkando!D32+Nkando!E32+Nkando!F32</f>
        <v>0</v>
      </c>
      <c r="M32" s="92">
        <f t="shared" si="6"/>
        <v>0</v>
      </c>
    </row>
    <row r="33" spans="1:13" ht="15.75" x14ac:dyDescent="0.25">
      <c r="A33" s="173" t="s">
        <v>146</v>
      </c>
      <c r="B33" s="441">
        <v>1781.02</v>
      </c>
      <c r="C33" s="4" t="s">
        <v>142</v>
      </c>
      <c r="D33" s="22">
        <f>Mulanje!D33+Mulanje!E33+Mulanje!F33</f>
        <v>0</v>
      </c>
      <c r="E33" s="22">
        <f>Luchenza!D33+Luchenza!E33+Luchenza!F33</f>
        <v>0</v>
      </c>
      <c r="F33" s="22">
        <f>Thyolo!D33+Thyolo!E33+Thyolo!F33</f>
        <v>0</v>
      </c>
      <c r="G33" s="22">
        <f>Muloza!D33+Muloza!E33+Muloza!F33</f>
        <v>0</v>
      </c>
      <c r="H33" s="22">
        <f>MUST!D33+MUST!E33+MUST!F33</f>
        <v>0</v>
      </c>
      <c r="I33" s="22">
        <f>Phalombe!D33+Phalombe!E33+Phalombe!F33</f>
        <v>0</v>
      </c>
      <c r="J33" s="22">
        <f>Mikolongwe!D33+Mikolongwe!E33+Mikolongwe!F33</f>
        <v>0</v>
      </c>
      <c r="K33" s="22">
        <f>Migowi!D33+Migowi!E33+Migowi!F33</f>
        <v>0</v>
      </c>
      <c r="L33" s="412">
        <f>Nkando!D33+Nkando!E33+Nkando!F33</f>
        <v>0</v>
      </c>
      <c r="M33" s="40">
        <f>SUM(D33:L33)</f>
        <v>0</v>
      </c>
    </row>
    <row r="34" spans="1:13" ht="15.75" x14ac:dyDescent="0.25">
      <c r="A34" s="175"/>
      <c r="B34" s="441"/>
      <c r="C34" s="37" t="s">
        <v>141</v>
      </c>
      <c r="D34" s="13">
        <f t="shared" ref="D34:M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412">
        <f>Nkando!D34+Nkando!E34+Nkando!F34</f>
        <v>0</v>
      </c>
      <c r="M34" s="92">
        <f t="shared" si="7"/>
        <v>0</v>
      </c>
    </row>
    <row r="35" spans="1:13" ht="15.75" x14ac:dyDescent="0.25">
      <c r="A35" s="173" t="s">
        <v>145</v>
      </c>
      <c r="B35" s="441">
        <v>5979.95</v>
      </c>
      <c r="C35" s="4" t="s">
        <v>128</v>
      </c>
      <c r="D35" s="22">
        <f>Mulanje!D35+Mulanje!E35+Mulanje!F35</f>
        <v>0</v>
      </c>
      <c r="E35" s="22">
        <f>Luchenza!D35+Luchenza!E35+Luchenza!F35</f>
        <v>0</v>
      </c>
      <c r="F35" s="22">
        <f>Thyolo!D35+Thyolo!E35+Thyolo!F35</f>
        <v>219</v>
      </c>
      <c r="G35" s="22">
        <f>Muloza!D35+Muloza!E35+Muloza!F35</f>
        <v>0</v>
      </c>
      <c r="H35" s="22">
        <f>MUST!D35+MUST!E35+MUST!F35</f>
        <v>0</v>
      </c>
      <c r="I35" s="22">
        <f>Phalombe!D35+Phalombe!E35+Phalombe!F35</f>
        <v>0</v>
      </c>
      <c r="J35" s="22">
        <f>Mikolongwe!D35+Mikolongwe!E35+Mikolongwe!F35</f>
        <v>0</v>
      </c>
      <c r="K35" s="22">
        <f>Migowi!D35+Migowi!E35+Migowi!F35</f>
        <v>0</v>
      </c>
      <c r="L35" s="412">
        <f>Nkando!D35+Nkando!E35+Nkando!F35</f>
        <v>0</v>
      </c>
      <c r="M35" s="40">
        <f>SUM(D35:L35)</f>
        <v>219</v>
      </c>
    </row>
    <row r="36" spans="1:13" ht="15.75" x14ac:dyDescent="0.25">
      <c r="A36" s="175"/>
      <c r="B36" s="441"/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18.364779874213834</v>
      </c>
      <c r="G36" s="13">
        <f t="shared" si="7"/>
        <v>0</v>
      </c>
      <c r="H36" s="13">
        <f t="shared" si="7"/>
        <v>0</v>
      </c>
      <c r="I36" s="13">
        <f t="shared" si="7"/>
        <v>0</v>
      </c>
      <c r="J36" s="13" t="e">
        <f t="shared" si="7"/>
        <v>#DIV/0!</v>
      </c>
      <c r="K36" s="13" t="e">
        <f t="shared" si="7"/>
        <v>#DIV/0!</v>
      </c>
      <c r="L36" s="412">
        <f>Nkando!D36+Nkando!E36+Nkando!F36</f>
        <v>0</v>
      </c>
      <c r="M36" s="35">
        <f t="shared" si="7"/>
        <v>2.2494761493898681</v>
      </c>
    </row>
    <row r="37" spans="1:13" ht="15.75" x14ac:dyDescent="0.25">
      <c r="A37" s="173" t="s">
        <v>188</v>
      </c>
      <c r="B37" s="441">
        <v>5403.75</v>
      </c>
      <c r="C37" s="4" t="s">
        <v>128</v>
      </c>
      <c r="D37" s="22">
        <f>Mulanje!D37+Mulanje!E37+Mulanje!F37</f>
        <v>0</v>
      </c>
      <c r="E37" s="22">
        <f>Luchenza!D37+Luchenza!E37+Luchenza!F37</f>
        <v>0</v>
      </c>
      <c r="F37" s="22">
        <f>Thyolo!D37+Thyolo!E37+Thyolo!F37</f>
        <v>0</v>
      </c>
      <c r="G37" s="22">
        <f>Muloza!D37+Muloza!E37+Muloza!F37</f>
        <v>0</v>
      </c>
      <c r="H37" s="22">
        <f>MUST!D37+MUST!E37+MUST!F37</f>
        <v>0</v>
      </c>
      <c r="I37" s="22">
        <f>Phalombe!D37+Phalombe!E37+Phalombe!F37</f>
        <v>0</v>
      </c>
      <c r="J37" s="22">
        <f>Mikolongwe!D37+Mikolongwe!E37+Mikolongwe!F37</f>
        <v>0</v>
      </c>
      <c r="K37" s="22">
        <f>Migowi!D37+Migowi!E37+Migowi!F37</f>
        <v>0</v>
      </c>
      <c r="L37" s="412">
        <f>Nkando!D37+Nkando!E37+Nkando!F37</f>
        <v>0</v>
      </c>
      <c r="M37" s="40">
        <f>SUM(D37:L37)</f>
        <v>0</v>
      </c>
    </row>
    <row r="38" spans="1:13" ht="15.75" x14ac:dyDescent="0.25">
      <c r="A38" s="175"/>
      <c r="B38" s="441"/>
      <c r="C38" s="4" t="s">
        <v>144</v>
      </c>
      <c r="D38" s="13">
        <f t="shared" si="7"/>
        <v>0</v>
      </c>
      <c r="E38" s="13">
        <f t="shared" si="7"/>
        <v>0</v>
      </c>
      <c r="F38" s="13" t="e">
        <f t="shared" si="7"/>
        <v>#DIV/0!</v>
      </c>
      <c r="G38" s="13" t="e">
        <f t="shared" si="7"/>
        <v>#DIV/0!</v>
      </c>
      <c r="H38" s="13">
        <f t="shared" si="7"/>
        <v>0</v>
      </c>
      <c r="I38" s="13" t="e">
        <f t="shared" si="7"/>
        <v>#DIV/0!</v>
      </c>
      <c r="J38" s="13" t="e">
        <f t="shared" si="7"/>
        <v>#DIV/0!</v>
      </c>
      <c r="K38" s="13" t="e">
        <f t="shared" si="7"/>
        <v>#DIV/0!</v>
      </c>
      <c r="L38" s="412">
        <f>Nkando!D38+Nkando!E38+Nkando!F38</f>
        <v>0</v>
      </c>
      <c r="M38" s="92">
        <f t="shared" si="7"/>
        <v>0</v>
      </c>
    </row>
    <row r="39" spans="1:13" ht="15.75" x14ac:dyDescent="0.25">
      <c r="A39" s="173" t="s">
        <v>143</v>
      </c>
      <c r="B39" s="441">
        <v>1950</v>
      </c>
      <c r="C39" s="4" t="s">
        <v>142</v>
      </c>
      <c r="D39" s="22">
        <f>Mulanje!D39+Mulanje!E39+Mulanje!F39</f>
        <v>0</v>
      </c>
      <c r="E39" s="22">
        <f>Luchenza!D39+Luchenza!E39+Luchenza!F39</f>
        <v>0</v>
      </c>
      <c r="F39" s="22">
        <f>Thyolo!D39+Thyolo!E39+Thyolo!F39</f>
        <v>0</v>
      </c>
      <c r="G39" s="22">
        <f>Muloza!D39+Muloza!E39+Muloza!F39</f>
        <v>0</v>
      </c>
      <c r="H39" s="22">
        <f>MUST!D39+MUST!E39+MUST!F39</f>
        <v>0</v>
      </c>
      <c r="I39" s="22">
        <f>Phalombe!D39+Phalombe!E39+Phalombe!F39</f>
        <v>0</v>
      </c>
      <c r="J39" s="22">
        <f>Mikolongwe!D39+Mikolongwe!E39+Mikolongwe!F39</f>
        <v>0</v>
      </c>
      <c r="K39" s="22">
        <f>Migowi!D39+Migowi!E39+Migowi!F39</f>
        <v>0</v>
      </c>
      <c r="L39" s="412">
        <f>Nkando!D39+Nkando!E39+Nkando!F39</f>
        <v>0</v>
      </c>
      <c r="M39" s="40">
        <f>SUM(D39:L39)</f>
        <v>0</v>
      </c>
    </row>
    <row r="40" spans="1:13" ht="15.75" x14ac:dyDescent="0.25">
      <c r="A40" s="175"/>
      <c r="B40" s="441"/>
      <c r="C40" s="37" t="s">
        <v>141</v>
      </c>
      <c r="D40" s="13">
        <f t="shared" ref="D40:M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3">
        <f t="shared" si="8"/>
        <v>0</v>
      </c>
      <c r="J40" s="13">
        <f t="shared" si="8"/>
        <v>0</v>
      </c>
      <c r="K40" s="13">
        <f t="shared" si="8"/>
        <v>0</v>
      </c>
      <c r="L40" s="412">
        <f>Nkando!D40+Nkando!E40+Nkando!F40</f>
        <v>0</v>
      </c>
      <c r="M40" s="92">
        <f t="shared" si="8"/>
        <v>0</v>
      </c>
    </row>
    <row r="41" spans="1:13" ht="15.75" x14ac:dyDescent="0.25">
      <c r="A41" s="176" t="s">
        <v>140</v>
      </c>
      <c r="B41" s="177"/>
      <c r="C41" s="4" t="s">
        <v>31</v>
      </c>
      <c r="D41" s="36">
        <f>(D29*$B29)+(D31*$B31)+(D33*$B33)+(D35*$B35)+(D37*$B37)+(D39*$B39)</f>
        <v>1436379.27</v>
      </c>
      <c r="E41" s="36">
        <f t="shared" ref="E41:L41" si="9">(E29*$B29)+(E31*$B31)+(E33*$B33)+(E35*$B35)+(E37*$B37)+(E39*$B39)</f>
        <v>603177.06000000006</v>
      </c>
      <c r="F41" s="36">
        <f t="shared" si="9"/>
        <v>2434176.4500000002</v>
      </c>
      <c r="G41" s="36">
        <f t="shared" si="9"/>
        <v>230025.15</v>
      </c>
      <c r="H41" s="36">
        <f t="shared" si="9"/>
        <v>286253.52</v>
      </c>
      <c r="I41" s="36">
        <f t="shared" si="9"/>
        <v>368040.24</v>
      </c>
      <c r="J41" s="36">
        <f t="shared" si="9"/>
        <v>71563.38</v>
      </c>
      <c r="K41" s="36">
        <f t="shared" si="9"/>
        <v>15335.01</v>
      </c>
      <c r="L41" s="36">
        <f t="shared" si="9"/>
        <v>86898.39</v>
      </c>
      <c r="M41" s="34">
        <f>SUM(D41:L41)</f>
        <v>5531848.4700000007</v>
      </c>
    </row>
    <row r="42" spans="1:13" ht="15.75" x14ac:dyDescent="0.25">
      <c r="A42" s="191" t="s">
        <v>139</v>
      </c>
      <c r="B42" s="192"/>
      <c r="C42" s="37" t="s">
        <v>117</v>
      </c>
      <c r="D42" s="13">
        <f t="shared" ref="D42:M42" si="10">D41/D9</f>
        <v>10.276588086311994</v>
      </c>
      <c r="E42" s="13">
        <f t="shared" si="10"/>
        <v>13.194292026687084</v>
      </c>
      <c r="F42" s="13">
        <f t="shared" si="10"/>
        <v>54.688304875308923</v>
      </c>
      <c r="G42" s="13">
        <f t="shared" si="10"/>
        <v>7.9106248710365223</v>
      </c>
      <c r="H42" s="13">
        <f t="shared" si="10"/>
        <v>4.7404739587645945</v>
      </c>
      <c r="I42" s="13">
        <f t="shared" si="10"/>
        <v>13.872606106294761</v>
      </c>
      <c r="J42" s="13">
        <f t="shared" si="10"/>
        <v>29.942836820083684</v>
      </c>
      <c r="K42" s="13">
        <f t="shared" si="10"/>
        <v>5.1528931451612907</v>
      </c>
      <c r="L42" s="13">
        <f t="shared" si="10"/>
        <v>13.242668393782383</v>
      </c>
      <c r="M42" s="39">
        <f t="shared" si="10"/>
        <v>15.455630814879388</v>
      </c>
    </row>
    <row r="43" spans="1:13" x14ac:dyDescent="0.25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90"/>
    </row>
    <row r="44" spans="1:13" ht="15.75" x14ac:dyDescent="0.25">
      <c r="A44" s="176" t="s">
        <v>137</v>
      </c>
      <c r="B44" s="177"/>
      <c r="C44" s="4" t="s">
        <v>136</v>
      </c>
      <c r="D44" s="22">
        <f>Mulanje!D44+Mulanje!E44+Mulanje!F44</f>
        <v>181</v>
      </c>
      <c r="E44" s="22">
        <f>Luchenza!D44+Luchenza!E44+Luchenza!F44</f>
        <v>24406.98</v>
      </c>
      <c r="F44" s="22">
        <f>Thyolo!D44+Thyolo!E44+Thyolo!F44</f>
        <v>96000</v>
      </c>
      <c r="G44" s="22">
        <f>Muloza!D44+Muloza!E44+Muloza!F44</f>
        <v>35279</v>
      </c>
      <c r="H44" s="22">
        <f>MUST!D44+MUST!E44+MUST!F44</f>
        <v>34850</v>
      </c>
      <c r="I44" s="22">
        <f>Phalombe!D44+Phalombe!E44+Phalombe!F44</f>
        <v>165</v>
      </c>
      <c r="J44" s="22">
        <f>Mikolongwe!D44+Mikolongwe!E44+Mikolongwe!F44</f>
        <v>1493</v>
      </c>
      <c r="K44" s="22">
        <f>Migowi!D44+Migowi!E44+Migowi!F44</f>
        <v>1933</v>
      </c>
      <c r="L44" s="412">
        <f>Nkando!D44+Nkando!E44+Nkando!F44</f>
        <v>4043</v>
      </c>
      <c r="M44" s="34">
        <f>SUM(D44:L44)</f>
        <v>198350.97999999998</v>
      </c>
    </row>
    <row r="45" spans="1:13" ht="15.75" x14ac:dyDescent="0.25">
      <c r="A45" s="191" t="s">
        <v>135</v>
      </c>
      <c r="B45" s="192"/>
      <c r="C45" s="37" t="s">
        <v>134</v>
      </c>
      <c r="D45" s="13">
        <f t="shared" ref="D45:M45" si="11">D44/D9</f>
        <v>1.2949660876284234E-3</v>
      </c>
      <c r="E45" s="13">
        <f t="shared" si="11"/>
        <v>0.53389434540085312</v>
      </c>
      <c r="F45" s="13">
        <f t="shared" si="11"/>
        <v>2.1568186924286676</v>
      </c>
      <c r="G45" s="13">
        <f t="shared" si="11"/>
        <v>1.213254006465369</v>
      </c>
      <c r="H45" s="13">
        <f t="shared" si="11"/>
        <v>0.57713008197400018</v>
      </c>
      <c r="I45" s="13">
        <f t="shared" si="11"/>
        <v>6.2193742932529208E-3</v>
      </c>
      <c r="J45" s="13">
        <f t="shared" si="11"/>
        <v>0.62468619246861923</v>
      </c>
      <c r="K45" s="13">
        <f t="shared" si="11"/>
        <v>0.64952956989247312</v>
      </c>
      <c r="L45" s="13">
        <f t="shared" si="11"/>
        <v>0.61612313319110024</v>
      </c>
      <c r="M45" s="92">
        <f t="shared" si="11"/>
        <v>0.55417995183254265</v>
      </c>
    </row>
    <row r="46" spans="1:13" ht="15.75" x14ac:dyDescent="0.25">
      <c r="A46" s="176" t="s">
        <v>133</v>
      </c>
      <c r="B46" s="177"/>
      <c r="C46" s="4" t="s">
        <v>31</v>
      </c>
      <c r="D46" s="22">
        <f>Mulanje!D46+Mulanje!E46+Mulanje!F46</f>
        <v>60430.47</v>
      </c>
      <c r="E46" s="22">
        <f>Luchenza!D46+Luchenza!E46+Luchenza!F46</f>
        <v>8148758.4125999995</v>
      </c>
      <c r="F46" s="22">
        <f>Thyolo!D46+Thyolo!E46+Thyolo!F46</f>
        <v>19596789</v>
      </c>
      <c r="G46" s="22">
        <f>Muloza!D46+Muloza!E46+Muloza!F46</f>
        <v>11778599.73</v>
      </c>
      <c r="H46" s="22">
        <f>MUST!D46+MUST!E46+MUST!F46</f>
        <v>11635369.5</v>
      </c>
      <c r="I46" s="22">
        <f>Phalombe!D46+Phalombe!E46+Phalombe!F46</f>
        <v>48767.399999999994</v>
      </c>
      <c r="J46" s="22">
        <f>Mikolongwe!D46+Mikolongwe!E46+Mikolongwe!F46</f>
        <v>498467.91000000003</v>
      </c>
      <c r="K46" s="22">
        <f>Migowi!D46+Migowi!E46+Migowi!F46</f>
        <v>645370.71</v>
      </c>
      <c r="L46" s="412">
        <f>Nkando!D46+Nkando!E46+Nkando!F46</f>
        <v>1349836.4100000001</v>
      </c>
      <c r="M46" s="34">
        <f>SUM(D46:L46)</f>
        <v>53762389.542599991</v>
      </c>
    </row>
    <row r="47" spans="1:13" ht="15.75" x14ac:dyDescent="0.25">
      <c r="A47" s="176" t="s">
        <v>132</v>
      </c>
      <c r="B47" s="177"/>
      <c r="C47" s="4" t="s">
        <v>117</v>
      </c>
      <c r="D47" s="13">
        <f t="shared" ref="D47:M47" si="12">D46/D9</f>
        <v>0.43235032767650172</v>
      </c>
      <c r="E47" s="13">
        <f t="shared" si="12"/>
        <v>178.25130509898281</v>
      </c>
      <c r="F47" s="13">
        <f t="shared" si="12"/>
        <v>440.27834194563019</v>
      </c>
      <c r="G47" s="13">
        <f t="shared" si="12"/>
        <v>405.06911513859279</v>
      </c>
      <c r="H47" s="13">
        <f t="shared" si="12"/>
        <v>192.68642046865943</v>
      </c>
      <c r="I47" s="13">
        <f t="shared" si="12"/>
        <v>1.8381982661138332</v>
      </c>
      <c r="J47" s="13">
        <f t="shared" si="12"/>
        <v>208.56397907949793</v>
      </c>
      <c r="K47" s="13">
        <f t="shared" si="12"/>
        <v>216.85843749999998</v>
      </c>
      <c r="L47" s="13">
        <f t="shared" si="12"/>
        <v>205.70503047851267</v>
      </c>
      <c r="M47" s="92">
        <f t="shared" si="12"/>
        <v>150.20867780497207</v>
      </c>
    </row>
    <row r="48" spans="1:13" x14ac:dyDescent="0.25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90"/>
    </row>
    <row r="49" spans="1:13" ht="15.75" x14ac:dyDescent="0.25">
      <c r="A49" s="176" t="s">
        <v>130</v>
      </c>
      <c r="B49" s="177"/>
      <c r="C49" s="4" t="s">
        <v>129</v>
      </c>
      <c r="D49" s="22">
        <f>Mulanje!D49+Mulanje!E49+Mulanje!F49</f>
        <v>2614</v>
      </c>
      <c r="E49" s="22">
        <f>Luchenza!D49+Luchenza!E49+Luchenza!F49</f>
        <v>0</v>
      </c>
      <c r="F49" s="22">
        <f>Thyolo!D49+Thyolo!E49+Thyolo!F49</f>
        <v>0</v>
      </c>
      <c r="G49" s="22">
        <f>Muloza!D49+Muloza!E49+Muloza!F49</f>
        <v>0</v>
      </c>
      <c r="H49" s="22">
        <f>MUST!D49+MUST!E49+MUST!F49</f>
        <v>0</v>
      </c>
      <c r="I49" s="22">
        <f>Phalombe!D49+Phalombe!E49+Phalombe!F49</f>
        <v>0</v>
      </c>
      <c r="J49" s="22">
        <f>Mikolongwe!D49+Mikolongwe!E49+Mikolongwe!F49</f>
        <v>0</v>
      </c>
      <c r="K49" s="22">
        <f>Migowi!D49+Migowi!E49+Migowi!F49</f>
        <v>0</v>
      </c>
      <c r="L49" s="412">
        <f>Nkando!D49+Nkando!E49+Nkando!F49</f>
        <v>0</v>
      </c>
      <c r="M49" s="34">
        <f>SUM(D49:L49)</f>
        <v>2614</v>
      </c>
    </row>
    <row r="50" spans="1:13" ht="15.75" x14ac:dyDescent="0.25">
      <c r="A50" s="176" t="s">
        <v>189</v>
      </c>
      <c r="B50" s="177"/>
      <c r="C50" s="4" t="s">
        <v>128</v>
      </c>
      <c r="D50" s="22">
        <f>Mulanje!D50+Mulanje!E50+Mulanje!F50</f>
        <v>261</v>
      </c>
      <c r="E50" s="22">
        <f>Luchenza!D50+Luchenza!E50+Luchenza!F50</f>
        <v>271</v>
      </c>
      <c r="F50" s="22">
        <f>Thyolo!D50+Thyolo!E50+Thyolo!F50</f>
        <v>0</v>
      </c>
      <c r="G50" s="22">
        <f>Muloza!D50+Muloza!E50+Muloza!F50</f>
        <v>0</v>
      </c>
      <c r="H50" s="22">
        <f>MUST!D50+MUST!E50+MUST!F50</f>
        <v>0</v>
      </c>
      <c r="I50" s="22">
        <f>Phalombe!D50+Phalombe!E50+Phalombe!F50</f>
        <v>0</v>
      </c>
      <c r="J50" s="22">
        <f>Mikolongwe!D50+Mikolongwe!E50+Mikolongwe!F50</f>
        <v>0</v>
      </c>
      <c r="K50" s="22">
        <f>Migowi!D50+Migowi!E50+Migowi!F50</f>
        <v>0</v>
      </c>
      <c r="L50" s="412">
        <f>Nkando!D50+Nkando!E50+Nkando!F50</f>
        <v>0</v>
      </c>
      <c r="M50" s="34">
        <f>SUM(D50:L50)</f>
        <v>532</v>
      </c>
    </row>
    <row r="51" spans="1:13" ht="15.75" x14ac:dyDescent="0.25">
      <c r="A51" s="176" t="s">
        <v>127</v>
      </c>
      <c r="B51" s="177"/>
      <c r="C51" s="4" t="s">
        <v>31</v>
      </c>
      <c r="D51" s="22">
        <f>Mulanje!D51+Mulanje!E51+Mulanje!F51</f>
        <v>1745307</v>
      </c>
      <c r="E51" s="22">
        <f>Luchenza!D51+Luchenza!E51+Luchenza!F51</f>
        <v>1812177</v>
      </c>
      <c r="F51" s="22">
        <f>Thyolo!D51+Thyolo!E51+Thyolo!F51</f>
        <v>0</v>
      </c>
      <c r="G51" s="22">
        <f>Muloza!D51+Muloza!E51+Muloza!F51</f>
        <v>0</v>
      </c>
      <c r="H51" s="22">
        <f>MUST!D51+MUST!E51+MUST!F51</f>
        <v>0</v>
      </c>
      <c r="I51" s="22">
        <f>Phalombe!D51+Phalombe!E51+Phalombe!F51</f>
        <v>0</v>
      </c>
      <c r="J51" s="22">
        <f>Mikolongwe!D51+Mikolongwe!E51+Mikolongwe!F51</f>
        <v>0</v>
      </c>
      <c r="K51" s="22">
        <f>Migowi!D51+Migowi!E51+Migowi!F51</f>
        <v>0</v>
      </c>
      <c r="L51" s="412">
        <f>Nkando!D51+Nkando!E51+Nkando!F51</f>
        <v>0</v>
      </c>
      <c r="M51" s="35">
        <f>SUM(D51:L51)</f>
        <v>3557484</v>
      </c>
    </row>
    <row r="52" spans="1:13" ht="15.75" x14ac:dyDescent="0.25">
      <c r="A52" s="176" t="s">
        <v>126</v>
      </c>
      <c r="B52" s="177"/>
      <c r="C52" s="4" t="s">
        <v>31</v>
      </c>
      <c r="D52" s="22">
        <f>Mulanje!D52+Mulanje!E52+Mulanje!F52</f>
        <v>0</v>
      </c>
      <c r="E52" s="22">
        <f>Luchenza!D52+Luchenza!E52+Luchenza!F52</f>
        <v>0</v>
      </c>
      <c r="F52" s="22">
        <f>Thyolo!D52+Thyolo!E52+Thyolo!F52</f>
        <v>0</v>
      </c>
      <c r="G52" s="22">
        <f>Muloza!D52+Muloza!E52+Muloza!F52</f>
        <v>0</v>
      </c>
      <c r="H52" s="22">
        <f>MUST!D52+MUST!E52+MUST!F52</f>
        <v>0</v>
      </c>
      <c r="I52" s="22">
        <f>Phalombe!D52+Phalombe!E52+Phalombe!F52</f>
        <v>0</v>
      </c>
      <c r="J52" s="22">
        <f>Mikolongwe!D52+Mikolongwe!E52+Mikolongwe!F52</f>
        <v>0</v>
      </c>
      <c r="K52" s="22">
        <f>Migowi!D52+Migowi!E52+Migowi!F52</f>
        <v>0</v>
      </c>
      <c r="L52" s="412">
        <f>Nkando!D52+Nkando!E52+Nkando!F52</f>
        <v>0</v>
      </c>
      <c r="M52" s="35">
        <f>SUM(D52:L52)</f>
        <v>0</v>
      </c>
    </row>
    <row r="53" spans="1:13" x14ac:dyDescent="0.25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90"/>
    </row>
    <row r="54" spans="1:13" ht="15.75" x14ac:dyDescent="0.25">
      <c r="A54" s="176" t="s">
        <v>124</v>
      </c>
      <c r="B54" s="177"/>
      <c r="C54" s="4" t="s">
        <v>18</v>
      </c>
      <c r="D54" s="22">
        <f>Mulanje!D54+Mulanje!E54+Mulanje!F54</f>
        <v>57014853.320000008</v>
      </c>
      <c r="E54" s="22">
        <f>Luchenza!D54+Luchenza!E54+Luchenza!F54</f>
        <v>26634969.889999997</v>
      </c>
      <c r="F54" s="22">
        <f>Thyolo!D54+Thyolo!E54+Thyolo!F54</f>
        <v>38481071</v>
      </c>
      <c r="G54" s="22">
        <f>Muloza!D54+Muloza!E54+Muloza!F54</f>
        <v>16825000.289999999</v>
      </c>
      <c r="H54" s="22">
        <f>MUST!D54+MUST!E54+MUST!F54</f>
        <v>28295131.860000003</v>
      </c>
      <c r="I54" s="22">
        <f>Phalombe!D54+Phalombe!E54+Phalombe!F54</f>
        <v>15235047.120000001</v>
      </c>
      <c r="J54" s="22">
        <f>Mikolongwe!D54+Mikolongwe!E54+Mikolongwe!F54</f>
        <v>3158546.63</v>
      </c>
      <c r="K54" s="22">
        <f>Migowi!D54+Migowi!E54+Migowi!F54</f>
        <v>0</v>
      </c>
      <c r="L54" s="412">
        <f>Nkando!D54+Nkando!E54+Nkando!F54</f>
        <v>0</v>
      </c>
      <c r="M54" s="34">
        <f>SUM(D54:L54)</f>
        <v>185644620.11000001</v>
      </c>
    </row>
    <row r="55" spans="1:13" ht="15.75" x14ac:dyDescent="0.25">
      <c r="A55" s="68" t="s">
        <v>123</v>
      </c>
      <c r="B55" s="69"/>
      <c r="C55" s="4" t="s">
        <v>18</v>
      </c>
      <c r="D55" s="22">
        <f>Mulanje!D55+Mulanje!E55+Mulanje!F55</f>
        <v>8932287.1259999983</v>
      </c>
      <c r="E55" s="22">
        <f>Luchenza!D55+Luchenza!E55+Luchenza!F55</f>
        <v>7465428.7510000002</v>
      </c>
      <c r="F55" s="22">
        <f>Thyolo!D55+Thyolo!E55+Thyolo!F55</f>
        <v>8965006.9010000005</v>
      </c>
      <c r="G55" s="22">
        <f>Muloza!D55+Muloza!E55+Muloza!F55</f>
        <v>3844445.2525000004</v>
      </c>
      <c r="H55" s="22">
        <f>MUST!D55+MUST!E55+MUST!F55</f>
        <v>3158418.64</v>
      </c>
      <c r="I55" s="22">
        <f>Phalombe!D55+Phalombe!E55+Phalombe!F55</f>
        <v>4376015.1404999997</v>
      </c>
      <c r="J55" s="22">
        <f>Mikolongwe!D55+Mikolongwe!E55+Mikolongwe!F55</f>
        <v>877962.04</v>
      </c>
      <c r="K55" s="22">
        <f>Migowi!D55+Migowi!E55+Migowi!F55</f>
        <v>1285672.5</v>
      </c>
      <c r="L55" s="412">
        <f>Nkando!D55+Nkando!E55+Nkando!F55</f>
        <v>2401686.42</v>
      </c>
      <c r="M55" s="34">
        <f>SUM(D55:L55)</f>
        <v>41306922.770999998</v>
      </c>
    </row>
    <row r="56" spans="1:13" ht="15.75" x14ac:dyDescent="0.25">
      <c r="A56" s="176" t="s">
        <v>122</v>
      </c>
      <c r="B56" s="177"/>
      <c r="C56" s="4" t="s">
        <v>18</v>
      </c>
      <c r="D56" s="22">
        <f>Mulanje!D56+Mulanje!E56+Mulanje!F56</f>
        <v>16219993.630000001</v>
      </c>
      <c r="E56" s="22">
        <f>Luchenza!D56+Luchenza!E56+Luchenza!F56</f>
        <v>8423542.1799999997</v>
      </c>
      <c r="F56" s="22">
        <f>Thyolo!D56+Thyolo!E56+Thyolo!F56</f>
        <v>9620382</v>
      </c>
      <c r="G56" s="22">
        <f>Muloza!D56+Muloza!E56+Muloza!F56</f>
        <v>6758344.8399999999</v>
      </c>
      <c r="H56" s="22">
        <f>MUST!D56+MUST!E56+MUST!F56</f>
        <v>19961199.09</v>
      </c>
      <c r="I56" s="22">
        <f>Phalombe!D56+Phalombe!E56+Phalombe!F56</f>
        <v>5903701.0800000001</v>
      </c>
      <c r="J56" s="22">
        <f>Mikolongwe!D56+Mikolongwe!E56+Mikolongwe!F56</f>
        <v>250000</v>
      </c>
      <c r="K56" s="22">
        <f>Migowi!D56+Migowi!E56+Migowi!F56</f>
        <v>0</v>
      </c>
      <c r="L56" s="412">
        <f>Nkando!D56+Nkando!E56+Nkando!F56</f>
        <v>0</v>
      </c>
      <c r="M56" s="34">
        <f>SUM(D56:L56)</f>
        <v>67137162.820000008</v>
      </c>
    </row>
    <row r="57" spans="1:13" x14ac:dyDescent="0.25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90"/>
    </row>
    <row r="58" spans="1:13" ht="15.75" x14ac:dyDescent="0.25">
      <c r="A58" s="176" t="s">
        <v>120</v>
      </c>
      <c r="B58" s="177"/>
      <c r="C58" s="4" t="s">
        <v>18</v>
      </c>
      <c r="D58" s="11">
        <f>D41+D46+D51+D52+D54+D55+D56</f>
        <v>85409250.816</v>
      </c>
      <c r="E58" s="11">
        <f t="shared" ref="E58:L58" si="13">E41+E46+E51+E52+E54+E55+E56</f>
        <v>53088053.2936</v>
      </c>
      <c r="F58" s="11">
        <f t="shared" si="13"/>
        <v>79097425.351000011</v>
      </c>
      <c r="G58" s="11">
        <f t="shared" si="13"/>
        <v>39436415.262500003</v>
      </c>
      <c r="H58" s="11">
        <f t="shared" si="13"/>
        <v>63336372.609999999</v>
      </c>
      <c r="I58" s="11">
        <f t="shared" si="13"/>
        <v>25931570.980499998</v>
      </c>
      <c r="J58" s="11">
        <f t="shared" si="13"/>
        <v>4856539.96</v>
      </c>
      <c r="K58" s="11">
        <f t="shared" si="13"/>
        <v>1946378.22</v>
      </c>
      <c r="L58" s="11">
        <f t="shared" si="13"/>
        <v>3838421.2199999997</v>
      </c>
      <c r="M58" s="59">
        <f>SUM(D58:L58)</f>
        <v>356940427.71360004</v>
      </c>
    </row>
    <row r="59" spans="1:13" ht="15.75" x14ac:dyDescent="0.25">
      <c r="A59" s="176" t="s">
        <v>119</v>
      </c>
      <c r="B59" s="177"/>
      <c r="C59" s="4" t="s">
        <v>117</v>
      </c>
      <c r="D59" s="13">
        <f t="shared" ref="D59:M59" si="14">D58/D9</f>
        <v>611.06123412414502</v>
      </c>
      <c r="E59" s="13">
        <f t="shared" si="14"/>
        <v>1161.2830207503007</v>
      </c>
      <c r="F59" s="13">
        <f t="shared" si="14"/>
        <v>1777.0708908335207</v>
      </c>
      <c r="G59" s="13">
        <f t="shared" si="14"/>
        <v>1356.2286010901714</v>
      </c>
      <c r="H59" s="13">
        <f t="shared" si="14"/>
        <v>1048.8759229941211</v>
      </c>
      <c r="I59" s="13">
        <f t="shared" si="14"/>
        <v>977.4433087259705</v>
      </c>
      <c r="J59" s="13">
        <f t="shared" si="14"/>
        <v>2032.0250878661088</v>
      </c>
      <c r="K59" s="13">
        <f t="shared" si="14"/>
        <v>654.02493951612905</v>
      </c>
      <c r="L59" s="13">
        <f t="shared" si="14"/>
        <v>584.94684852179205</v>
      </c>
      <c r="M59" s="92">
        <f t="shared" si="14"/>
        <v>997.26872555613306</v>
      </c>
    </row>
    <row r="60" spans="1:13" ht="15.75" x14ac:dyDescent="0.25">
      <c r="A60" s="176" t="s">
        <v>118</v>
      </c>
      <c r="B60" s="177"/>
      <c r="C60" s="4" t="s">
        <v>117</v>
      </c>
      <c r="D60" s="13">
        <f>D58/D22</f>
        <v>859.1740069064474</v>
      </c>
      <c r="E60" s="13">
        <f t="shared" ref="E60:L60" si="15">E58/E22</f>
        <v>1634.2328241834693</v>
      </c>
      <c r="F60" s="13">
        <f t="shared" si="15"/>
        <v>2748.4615533309247</v>
      </c>
      <c r="G60" s="13">
        <f t="shared" si="15"/>
        <v>2079.3216947432247</v>
      </c>
      <c r="H60" s="13">
        <f t="shared" si="15"/>
        <v>1325.8608459284069</v>
      </c>
      <c r="I60" s="13">
        <f t="shared" si="15"/>
        <v>1363.5492714944501</v>
      </c>
      <c r="J60" s="13">
        <f t="shared" si="15"/>
        <v>2489.2567708867246</v>
      </c>
      <c r="K60" s="13">
        <f t="shared" si="15"/>
        <v>789.92622564935061</v>
      </c>
      <c r="L60" s="13">
        <f t="shared" si="15"/>
        <v>759.34661813290074</v>
      </c>
      <c r="M60" s="93">
        <f>M58/M22</f>
        <v>1394.8654277840105</v>
      </c>
    </row>
    <row r="61" spans="1:13" ht="15.75" x14ac:dyDescent="0.25">
      <c r="A61" s="176" t="s">
        <v>116</v>
      </c>
      <c r="B61" s="177"/>
      <c r="C61" s="4" t="s">
        <v>3</v>
      </c>
      <c r="D61" s="22">
        <f>Mulanje!F61</f>
        <v>9</v>
      </c>
      <c r="E61" s="22">
        <f>Luchenza!F61</f>
        <v>7</v>
      </c>
      <c r="F61" s="22">
        <f>Thyolo!F61</f>
        <v>9</v>
      </c>
      <c r="G61" s="22">
        <f>Muloza!F61</f>
        <v>6</v>
      </c>
      <c r="H61" s="22">
        <f>MUST!F61</f>
        <v>4</v>
      </c>
      <c r="I61" s="22">
        <f>Phalombe!F61</f>
        <v>4</v>
      </c>
      <c r="J61" s="22">
        <f>Mikolongwe!F61</f>
        <v>0</v>
      </c>
      <c r="K61" s="22">
        <f>Migowi!F61</f>
        <v>0</v>
      </c>
      <c r="L61" s="412">
        <f>Nkando!F61</f>
        <v>5</v>
      </c>
      <c r="M61" s="8">
        <f>SUM(D61:L61)</f>
        <v>44</v>
      </c>
    </row>
    <row r="62" spans="1:13" ht="15.6" customHeight="1" x14ac:dyDescent="0.25">
      <c r="A62" s="176" t="s">
        <v>115</v>
      </c>
      <c r="B62" s="177"/>
      <c r="C62" s="4" t="s">
        <v>114</v>
      </c>
      <c r="D62" s="13">
        <f t="shared" ref="D62:M62" si="16">(D61*1000*31)/D9</f>
        <v>1.9961079472283434</v>
      </c>
      <c r="E62" s="13">
        <f t="shared" si="16"/>
        <v>4.746800831237012</v>
      </c>
      <c r="F62" s="13">
        <f t="shared" si="16"/>
        <v>6.2682543248708154</v>
      </c>
      <c r="G62" s="13">
        <f t="shared" si="16"/>
        <v>6.3965884861407245</v>
      </c>
      <c r="H62" s="13">
        <f t="shared" si="16"/>
        <v>2.0534901051585659</v>
      </c>
      <c r="I62" s="13">
        <f t="shared" si="16"/>
        <v>4.6739540143234075</v>
      </c>
      <c r="J62" s="13">
        <f t="shared" si="16"/>
        <v>0</v>
      </c>
      <c r="K62" s="13">
        <f t="shared" si="16"/>
        <v>0</v>
      </c>
      <c r="L62" s="13">
        <f t="shared" si="16"/>
        <v>23.620847302651629</v>
      </c>
      <c r="M62" s="92">
        <f t="shared" si="16"/>
        <v>3.8109287602188209</v>
      </c>
    </row>
    <row r="63" spans="1:13" ht="15.75" x14ac:dyDescent="0.25">
      <c r="A63" s="193" t="s">
        <v>113</v>
      </c>
      <c r="B63" s="194"/>
      <c r="C63" s="33" t="s">
        <v>3</v>
      </c>
      <c r="D63" s="22">
        <f>Mulanje!F63</f>
        <v>22</v>
      </c>
      <c r="E63" s="22">
        <f>Luchenza!F63</f>
        <v>17</v>
      </c>
      <c r="F63" s="22">
        <f>Thyolo!F63</f>
        <v>19</v>
      </c>
      <c r="G63" s="22">
        <f>Muloza!F63</f>
        <v>15</v>
      </c>
      <c r="H63" s="22">
        <f>MUST!F63</f>
        <v>14</v>
      </c>
      <c r="I63" s="22">
        <f>Phalombe!F63</f>
        <v>12</v>
      </c>
      <c r="J63" s="22">
        <f>Mikolongwe!F63</f>
        <v>4</v>
      </c>
      <c r="K63" s="22">
        <f>Migowi!F63</f>
        <v>2</v>
      </c>
      <c r="L63" s="412">
        <f>Nkando!F63</f>
        <v>2</v>
      </c>
      <c r="M63" s="8">
        <f>SUM(D63:L63)</f>
        <v>107</v>
      </c>
    </row>
    <row r="64" spans="1:13" x14ac:dyDescent="0.25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7"/>
    </row>
    <row r="65" spans="1:13" ht="14.45" customHeight="1" x14ac:dyDescent="0.25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90"/>
    </row>
    <row r="66" spans="1:13" ht="15.75" x14ac:dyDescent="0.25">
      <c r="A66" s="173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Thyolo!D66</f>
        <v>8</v>
      </c>
      <c r="G66" s="22">
        <f>Muloza!D66</f>
        <v>52</v>
      </c>
      <c r="H66" s="22">
        <f>MUST!D66</f>
        <v>1</v>
      </c>
      <c r="I66" s="22">
        <f>Phalombe!D66</f>
        <v>38</v>
      </c>
      <c r="J66" s="22">
        <f>Mikolongwe!D66</f>
        <v>0</v>
      </c>
      <c r="K66" s="22">
        <f>Migowi!D66</f>
        <v>0</v>
      </c>
      <c r="L66" s="22">
        <f>Nkando!D66</f>
        <v>6</v>
      </c>
      <c r="M66" s="428">
        <f>SUM(D66:L66)</f>
        <v>153</v>
      </c>
    </row>
    <row r="67" spans="1:13" ht="15.75" x14ac:dyDescent="0.25">
      <c r="A67" s="174"/>
      <c r="B67" s="21" t="s">
        <v>106</v>
      </c>
      <c r="C67" s="4" t="s">
        <v>3</v>
      </c>
      <c r="D67" s="22">
        <f>Mulanje!D67+Mulanje!E67+Mulanje!F67</f>
        <v>70</v>
      </c>
      <c r="E67" s="22">
        <f>Luchenza!D67+Luchenza!E67+Luchenza!F67</f>
        <v>54</v>
      </c>
      <c r="F67" s="22">
        <f>Thyolo!D67+Thyolo!E67+Thyolo!F67</f>
        <v>44</v>
      </c>
      <c r="G67" s="22">
        <f>Muloza!D67+Muloza!E67+Muloza!F67</f>
        <v>29</v>
      </c>
      <c r="H67" s="22">
        <f>MUST!D67+MUST!E67+MUST!F67</f>
        <v>17</v>
      </c>
      <c r="I67" s="22">
        <f>Phalombe!D67+Phalombe!E67+Phalombe!F67</f>
        <v>16</v>
      </c>
      <c r="J67" s="22">
        <f>Mikolongwe!D67+Mikolongwe!E67+Mikolongwe!F67</f>
        <v>0</v>
      </c>
      <c r="K67" s="22">
        <f>Migowi!D67+Migowi!E67+Migowi!F67</f>
        <v>0</v>
      </c>
      <c r="L67" s="22">
        <f>Nkando!D67+Nkando!E67+Nkando!F67</f>
        <v>7</v>
      </c>
      <c r="M67" s="428">
        <f>SUM(D67:L67)</f>
        <v>237</v>
      </c>
    </row>
    <row r="68" spans="1:13" ht="26.25" x14ac:dyDescent="0.25">
      <c r="A68" s="174"/>
      <c r="B68" s="21" t="s">
        <v>105</v>
      </c>
      <c r="C68" s="4" t="s">
        <v>3</v>
      </c>
      <c r="D68" s="22">
        <f>Mulanje!D68+Mulanje!E68+Mulanje!F68</f>
        <v>0</v>
      </c>
      <c r="E68" s="22">
        <f>Luchenza!D68+Luchenza!E68+Luchenza!F68</f>
        <v>5</v>
      </c>
      <c r="F68" s="22">
        <f>Thyolo!D68+Thyolo!E68+Thyolo!F68</f>
        <v>2</v>
      </c>
      <c r="G68" s="22">
        <f>Muloza!D68+Muloza!E68+Muloza!F68</f>
        <v>1</v>
      </c>
      <c r="H68" s="22">
        <f>MUST!D68+MUST!E68+MUST!F68</f>
        <v>11</v>
      </c>
      <c r="I68" s="22">
        <f>Phalombe!D68+Phalombe!E68+Phalombe!F68</f>
        <v>0</v>
      </c>
      <c r="J68" s="22">
        <f>Mikolongwe!D68+Mikolongwe!E68+Mikolongwe!F68</f>
        <v>0</v>
      </c>
      <c r="K68" s="22">
        <f>Migowi!D68+Migowi!E68+Migowi!F68</f>
        <v>0</v>
      </c>
      <c r="L68" s="22">
        <f>Nkando!D68+Nkando!E68+Nkando!F68</f>
        <v>0</v>
      </c>
      <c r="M68" s="428">
        <f>SUM(D68:L68)</f>
        <v>19</v>
      </c>
    </row>
    <row r="69" spans="1:13" ht="26.25" x14ac:dyDescent="0.25">
      <c r="A69" s="174"/>
      <c r="B69" s="21" t="s">
        <v>104</v>
      </c>
      <c r="C69" s="4" t="s">
        <v>3</v>
      </c>
      <c r="D69" s="22">
        <f>Mulanje!D69+Mulanje!E69+Mulanje!F69</f>
        <v>60</v>
      </c>
      <c r="E69" s="22">
        <f>Luchenza!D69+Luchenza!E69+Luchenza!F69</f>
        <v>44</v>
      </c>
      <c r="F69" s="22">
        <f>Thyolo!D69+Thyolo!E69+Thyolo!F69</f>
        <v>34</v>
      </c>
      <c r="G69" s="22">
        <f>Muloza!D69+Muloza!E69+Muloza!F69</f>
        <v>15</v>
      </c>
      <c r="H69" s="22">
        <f>MUST!D69+MUST!E69+MUST!F69</f>
        <v>4</v>
      </c>
      <c r="I69" s="22">
        <f>Phalombe!D69+Phalombe!E69+Phalombe!F69</f>
        <v>14</v>
      </c>
      <c r="J69" s="22">
        <f>Mikolongwe!D69+Mikolongwe!E69+Mikolongwe!F69</f>
        <v>0</v>
      </c>
      <c r="K69" s="22">
        <f>Migowi!D69+Migowi!E69+Migowi!F69</f>
        <v>0</v>
      </c>
      <c r="L69" s="22">
        <f>Nkando!D69+Nkando!E69+Nkando!F69</f>
        <v>9</v>
      </c>
      <c r="M69" s="428">
        <f>SUM(D69:L69)</f>
        <v>180</v>
      </c>
    </row>
    <row r="70" spans="1:13" ht="15.75" x14ac:dyDescent="0.25">
      <c r="A70" s="174"/>
      <c r="B70" s="21" t="s">
        <v>190</v>
      </c>
      <c r="C70" s="4" t="s">
        <v>3</v>
      </c>
      <c r="D70" s="3">
        <f>D68+D69</f>
        <v>60</v>
      </c>
      <c r="E70" s="3">
        <f t="shared" ref="E70:M70" si="17">E68+E69</f>
        <v>49</v>
      </c>
      <c r="F70" s="3">
        <f t="shared" si="17"/>
        <v>36</v>
      </c>
      <c r="G70" s="3">
        <f t="shared" si="17"/>
        <v>16</v>
      </c>
      <c r="H70" s="3">
        <f t="shared" si="17"/>
        <v>15</v>
      </c>
      <c r="I70" s="3">
        <f t="shared" si="17"/>
        <v>14</v>
      </c>
      <c r="J70" s="3">
        <f t="shared" si="17"/>
        <v>0</v>
      </c>
      <c r="K70" s="3">
        <f t="shared" si="17"/>
        <v>0</v>
      </c>
      <c r="L70" s="3">
        <f t="shared" ref="L70" si="18">L68+L69</f>
        <v>9</v>
      </c>
      <c r="M70" s="132">
        <f t="shared" si="17"/>
        <v>199</v>
      </c>
    </row>
    <row r="71" spans="1:13" ht="15.75" x14ac:dyDescent="0.25">
      <c r="A71" s="175"/>
      <c r="B71" s="21" t="s">
        <v>81</v>
      </c>
      <c r="C71" s="4" t="s">
        <v>3</v>
      </c>
      <c r="D71" s="22">
        <f>D66+D67-D70</f>
        <v>20</v>
      </c>
      <c r="E71" s="22">
        <f t="shared" ref="E71:K71" si="19">E66+E67-E70</f>
        <v>43</v>
      </c>
      <c r="F71" s="22">
        <f t="shared" si="19"/>
        <v>16</v>
      </c>
      <c r="G71" s="22">
        <f t="shared" si="19"/>
        <v>65</v>
      </c>
      <c r="H71" s="22">
        <f t="shared" si="19"/>
        <v>3</v>
      </c>
      <c r="I71" s="22">
        <f t="shared" si="19"/>
        <v>40</v>
      </c>
      <c r="J71" s="22">
        <f t="shared" si="19"/>
        <v>0</v>
      </c>
      <c r="K71" s="22">
        <f t="shared" si="19"/>
        <v>0</v>
      </c>
      <c r="L71" s="22">
        <f t="shared" ref="L71" si="20">L66+L67-L70</f>
        <v>4</v>
      </c>
      <c r="M71" s="133">
        <f>M66+M67-M70</f>
        <v>191</v>
      </c>
    </row>
    <row r="72" spans="1:13" ht="15.75" x14ac:dyDescent="0.25">
      <c r="A72" s="173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428">
        <f>SUM(D72:L72)</f>
        <v>0</v>
      </c>
    </row>
    <row r="73" spans="1:13" ht="15.75" x14ac:dyDescent="0.25">
      <c r="A73" s="174"/>
      <c r="B73" s="21" t="s">
        <v>106</v>
      </c>
      <c r="C73" s="4" t="s">
        <v>3</v>
      </c>
      <c r="D73" s="22">
        <f>Mulanje!D73+Mulanje!E73+Mulanje!F73</f>
        <v>0</v>
      </c>
      <c r="E73" s="22">
        <f>Luchenza!D73+Luchenza!E73+Luchenza!F73</f>
        <v>0</v>
      </c>
      <c r="F73" s="22">
        <f>Thyolo!D73+Thyolo!E73+Thyolo!F73</f>
        <v>0</v>
      </c>
      <c r="G73" s="22">
        <f>Muloza!D73+Muloza!E73+Muloza!F73</f>
        <v>1</v>
      </c>
      <c r="H73" s="22">
        <f>MUST!D73+MUST!E73+MUST!F73</f>
        <v>1</v>
      </c>
      <c r="I73" s="22">
        <f>Phalombe!D73+Phalombe!E73+Phalombe!F73</f>
        <v>0</v>
      </c>
      <c r="J73" s="22">
        <f>Mikolongwe!D73+Mikolongwe!E73+Mikolongwe!F73</f>
        <v>0</v>
      </c>
      <c r="K73" s="22">
        <f>Migowi!D73+Migowi!E73+Migowi!F73</f>
        <v>0</v>
      </c>
      <c r="L73" s="22">
        <f>Nkando!D73+Nkando!E73+Nkando!F73</f>
        <v>0</v>
      </c>
      <c r="M73" s="428">
        <f>SUM(D73:L73)</f>
        <v>2</v>
      </c>
    </row>
    <row r="74" spans="1:13" ht="26.25" x14ac:dyDescent="0.25">
      <c r="A74" s="174"/>
      <c r="B74" s="21" t="s">
        <v>105</v>
      </c>
      <c r="C74" s="4" t="s">
        <v>3</v>
      </c>
      <c r="D74" s="22">
        <f>Mulanje!D74+Mulanje!E74+Mulanje!F74</f>
        <v>0</v>
      </c>
      <c r="E74" s="22">
        <f>Luchenza!D74+Luchenza!E74+Luchenza!F74</f>
        <v>0</v>
      </c>
      <c r="F74" s="22">
        <f>Thyolo!D74+Thyolo!E74+Thyolo!F74</f>
        <v>0</v>
      </c>
      <c r="G74" s="22">
        <f>Muloza!D74+Muloza!E74+Muloza!F74</f>
        <v>0</v>
      </c>
      <c r="H74" s="22">
        <f>MUST!D74+MUST!E74+MUST!F74</f>
        <v>1</v>
      </c>
      <c r="I74" s="22">
        <f>Phalombe!D74+Phalombe!E74+Phalombe!F74</f>
        <v>0</v>
      </c>
      <c r="J74" s="22">
        <f>Mikolongwe!D74+Mikolongwe!E74+Mikolongwe!F74</f>
        <v>0</v>
      </c>
      <c r="K74" s="22">
        <f>Migowi!D74+Migowi!E74+Migowi!F74</f>
        <v>0</v>
      </c>
      <c r="L74" s="22">
        <f>Nkando!D74+Nkando!E74+Nkando!F74</f>
        <v>0</v>
      </c>
      <c r="M74" s="428">
        <f>SUM(D74:L74)</f>
        <v>1</v>
      </c>
    </row>
    <row r="75" spans="1:13" ht="26.25" x14ac:dyDescent="0.25">
      <c r="A75" s="174"/>
      <c r="B75" s="21" t="s">
        <v>104</v>
      </c>
      <c r="C75" s="4" t="s">
        <v>3</v>
      </c>
      <c r="D75" s="22">
        <f>Mulanje!D75+Mulanje!E75+Mulanje!F75</f>
        <v>0</v>
      </c>
      <c r="E75" s="22">
        <f>Luchenza!D75+Luchenza!E75+Luchenza!F75</f>
        <v>0</v>
      </c>
      <c r="F75" s="22">
        <f>Thyolo!D75+Thyolo!E75+Thyolo!F75</f>
        <v>0</v>
      </c>
      <c r="G75" s="22">
        <f>Muloza!D75+Muloza!E75+Muloza!F75</f>
        <v>1</v>
      </c>
      <c r="H75" s="22">
        <f>MUST!D75+MUST!E75+MUST!F75</f>
        <v>0</v>
      </c>
      <c r="I75" s="22">
        <f>Phalombe!D75+Phalombe!E75+Phalombe!F75</f>
        <v>0</v>
      </c>
      <c r="J75" s="22">
        <f>Mikolongwe!D75+Mikolongwe!E75+Mikolongwe!F75</f>
        <v>0</v>
      </c>
      <c r="K75" s="22">
        <f>Migowi!D75+Migowi!E75+Migowi!F75</f>
        <v>0</v>
      </c>
      <c r="L75" s="22">
        <f>Nkando!D75+Nkando!E75+Nkando!F75</f>
        <v>0</v>
      </c>
      <c r="M75" s="428">
        <f>SUM(D75:L75)</f>
        <v>1</v>
      </c>
    </row>
    <row r="76" spans="1:13" ht="15.75" x14ac:dyDescent="0.25">
      <c r="A76" s="174"/>
      <c r="B76" s="21" t="s">
        <v>190</v>
      </c>
      <c r="C76" s="4" t="s">
        <v>3</v>
      </c>
      <c r="D76" s="3">
        <f>D74+D75</f>
        <v>0</v>
      </c>
      <c r="E76" s="3">
        <f t="shared" ref="E76:M76" si="21">E74+E75</f>
        <v>0</v>
      </c>
      <c r="F76" s="3">
        <f t="shared" si="21"/>
        <v>0</v>
      </c>
      <c r="G76" s="3">
        <f t="shared" si="21"/>
        <v>1</v>
      </c>
      <c r="H76" s="3">
        <f t="shared" si="21"/>
        <v>1</v>
      </c>
      <c r="I76" s="3">
        <f t="shared" si="21"/>
        <v>0</v>
      </c>
      <c r="J76" s="3">
        <f t="shared" si="21"/>
        <v>0</v>
      </c>
      <c r="K76" s="3">
        <f t="shared" si="21"/>
        <v>0</v>
      </c>
      <c r="L76" s="3">
        <f t="shared" ref="L76" si="22">L74+L75</f>
        <v>0</v>
      </c>
      <c r="M76" s="132">
        <f t="shared" si="21"/>
        <v>2</v>
      </c>
    </row>
    <row r="77" spans="1:13" ht="15.75" x14ac:dyDescent="0.25">
      <c r="A77" s="175"/>
      <c r="B77" s="21" t="s">
        <v>81</v>
      </c>
      <c r="C77" s="4" t="s">
        <v>3</v>
      </c>
      <c r="D77" s="22">
        <f>D73+D74-D76</f>
        <v>0</v>
      </c>
      <c r="E77" s="22">
        <f t="shared" ref="E77:M77" si="23">E73+E74-E76</f>
        <v>0</v>
      </c>
      <c r="F77" s="22">
        <f t="shared" si="23"/>
        <v>0</v>
      </c>
      <c r="G77" s="22">
        <f t="shared" si="23"/>
        <v>0</v>
      </c>
      <c r="H77" s="22">
        <f t="shared" si="23"/>
        <v>1</v>
      </c>
      <c r="I77" s="22">
        <f t="shared" si="23"/>
        <v>0</v>
      </c>
      <c r="J77" s="22">
        <f t="shared" si="23"/>
        <v>0</v>
      </c>
      <c r="K77" s="22">
        <f t="shared" si="23"/>
        <v>0</v>
      </c>
      <c r="L77" s="22">
        <f t="shared" ref="L77" si="24">L73+L74-L76</f>
        <v>0</v>
      </c>
      <c r="M77" s="133">
        <f t="shared" si="23"/>
        <v>1</v>
      </c>
    </row>
    <row r="78" spans="1:13" ht="15.6" customHeight="1" x14ac:dyDescent="0.25">
      <c r="A78" s="173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6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428">
        <f>SUM(D78:L78)</f>
        <v>6</v>
      </c>
    </row>
    <row r="79" spans="1:13" ht="15.75" x14ac:dyDescent="0.25">
      <c r="A79" s="174"/>
      <c r="B79" s="21" t="s">
        <v>106</v>
      </c>
      <c r="C79" s="4" t="s">
        <v>3</v>
      </c>
      <c r="D79" s="22">
        <f>Mulanje!D79+Mulanje!E79+Mulanje!F79</f>
        <v>0</v>
      </c>
      <c r="E79" s="22">
        <f>Luchenza!D79+Luchenza!E79+Luchenza!F79</f>
        <v>0</v>
      </c>
      <c r="F79" s="22">
        <f>Thyolo!D79+Thyolo!E79+Thyolo!F79</f>
        <v>0</v>
      </c>
      <c r="G79" s="22">
        <f>Muloza!D79+Muloza!E79+Muloza!F79</f>
        <v>1</v>
      </c>
      <c r="H79" s="22">
        <f>MUST!D79+MUST!E79+MUST!F79</f>
        <v>0</v>
      </c>
      <c r="I79" s="22">
        <f>Phalombe!D79+Phalombe!E79+Phalombe!F79</f>
        <v>0</v>
      </c>
      <c r="J79" s="22">
        <f>Mikolongwe!D79+Mikolongwe!E79+Mikolongwe!F79</f>
        <v>0</v>
      </c>
      <c r="K79" s="22">
        <f>Migowi!D79+Migowi!E79+Migowi!F79</f>
        <v>0</v>
      </c>
      <c r="L79" s="22">
        <f>Nkando!D79+Nkando!E79+Nkando!F79</f>
        <v>0</v>
      </c>
      <c r="M79" s="428">
        <f>SUM(D79:L79)</f>
        <v>1</v>
      </c>
    </row>
    <row r="80" spans="1:13" ht="26.25" x14ac:dyDescent="0.25">
      <c r="A80" s="174"/>
      <c r="B80" s="21" t="s">
        <v>105</v>
      </c>
      <c r="C80" s="4" t="s">
        <v>3</v>
      </c>
      <c r="D80" s="22">
        <f>Mulanje!D80+Mulanje!E80+Mulanje!F80</f>
        <v>0</v>
      </c>
      <c r="E80" s="22">
        <f>Luchenza!D80+Luchenza!E80+Luchenza!F80</f>
        <v>0</v>
      </c>
      <c r="F80" s="22">
        <f>Thyolo!D80+Thyolo!E80+Thyolo!F80</f>
        <v>0</v>
      </c>
      <c r="G80" s="22">
        <f>Muloza!D80+Muloza!E80+Muloza!F80</f>
        <v>0</v>
      </c>
      <c r="H80" s="22">
        <f>MUST!D80+MUST!E80+MUST!F80</f>
        <v>0</v>
      </c>
      <c r="I80" s="22">
        <f>Phalombe!D80+Phalombe!E80+Phalombe!F80</f>
        <v>0</v>
      </c>
      <c r="J80" s="22">
        <f>Mikolongwe!D80+Mikolongwe!E80+Mikolongwe!F80</f>
        <v>0</v>
      </c>
      <c r="K80" s="22">
        <f>Migowi!D80+Migowi!E80+Migowi!F80</f>
        <v>0</v>
      </c>
      <c r="L80" s="22">
        <f>Nkando!D80+Nkando!E80+Nkando!F80</f>
        <v>0</v>
      </c>
      <c r="M80" s="428">
        <f>SUM(D80:L80)</f>
        <v>0</v>
      </c>
    </row>
    <row r="81" spans="1:13" ht="26.25" x14ac:dyDescent="0.25">
      <c r="A81" s="174"/>
      <c r="B81" s="21" t="s">
        <v>104</v>
      </c>
      <c r="C81" s="4" t="s">
        <v>3</v>
      </c>
      <c r="D81" s="22">
        <f>Mulanje!D81+Mulanje!E81+Mulanje!F81</f>
        <v>0</v>
      </c>
      <c r="E81" s="22">
        <f>Luchenza!D81+Luchenza!E81+Luchenza!F81</f>
        <v>0</v>
      </c>
      <c r="F81" s="22">
        <f>Thyolo!D81+Thyolo!E81+Thyolo!F81</f>
        <v>0</v>
      </c>
      <c r="G81" s="22">
        <f>Muloza!D81+Muloza!E81+Muloza!F81</f>
        <v>0</v>
      </c>
      <c r="H81" s="22">
        <f>MUST!D81+MUST!E81+MUST!F81</f>
        <v>0</v>
      </c>
      <c r="I81" s="22">
        <f>Phalombe!D81+Phalombe!E81+Phalombe!F81</f>
        <v>0</v>
      </c>
      <c r="J81" s="22">
        <f>Mikolongwe!D81+Mikolongwe!E81+Mikolongwe!F81</f>
        <v>0</v>
      </c>
      <c r="K81" s="22">
        <f>Migowi!D81+Migowi!E81+Migowi!F81</f>
        <v>0</v>
      </c>
      <c r="L81" s="22">
        <f>Nkando!D81+Nkando!E81+Nkando!F81</f>
        <v>0</v>
      </c>
      <c r="M81" s="429">
        <f>SUM(D81:L81)</f>
        <v>0</v>
      </c>
    </row>
    <row r="82" spans="1:13" ht="15.75" x14ac:dyDescent="0.25">
      <c r="A82" s="174"/>
      <c r="B82" s="21" t="s">
        <v>190</v>
      </c>
      <c r="C82" s="4" t="s">
        <v>3</v>
      </c>
      <c r="D82" s="3">
        <f>D81+D80</f>
        <v>0</v>
      </c>
      <c r="E82" s="3">
        <f t="shared" ref="E82:M82" si="25">E81+E80</f>
        <v>0</v>
      </c>
      <c r="F82" s="3">
        <f t="shared" si="25"/>
        <v>0</v>
      </c>
      <c r="G82" s="3">
        <f t="shared" si="25"/>
        <v>0</v>
      </c>
      <c r="H82" s="3">
        <f t="shared" si="25"/>
        <v>0</v>
      </c>
      <c r="I82" s="3">
        <f t="shared" si="25"/>
        <v>0</v>
      </c>
      <c r="J82" s="3">
        <f t="shared" si="25"/>
        <v>0</v>
      </c>
      <c r="K82" s="3">
        <f t="shared" si="25"/>
        <v>0</v>
      </c>
      <c r="L82" s="3">
        <f t="shared" ref="L82" si="26">L81+L80</f>
        <v>0</v>
      </c>
      <c r="M82" s="132">
        <f t="shared" si="25"/>
        <v>0</v>
      </c>
    </row>
    <row r="83" spans="1:13" ht="15.75" x14ac:dyDescent="0.25">
      <c r="A83" s="175"/>
      <c r="B83" s="21" t="s">
        <v>81</v>
      </c>
      <c r="C83" s="4" t="s">
        <v>3</v>
      </c>
      <c r="D83" s="22">
        <f>D78+D79-D82</f>
        <v>0</v>
      </c>
      <c r="E83" s="22">
        <f t="shared" ref="E83:M83" si="27">E78+E79-E82</f>
        <v>0</v>
      </c>
      <c r="F83" s="22">
        <f t="shared" si="27"/>
        <v>0</v>
      </c>
      <c r="G83" s="22">
        <f t="shared" si="27"/>
        <v>7</v>
      </c>
      <c r="H83" s="22">
        <f t="shared" si="27"/>
        <v>0</v>
      </c>
      <c r="I83" s="22">
        <f t="shared" si="27"/>
        <v>0</v>
      </c>
      <c r="J83" s="22">
        <f t="shared" si="27"/>
        <v>0</v>
      </c>
      <c r="K83" s="22">
        <f t="shared" si="27"/>
        <v>0</v>
      </c>
      <c r="L83" s="22">
        <f t="shared" ref="L83" si="28">L78+L79-L82</f>
        <v>0</v>
      </c>
      <c r="M83" s="133">
        <f t="shared" si="27"/>
        <v>7</v>
      </c>
    </row>
    <row r="84" spans="1:13" ht="15.75" x14ac:dyDescent="0.25">
      <c r="A84" s="200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428">
        <f>SUM(D84:L84)</f>
        <v>0</v>
      </c>
    </row>
    <row r="85" spans="1:13" ht="15.75" x14ac:dyDescent="0.25">
      <c r="A85" s="201"/>
      <c r="B85" s="21" t="s">
        <v>106</v>
      </c>
      <c r="C85" s="4" t="s">
        <v>3</v>
      </c>
      <c r="D85" s="22">
        <f>Mulanje!D85+Mulanje!E85+Mulanje!F85</f>
        <v>0</v>
      </c>
      <c r="E85" s="22">
        <f>Luchenza!D85+Luchenza!E85+Luchenza!F85</f>
        <v>0</v>
      </c>
      <c r="F85" s="22">
        <f>Thyolo!D85+Thyolo!E85+Thyolo!F85</f>
        <v>0</v>
      </c>
      <c r="G85" s="22">
        <f>Muloza!D85+Muloza!E85+Muloza!F85</f>
        <v>0</v>
      </c>
      <c r="H85" s="22">
        <f>MUST!D85+MUST!E85+MUST!F85</f>
        <v>0</v>
      </c>
      <c r="I85" s="22">
        <f>Phalombe!D85+Phalombe!E85+Phalombe!F85</f>
        <v>0</v>
      </c>
      <c r="J85" s="22">
        <f>Mikolongwe!D85+Mikolongwe!E85+Mikolongwe!F85</f>
        <v>0</v>
      </c>
      <c r="K85" s="22">
        <f>Migowi!D85+Migowi!E85+Migowi!F85</f>
        <v>0</v>
      </c>
      <c r="L85" s="22">
        <f>Nkando!D85+Nkando!E85+Nkando!F85</f>
        <v>0</v>
      </c>
      <c r="M85" s="428">
        <f>SUM(D85:L85)</f>
        <v>0</v>
      </c>
    </row>
    <row r="86" spans="1:13" ht="26.25" x14ac:dyDescent="0.25">
      <c r="A86" s="201"/>
      <c r="B86" s="21" t="s">
        <v>105</v>
      </c>
      <c r="C86" s="4" t="s">
        <v>3</v>
      </c>
      <c r="D86" s="22">
        <f>Mulanje!D86+Mulanje!E86+Mulanje!F86</f>
        <v>0</v>
      </c>
      <c r="E86" s="22">
        <f>Luchenza!D86+Luchenza!E86+Luchenza!F86</f>
        <v>0</v>
      </c>
      <c r="F86" s="22">
        <f>Thyolo!D86+Thyolo!E86+Thyolo!F86</f>
        <v>0</v>
      </c>
      <c r="G86" s="22">
        <f>Muloza!D86+Muloza!E86+Muloza!F86</f>
        <v>0</v>
      </c>
      <c r="H86" s="22">
        <f>MUST!D86+MUST!E86+MUST!F86</f>
        <v>0</v>
      </c>
      <c r="I86" s="22">
        <f>Phalombe!D86+Phalombe!E86+Phalombe!F86</f>
        <v>0</v>
      </c>
      <c r="J86" s="22">
        <f>Mikolongwe!D86+Mikolongwe!E86+Mikolongwe!F86</f>
        <v>0</v>
      </c>
      <c r="K86" s="22">
        <f>Migowi!D86+Migowi!E86+Migowi!F86</f>
        <v>0</v>
      </c>
      <c r="L86" s="22">
        <f>Nkando!D86+Nkando!E86+Nkando!F86</f>
        <v>0</v>
      </c>
      <c r="M86" s="428">
        <f>SUM(D86:L86)</f>
        <v>0</v>
      </c>
    </row>
    <row r="87" spans="1:13" ht="26.25" x14ac:dyDescent="0.25">
      <c r="A87" s="201"/>
      <c r="B87" s="21" t="s">
        <v>104</v>
      </c>
      <c r="C87" s="4" t="s">
        <v>3</v>
      </c>
      <c r="D87" s="22">
        <f>Mulanje!D87+Mulanje!E87+Mulanje!F87</f>
        <v>0</v>
      </c>
      <c r="E87" s="22">
        <f>Luchenza!D87+Luchenza!E87+Luchenza!F87</f>
        <v>0</v>
      </c>
      <c r="F87" s="22">
        <f>Thyolo!D87+Thyolo!E87+Thyolo!F87</f>
        <v>0</v>
      </c>
      <c r="G87" s="22">
        <f>Muloza!D87+Muloza!E87+Muloza!F87</f>
        <v>0</v>
      </c>
      <c r="H87" s="22">
        <f>MUST!D87+MUST!E87+MUST!F87</f>
        <v>0</v>
      </c>
      <c r="I87" s="22">
        <f>Phalombe!D87+Phalombe!E87+Phalombe!F87</f>
        <v>0</v>
      </c>
      <c r="J87" s="22">
        <f>Mikolongwe!D87+Mikolongwe!E87+Mikolongwe!F87</f>
        <v>0</v>
      </c>
      <c r="K87" s="22">
        <f>Migowi!D87+Migowi!E87+Migowi!F87</f>
        <v>0</v>
      </c>
      <c r="L87" s="22">
        <f>Nkando!D87+Nkando!E87+Nkando!F87</f>
        <v>0</v>
      </c>
      <c r="M87" s="428">
        <f>SUM(D87:L87)</f>
        <v>0</v>
      </c>
    </row>
    <row r="88" spans="1:13" ht="15.75" x14ac:dyDescent="0.25">
      <c r="A88" s="201"/>
      <c r="B88" s="21" t="s">
        <v>190</v>
      </c>
      <c r="C88" s="4" t="s">
        <v>3</v>
      </c>
      <c r="D88" s="3">
        <f>D87+D86</f>
        <v>0</v>
      </c>
      <c r="E88" s="3">
        <f t="shared" ref="E88:K88" si="29">E87+E86</f>
        <v>0</v>
      </c>
      <c r="F88" s="3">
        <f t="shared" si="29"/>
        <v>0</v>
      </c>
      <c r="G88" s="3">
        <f t="shared" si="29"/>
        <v>0</v>
      </c>
      <c r="H88" s="3">
        <f t="shared" si="29"/>
        <v>0</v>
      </c>
      <c r="I88" s="3">
        <f t="shared" si="29"/>
        <v>0</v>
      </c>
      <c r="J88" s="3">
        <f t="shared" si="29"/>
        <v>0</v>
      </c>
      <c r="K88" s="3">
        <f t="shared" si="29"/>
        <v>0</v>
      </c>
      <c r="L88" s="3">
        <f t="shared" ref="L88" si="30">L87+L86</f>
        <v>0</v>
      </c>
      <c r="M88" s="428">
        <f>SUM(D88:L88)</f>
        <v>0</v>
      </c>
    </row>
    <row r="89" spans="1:13" ht="15.75" x14ac:dyDescent="0.25">
      <c r="A89" s="202"/>
      <c r="B89" s="32" t="s">
        <v>81</v>
      </c>
      <c r="C89" s="4" t="s">
        <v>3</v>
      </c>
      <c r="D89" s="22">
        <f>D84+D85-D88</f>
        <v>0</v>
      </c>
      <c r="E89" s="22">
        <f t="shared" ref="E89:K89" si="31">E84+E85-E88</f>
        <v>0</v>
      </c>
      <c r="F89" s="22">
        <f t="shared" si="31"/>
        <v>0</v>
      </c>
      <c r="G89" s="22">
        <f t="shared" si="31"/>
        <v>0</v>
      </c>
      <c r="H89" s="22">
        <f t="shared" si="31"/>
        <v>0</v>
      </c>
      <c r="I89" s="22">
        <f t="shared" si="31"/>
        <v>0</v>
      </c>
      <c r="J89" s="22">
        <f t="shared" si="31"/>
        <v>0</v>
      </c>
      <c r="K89" s="22">
        <f t="shared" si="31"/>
        <v>0</v>
      </c>
      <c r="L89" s="22">
        <f t="shared" ref="L89" si="32">L84+L85-L88</f>
        <v>0</v>
      </c>
      <c r="M89" s="133">
        <f t="shared" ref="M89" si="33">M84+M85-M86-M87</f>
        <v>0</v>
      </c>
    </row>
    <row r="90" spans="1:13" ht="15.75" x14ac:dyDescent="0.25">
      <c r="A90" s="200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K90" si="34">E66+E72+E78+E84</f>
        <v>38</v>
      </c>
      <c r="F90" s="122">
        <f t="shared" si="34"/>
        <v>8</v>
      </c>
      <c r="G90" s="122">
        <f t="shared" si="34"/>
        <v>58</v>
      </c>
      <c r="H90" s="122">
        <f t="shared" si="34"/>
        <v>1</v>
      </c>
      <c r="I90" s="122">
        <f t="shared" si="34"/>
        <v>38</v>
      </c>
      <c r="J90" s="122">
        <f t="shared" si="34"/>
        <v>0</v>
      </c>
      <c r="K90" s="122">
        <f t="shared" si="34"/>
        <v>0</v>
      </c>
      <c r="L90" s="122">
        <f t="shared" ref="L90" si="35">L66+L72+L78+L84</f>
        <v>6</v>
      </c>
      <c r="M90" s="31">
        <f>SUM(D90:L90)</f>
        <v>159</v>
      </c>
    </row>
    <row r="91" spans="1:13" ht="15.75" x14ac:dyDescent="0.25">
      <c r="A91" s="201"/>
      <c r="B91" s="21" t="s">
        <v>106</v>
      </c>
      <c r="C91" s="4" t="s">
        <v>3</v>
      </c>
      <c r="D91" s="122">
        <f t="shared" ref="D91:K93" si="36">D67+D73+D79+D85</f>
        <v>70</v>
      </c>
      <c r="E91" s="122">
        <f t="shared" si="36"/>
        <v>54</v>
      </c>
      <c r="F91" s="122">
        <f t="shared" si="36"/>
        <v>44</v>
      </c>
      <c r="G91" s="122">
        <f t="shared" si="36"/>
        <v>31</v>
      </c>
      <c r="H91" s="122">
        <f t="shared" si="36"/>
        <v>18</v>
      </c>
      <c r="I91" s="122">
        <f t="shared" si="36"/>
        <v>16</v>
      </c>
      <c r="J91" s="122">
        <f t="shared" si="36"/>
        <v>0</v>
      </c>
      <c r="K91" s="122">
        <f t="shared" si="36"/>
        <v>0</v>
      </c>
      <c r="L91" s="122">
        <f t="shared" ref="L91" si="37">L67+L73+L79+L85</f>
        <v>7</v>
      </c>
      <c r="M91" s="31">
        <f>SUM(D91:L91)</f>
        <v>240</v>
      </c>
    </row>
    <row r="92" spans="1:13" ht="26.25" x14ac:dyDescent="0.25">
      <c r="A92" s="201"/>
      <c r="B92" s="21" t="s">
        <v>105</v>
      </c>
      <c r="C92" s="4" t="s">
        <v>3</v>
      </c>
      <c r="D92" s="122">
        <f t="shared" si="36"/>
        <v>0</v>
      </c>
      <c r="E92" s="122">
        <f t="shared" si="36"/>
        <v>5</v>
      </c>
      <c r="F92" s="122">
        <f t="shared" si="36"/>
        <v>2</v>
      </c>
      <c r="G92" s="122">
        <f t="shared" si="36"/>
        <v>1</v>
      </c>
      <c r="H92" s="122">
        <f t="shared" si="36"/>
        <v>12</v>
      </c>
      <c r="I92" s="122">
        <f t="shared" si="36"/>
        <v>0</v>
      </c>
      <c r="J92" s="122">
        <f t="shared" si="36"/>
        <v>0</v>
      </c>
      <c r="K92" s="122">
        <f t="shared" si="36"/>
        <v>0</v>
      </c>
      <c r="L92" s="122">
        <f t="shared" ref="L92" si="38">L68+L74+L80+L86</f>
        <v>0</v>
      </c>
      <c r="M92" s="31">
        <f>SUM(D92:L92)</f>
        <v>20</v>
      </c>
    </row>
    <row r="93" spans="1:13" ht="26.25" x14ac:dyDescent="0.25">
      <c r="A93" s="201"/>
      <c r="B93" s="21" t="s">
        <v>104</v>
      </c>
      <c r="C93" s="4"/>
      <c r="D93" s="122">
        <f t="shared" si="36"/>
        <v>60</v>
      </c>
      <c r="E93" s="122">
        <f t="shared" si="36"/>
        <v>44</v>
      </c>
      <c r="F93" s="122">
        <f t="shared" si="36"/>
        <v>34</v>
      </c>
      <c r="G93" s="122">
        <f t="shared" si="36"/>
        <v>16</v>
      </c>
      <c r="H93" s="122">
        <f t="shared" si="36"/>
        <v>4</v>
      </c>
      <c r="I93" s="122">
        <f t="shared" si="36"/>
        <v>14</v>
      </c>
      <c r="J93" s="122">
        <f t="shared" si="36"/>
        <v>0</v>
      </c>
      <c r="K93" s="122">
        <f t="shared" si="36"/>
        <v>0</v>
      </c>
      <c r="L93" s="122">
        <f t="shared" ref="L93" si="39">L69+L75+L81+L87</f>
        <v>9</v>
      </c>
      <c r="M93" s="31">
        <f>SUM(D93:L93)</f>
        <v>181</v>
      </c>
    </row>
    <row r="94" spans="1:13" ht="15.75" x14ac:dyDescent="0.25">
      <c r="A94" s="201"/>
      <c r="B94" s="21" t="s">
        <v>190</v>
      </c>
      <c r="C94" s="4" t="s">
        <v>3</v>
      </c>
      <c r="D94" s="123">
        <f>D93+D92</f>
        <v>60</v>
      </c>
      <c r="E94" s="123">
        <f t="shared" ref="E94:K94" si="40">E93+E92</f>
        <v>49</v>
      </c>
      <c r="F94" s="123">
        <f t="shared" si="40"/>
        <v>36</v>
      </c>
      <c r="G94" s="123">
        <f t="shared" si="40"/>
        <v>17</v>
      </c>
      <c r="H94" s="123">
        <f t="shared" si="40"/>
        <v>16</v>
      </c>
      <c r="I94" s="123">
        <f t="shared" si="40"/>
        <v>14</v>
      </c>
      <c r="J94" s="123">
        <f t="shared" si="40"/>
        <v>0</v>
      </c>
      <c r="K94" s="123">
        <f t="shared" si="40"/>
        <v>0</v>
      </c>
      <c r="L94" s="123">
        <f t="shared" ref="L94" si="41">L93+L92</f>
        <v>9</v>
      </c>
      <c r="M94" s="134">
        <f t="shared" ref="M94" si="42">M93+M92</f>
        <v>201</v>
      </c>
    </row>
    <row r="95" spans="1:13" ht="16.5" thickBot="1" x14ac:dyDescent="0.3">
      <c r="A95" s="202"/>
      <c r="B95" s="21" t="s">
        <v>81</v>
      </c>
      <c r="C95" s="4" t="s">
        <v>3</v>
      </c>
      <c r="D95" s="124">
        <f>D90+D91-D94</f>
        <v>20</v>
      </c>
      <c r="E95" s="124">
        <f t="shared" ref="E95:K95" si="43">E90+E91-E94</f>
        <v>43</v>
      </c>
      <c r="F95" s="124">
        <f t="shared" si="43"/>
        <v>16</v>
      </c>
      <c r="G95" s="124">
        <f t="shared" si="43"/>
        <v>72</v>
      </c>
      <c r="H95" s="124">
        <f t="shared" si="43"/>
        <v>3</v>
      </c>
      <c r="I95" s="124">
        <f t="shared" si="43"/>
        <v>40</v>
      </c>
      <c r="J95" s="124">
        <f t="shared" si="43"/>
        <v>0</v>
      </c>
      <c r="K95" s="124">
        <f t="shared" si="43"/>
        <v>0</v>
      </c>
      <c r="L95" s="124">
        <f t="shared" ref="L95" si="44">L90+L91-L94</f>
        <v>4</v>
      </c>
      <c r="M95" s="135">
        <f t="shared" ref="M95" si="45">M90+M91-M94</f>
        <v>198</v>
      </c>
    </row>
    <row r="96" spans="1:13" ht="16.149999999999999" customHeight="1" thickBot="1" x14ac:dyDescent="0.3">
      <c r="A96" s="206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8"/>
    </row>
    <row r="97" spans="1:13" ht="15.75" customHeight="1" thickBot="1" x14ac:dyDescent="0.3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5"/>
    </row>
    <row r="98" spans="1:13" ht="15.75" x14ac:dyDescent="0.25">
      <c r="A98" s="73" t="s">
        <v>192</v>
      </c>
      <c r="B98" s="63"/>
      <c r="C98" s="4" t="s">
        <v>3</v>
      </c>
      <c r="D98" s="22">
        <f>Mulanje!D98+Mulanje!E98+Mulanje!F98</f>
        <v>80</v>
      </c>
      <c r="E98" s="22">
        <f>Luchenza!D98+Luchenza!E98+Luchenza!F98</f>
        <v>51</v>
      </c>
      <c r="F98" s="22">
        <f>Thyolo!D98+Thyolo!E98+Thyolo!F98</f>
        <v>45</v>
      </c>
      <c r="G98" s="22">
        <f>Muloza!D98+Muloza!E98+Muloza!F98</f>
        <v>36</v>
      </c>
      <c r="H98" s="22">
        <f>MUST!D98+MUST!E98+MUST!F98</f>
        <v>4</v>
      </c>
      <c r="I98" s="22">
        <f>Phalombe!D98+Phalombe!E98+Phalombe!F98</f>
        <v>26</v>
      </c>
      <c r="J98" s="22">
        <f>Mikolongwe!D98+Mikolongwe!E98+Mikolongwe!F98</f>
        <v>0</v>
      </c>
      <c r="K98" s="22">
        <f>Migowi!D98+Migowi!E98+Migowi!F98</f>
        <v>0</v>
      </c>
      <c r="L98" s="22">
        <f>Nkando!D98+Nkando!E98+Nkando!F98</f>
        <v>0</v>
      </c>
      <c r="M98" s="97">
        <f>SUM(D98:L98)</f>
        <v>242</v>
      </c>
    </row>
    <row r="99" spans="1:13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25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1"/>
    </row>
    <row r="101" spans="1:13" ht="15.75" x14ac:dyDescent="0.25">
      <c r="A101" s="176" t="s">
        <v>102</v>
      </c>
      <c r="B101" s="177"/>
      <c r="C101" s="4" t="s">
        <v>3</v>
      </c>
      <c r="D101" s="22">
        <f>Mulanje!F101</f>
        <v>672</v>
      </c>
      <c r="E101" s="22">
        <f>Luchenza!F101</f>
        <v>820</v>
      </c>
      <c r="F101" s="22">
        <f>Thyolo!F101</f>
        <v>553</v>
      </c>
      <c r="G101" s="22">
        <f>Muloza!F101</f>
        <v>398</v>
      </c>
      <c r="H101" s="22">
        <f>MUST!F101</f>
        <v>12</v>
      </c>
      <c r="I101" s="22">
        <f>Phalombe!F101</f>
        <v>196</v>
      </c>
      <c r="J101" s="22">
        <f>Mikolongwe!F101</f>
        <v>14</v>
      </c>
      <c r="K101" s="22">
        <f>Migowi!F101</f>
        <v>0</v>
      </c>
      <c r="L101" s="22">
        <f>Nkando!F101</f>
        <v>12</v>
      </c>
      <c r="M101" s="50">
        <f>SUM(D101:L101)</f>
        <v>2677</v>
      </c>
    </row>
    <row r="102" spans="1:13" ht="15.75" x14ac:dyDescent="0.25">
      <c r="A102" s="176" t="s">
        <v>101</v>
      </c>
      <c r="B102" s="177"/>
      <c r="C102" s="4" t="s">
        <v>3</v>
      </c>
      <c r="D102" s="22">
        <f>Mulanje!F102</f>
        <v>24</v>
      </c>
      <c r="E102" s="22">
        <f>Luchenza!F102</f>
        <v>7</v>
      </c>
      <c r="F102" s="22">
        <f>Thyolo!F102</f>
        <v>13</v>
      </c>
      <c r="G102" s="22">
        <f>Muloza!F102</f>
        <v>6</v>
      </c>
      <c r="H102" s="22">
        <f>MUST!F102</f>
        <v>1</v>
      </c>
      <c r="I102" s="22">
        <f>Phalombe!F102</f>
        <v>13</v>
      </c>
      <c r="J102" s="22">
        <f>Mikolongwe!F102</f>
        <v>0</v>
      </c>
      <c r="K102" s="22">
        <f>Migowi!F102</f>
        <v>0</v>
      </c>
      <c r="L102" s="22">
        <f>Nkando!F102</f>
        <v>5</v>
      </c>
      <c r="M102" s="50">
        <f>SUM(D102:L102)</f>
        <v>69</v>
      </c>
    </row>
    <row r="103" spans="1:13" ht="15.6" customHeight="1" x14ac:dyDescent="0.25">
      <c r="A103" s="182" t="s">
        <v>100</v>
      </c>
      <c r="B103" s="183"/>
      <c r="C103" s="4" t="s">
        <v>3</v>
      </c>
      <c r="D103" s="22">
        <f>Mulanje!F103</f>
        <v>70</v>
      </c>
      <c r="E103" s="22">
        <f>Luchenza!F103</f>
        <v>17</v>
      </c>
      <c r="F103" s="22">
        <f>Thyolo!F103</f>
        <v>13</v>
      </c>
      <c r="G103" s="22">
        <f>Muloza!F103</f>
        <v>70</v>
      </c>
      <c r="H103" s="22">
        <f>MUST!F103</f>
        <v>11</v>
      </c>
      <c r="I103" s="22">
        <f>Phalombe!F103</f>
        <v>25</v>
      </c>
      <c r="J103" s="22">
        <f>Mikolongwe!F103</f>
        <v>2</v>
      </c>
      <c r="K103" s="22">
        <f>Migowi!F103</f>
        <v>0</v>
      </c>
      <c r="L103" s="22">
        <f>Nkando!F103</f>
        <v>5</v>
      </c>
      <c r="M103" s="50">
        <f>SUM(D103:L103)</f>
        <v>213</v>
      </c>
    </row>
    <row r="104" spans="1:13" ht="15.75" x14ac:dyDescent="0.25">
      <c r="A104" s="182" t="s">
        <v>99</v>
      </c>
      <c r="B104" s="183"/>
      <c r="C104" s="4" t="s">
        <v>3</v>
      </c>
      <c r="D104" s="22">
        <f>Mulanje!F104</f>
        <v>16</v>
      </c>
      <c r="E104" s="22">
        <f>Luchenza!F104</f>
        <v>23</v>
      </c>
      <c r="F104" s="22">
        <f>Thyolo!F104</f>
        <v>16</v>
      </c>
      <c r="G104" s="22">
        <f>Muloza!F104</f>
        <v>0</v>
      </c>
      <c r="H104" s="22">
        <f>MUST!F104</f>
        <v>0</v>
      </c>
      <c r="I104" s="22">
        <f>Phalombe!F104</f>
        <v>0</v>
      </c>
      <c r="J104" s="22">
        <f>Mikolongwe!F104</f>
        <v>0</v>
      </c>
      <c r="K104" s="22">
        <f>Migowi!F104</f>
        <v>0</v>
      </c>
      <c r="L104" s="22">
        <f>Nkando!F104</f>
        <v>11</v>
      </c>
      <c r="M104" s="50">
        <f>SUM(D104:L104)</f>
        <v>66</v>
      </c>
    </row>
    <row r="105" spans="1:13" ht="15.75" x14ac:dyDescent="0.25">
      <c r="A105" s="198" t="s">
        <v>98</v>
      </c>
      <c r="B105" s="199"/>
      <c r="C105" s="4" t="s">
        <v>3</v>
      </c>
      <c r="D105" s="29">
        <f>SUM(D101:D104)</f>
        <v>782</v>
      </c>
      <c r="E105" s="29">
        <f t="shared" ref="E105:K105" si="46">SUM(E101:E104)</f>
        <v>867</v>
      </c>
      <c r="F105" s="29">
        <f t="shared" si="46"/>
        <v>595</v>
      </c>
      <c r="G105" s="29">
        <f t="shared" si="46"/>
        <v>474</v>
      </c>
      <c r="H105" s="29">
        <f t="shared" si="46"/>
        <v>24</v>
      </c>
      <c r="I105" s="29">
        <f t="shared" si="46"/>
        <v>234</v>
      </c>
      <c r="J105" s="29">
        <f t="shared" si="46"/>
        <v>16</v>
      </c>
      <c r="K105" s="29">
        <f t="shared" si="46"/>
        <v>0</v>
      </c>
      <c r="L105" s="29">
        <f t="shared" ref="L105" si="47">SUM(L101:L104)</f>
        <v>33</v>
      </c>
      <c r="M105" s="50">
        <f>SUM(D105:L105)</f>
        <v>3025</v>
      </c>
    </row>
    <row r="106" spans="1:13" ht="15.6" customHeight="1" x14ac:dyDescent="0.25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9"/>
    </row>
    <row r="107" spans="1:13" ht="15.75" x14ac:dyDescent="0.25">
      <c r="A107" s="176" t="s">
        <v>195</v>
      </c>
      <c r="B107" s="177"/>
      <c r="C107" s="4" t="s">
        <v>3</v>
      </c>
      <c r="D107" s="22">
        <f>Mulanje!F107</f>
        <v>1917</v>
      </c>
      <c r="E107" s="22">
        <f>Luchenza!F107</f>
        <v>769</v>
      </c>
      <c r="F107" s="22">
        <f>Thyolo!F107</f>
        <v>738</v>
      </c>
      <c r="G107" s="22">
        <f>Muloza!F107</f>
        <v>410</v>
      </c>
      <c r="H107" s="22">
        <f>MUST!F107</f>
        <v>62</v>
      </c>
      <c r="I107" s="22">
        <f>Phalombe!F107</f>
        <v>324</v>
      </c>
      <c r="J107" s="22">
        <f>Mikolongwe!F107</f>
        <v>0</v>
      </c>
      <c r="K107" s="22">
        <f>Migowi!F107</f>
        <v>0</v>
      </c>
      <c r="L107" s="22">
        <f>Nkando!F107</f>
        <v>0</v>
      </c>
      <c r="M107" s="50">
        <f>SUM(D107:L107)</f>
        <v>4220</v>
      </c>
    </row>
    <row r="108" spans="1:13" ht="15.75" x14ac:dyDescent="0.25">
      <c r="A108" s="176" t="s">
        <v>196</v>
      </c>
      <c r="B108" s="177"/>
      <c r="C108" s="4" t="s">
        <v>3</v>
      </c>
      <c r="D108" s="22">
        <f>Mulanje!F108</f>
        <v>10</v>
      </c>
      <c r="E108" s="22">
        <f>Luchenza!F108</f>
        <v>1</v>
      </c>
      <c r="F108" s="22">
        <f>Thyolo!F108</f>
        <v>0</v>
      </c>
      <c r="G108" s="22">
        <f>Muloza!F108</f>
        <v>0</v>
      </c>
      <c r="H108" s="22">
        <f>MUST!F108</f>
        <v>4</v>
      </c>
      <c r="I108" s="22">
        <f>Phalombe!F108</f>
        <v>0</v>
      </c>
      <c r="J108" s="22">
        <f>Mikolongwe!F108</f>
        <v>0</v>
      </c>
      <c r="K108" s="22">
        <f>Migowi!F108</f>
        <v>0</v>
      </c>
      <c r="L108" s="22">
        <f>Nkando!F108</f>
        <v>0</v>
      </c>
      <c r="M108" s="50">
        <f>SUM(D108:L108)</f>
        <v>15</v>
      </c>
    </row>
    <row r="109" spans="1:13" ht="15.75" x14ac:dyDescent="0.25">
      <c r="A109" s="176" t="s">
        <v>197</v>
      </c>
      <c r="B109" s="177"/>
      <c r="C109" s="4" t="s">
        <v>3</v>
      </c>
      <c r="D109" s="22">
        <f>Mulanje!F109</f>
        <v>12</v>
      </c>
      <c r="E109" s="22">
        <f>Luchenza!F109</f>
        <v>4</v>
      </c>
      <c r="F109" s="22">
        <f>Thyolo!F109</f>
        <v>2</v>
      </c>
      <c r="G109" s="22">
        <f>Muloza!F109</f>
        <v>2</v>
      </c>
      <c r="H109" s="22">
        <f>MUST!F109</f>
        <v>0</v>
      </c>
      <c r="I109" s="22">
        <f>Phalombe!F109</f>
        <v>1</v>
      </c>
      <c r="J109" s="22">
        <f>Mikolongwe!F109</f>
        <v>0</v>
      </c>
      <c r="K109" s="22">
        <f>Migowi!F109</f>
        <v>0</v>
      </c>
      <c r="L109" s="22">
        <f>Nkando!F109</f>
        <v>0</v>
      </c>
      <c r="M109" s="50">
        <f>SUM(D109:L109)</f>
        <v>21</v>
      </c>
    </row>
    <row r="110" spans="1:13" ht="15.75" x14ac:dyDescent="0.25">
      <c r="A110" s="176" t="s">
        <v>198</v>
      </c>
      <c r="B110" s="177"/>
      <c r="C110" s="4" t="s">
        <v>3</v>
      </c>
      <c r="D110" s="22">
        <f>Mulanje!F110</f>
        <v>13</v>
      </c>
      <c r="E110" s="22">
        <f>Luchenza!F110</f>
        <v>2</v>
      </c>
      <c r="F110" s="22">
        <f>Thyolo!F110</f>
        <v>1</v>
      </c>
      <c r="G110" s="22">
        <f>Muloza!F110</f>
        <v>1</v>
      </c>
      <c r="H110" s="22">
        <f>MUST!F110</f>
        <v>0</v>
      </c>
      <c r="I110" s="22">
        <f>Phalombe!F110</f>
        <v>0</v>
      </c>
      <c r="J110" s="22">
        <f>Mikolongwe!F110</f>
        <v>0</v>
      </c>
      <c r="K110" s="22">
        <f>Migowi!F110</f>
        <v>0</v>
      </c>
      <c r="L110" s="22">
        <f>Nkando!F110</f>
        <v>0</v>
      </c>
      <c r="M110" s="50">
        <f>SUM(D110:L110)</f>
        <v>17</v>
      </c>
    </row>
    <row r="111" spans="1:13" ht="15.75" x14ac:dyDescent="0.25">
      <c r="A111" s="178" t="s">
        <v>97</v>
      </c>
      <c r="B111" s="179"/>
      <c r="C111" s="4" t="s">
        <v>3</v>
      </c>
      <c r="D111" s="29">
        <f>SUM(D107:D110)</f>
        <v>1952</v>
      </c>
      <c r="E111" s="29">
        <f t="shared" ref="E111:K111" si="48">SUM(E107:E110)</f>
        <v>776</v>
      </c>
      <c r="F111" s="29">
        <f t="shared" si="48"/>
        <v>741</v>
      </c>
      <c r="G111" s="29">
        <f t="shared" si="48"/>
        <v>413</v>
      </c>
      <c r="H111" s="29">
        <f t="shared" si="48"/>
        <v>66</v>
      </c>
      <c r="I111" s="29">
        <f t="shared" si="48"/>
        <v>325</v>
      </c>
      <c r="J111" s="29">
        <f t="shared" si="48"/>
        <v>0</v>
      </c>
      <c r="K111" s="29">
        <f t="shared" si="48"/>
        <v>0</v>
      </c>
      <c r="L111" s="29">
        <f t="shared" ref="L111" si="49">SUM(L107:L110)</f>
        <v>0</v>
      </c>
      <c r="M111" s="50">
        <f>SUM(D111:L111)</f>
        <v>4273</v>
      </c>
    </row>
    <row r="112" spans="1:13" ht="15.6" customHeight="1" x14ac:dyDescent="0.25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1"/>
    </row>
    <row r="113" spans="1:13" ht="15.75" x14ac:dyDescent="0.25">
      <c r="A113" s="176" t="s">
        <v>199</v>
      </c>
      <c r="B113" s="177"/>
      <c r="C113" s="4" t="s">
        <v>3</v>
      </c>
      <c r="D113" s="22">
        <f>Mulanje!F113</f>
        <v>1547</v>
      </c>
      <c r="E113" s="22">
        <f>Luchenza!F113</f>
        <v>1157</v>
      </c>
      <c r="F113" s="22">
        <f>Thyolo!F113</f>
        <v>931</v>
      </c>
      <c r="G113" s="22">
        <f>Muloza!F113</f>
        <v>749</v>
      </c>
      <c r="H113" s="22">
        <f>MUST!F113</f>
        <v>237</v>
      </c>
      <c r="I113" s="22">
        <f>Phalombe!F113</f>
        <v>485</v>
      </c>
      <c r="J113" s="22">
        <f>Mikolongwe!F113</f>
        <v>42</v>
      </c>
      <c r="K113" s="22">
        <f>Migowi!F113</f>
        <v>75</v>
      </c>
      <c r="L113" s="22">
        <f>Nkando!F113</f>
        <v>242</v>
      </c>
      <c r="M113" s="50">
        <f t="shared" ref="M113:M119" si="50">SUM(D113:L113)</f>
        <v>5465</v>
      </c>
    </row>
    <row r="114" spans="1:13" ht="15.75" x14ac:dyDescent="0.25">
      <c r="A114" s="176" t="s">
        <v>200</v>
      </c>
      <c r="B114" s="177"/>
      <c r="C114" s="4" t="s">
        <v>3</v>
      </c>
      <c r="D114" s="22">
        <f>Mulanje!F114</f>
        <v>103</v>
      </c>
      <c r="E114" s="22">
        <f>Luchenza!F114</f>
        <v>41</v>
      </c>
      <c r="F114" s="22">
        <f>Thyolo!F114</f>
        <v>55</v>
      </c>
      <c r="G114" s="22">
        <f>Muloza!F114</f>
        <v>37</v>
      </c>
      <c r="H114" s="22">
        <f>MUST!F114</f>
        <v>10</v>
      </c>
      <c r="I114" s="22">
        <f>Phalombe!F114</f>
        <v>26</v>
      </c>
      <c r="J114" s="22">
        <f>Mikolongwe!F114</f>
        <v>8</v>
      </c>
      <c r="K114" s="22">
        <f>Migowi!F114</f>
        <v>1</v>
      </c>
      <c r="L114" s="22">
        <f>Nkando!F114</f>
        <v>11</v>
      </c>
      <c r="M114" s="50">
        <f t="shared" si="50"/>
        <v>292</v>
      </c>
    </row>
    <row r="115" spans="1:13" ht="15.75" x14ac:dyDescent="0.25">
      <c r="A115" s="176" t="s">
        <v>201</v>
      </c>
      <c r="B115" s="177"/>
      <c r="C115" s="4" t="s">
        <v>3</v>
      </c>
      <c r="D115" s="22">
        <f>Mulanje!F115</f>
        <v>117</v>
      </c>
      <c r="E115" s="22">
        <f>Luchenza!F115</f>
        <v>123</v>
      </c>
      <c r="F115" s="22">
        <f>Thyolo!F115</f>
        <v>56</v>
      </c>
      <c r="G115" s="22">
        <f>Muloza!F115</f>
        <v>56</v>
      </c>
      <c r="H115" s="22">
        <f>MUST!F115</f>
        <v>12</v>
      </c>
      <c r="I115" s="22">
        <f>Phalombe!F115</f>
        <v>25</v>
      </c>
      <c r="J115" s="22">
        <f>Mikolongwe!F115</f>
        <v>0</v>
      </c>
      <c r="K115" s="22">
        <f>Migowi!F115</f>
        <v>0</v>
      </c>
      <c r="L115" s="22">
        <f>Nkando!F115</f>
        <v>18</v>
      </c>
      <c r="M115" s="50">
        <f t="shared" si="50"/>
        <v>407</v>
      </c>
    </row>
    <row r="116" spans="1:13" ht="15.75" x14ac:dyDescent="0.25">
      <c r="A116" s="176" t="s">
        <v>202</v>
      </c>
      <c r="B116" s="177"/>
      <c r="C116" s="4" t="s">
        <v>3</v>
      </c>
      <c r="D116" s="22">
        <f>Mulanje!F116</f>
        <v>4</v>
      </c>
      <c r="E116" s="22">
        <f>Luchenza!F116</f>
        <v>10</v>
      </c>
      <c r="F116" s="22">
        <f>Thyolo!F116</f>
        <v>2</v>
      </c>
      <c r="G116" s="22">
        <f>Muloza!F116</f>
        <v>2</v>
      </c>
      <c r="H116" s="22">
        <f>MUST!F116</f>
        <v>0</v>
      </c>
      <c r="I116" s="22">
        <f>Phalombe!F116</f>
        <v>2</v>
      </c>
      <c r="J116" s="22">
        <f>Mikolongwe!F116</f>
        <v>0</v>
      </c>
      <c r="K116" s="22">
        <f>Migowi!F116</f>
        <v>0</v>
      </c>
      <c r="L116" s="22">
        <f>Nkando!F116</f>
        <v>3</v>
      </c>
      <c r="M116" s="50">
        <f t="shared" si="50"/>
        <v>23</v>
      </c>
    </row>
    <row r="117" spans="1:13" ht="15.75" x14ac:dyDescent="0.25">
      <c r="A117" s="178" t="s">
        <v>96</v>
      </c>
      <c r="B117" s="179"/>
      <c r="C117" s="4" t="s">
        <v>3</v>
      </c>
      <c r="D117" s="29">
        <f>SUM(D113:D116)</f>
        <v>1771</v>
      </c>
      <c r="E117" s="29">
        <f t="shared" ref="E117:K117" si="51">SUM(E113:E116)</f>
        <v>1331</v>
      </c>
      <c r="F117" s="29">
        <f t="shared" si="51"/>
        <v>1044</v>
      </c>
      <c r="G117" s="29">
        <f t="shared" si="51"/>
        <v>844</v>
      </c>
      <c r="H117" s="29">
        <f t="shared" si="51"/>
        <v>259</v>
      </c>
      <c r="I117" s="29">
        <f t="shared" si="51"/>
        <v>538</v>
      </c>
      <c r="J117" s="29">
        <f t="shared" si="51"/>
        <v>50</v>
      </c>
      <c r="K117" s="29">
        <f t="shared" si="51"/>
        <v>76</v>
      </c>
      <c r="L117" s="29">
        <f t="shared" ref="L117" si="52">SUM(L113:L116)</f>
        <v>274</v>
      </c>
      <c r="M117" s="50">
        <f t="shared" si="50"/>
        <v>6187</v>
      </c>
    </row>
    <row r="118" spans="1:13" ht="15.75" x14ac:dyDescent="0.25">
      <c r="A118" s="70" t="s">
        <v>193</v>
      </c>
      <c r="B118" s="71"/>
      <c r="C118" s="4" t="s">
        <v>3</v>
      </c>
      <c r="D118" s="29">
        <f>D117+D111</f>
        <v>3723</v>
      </c>
      <c r="E118" s="29">
        <f t="shared" ref="E118:K118" si="53">E117+E111</f>
        <v>2107</v>
      </c>
      <c r="F118" s="29">
        <f t="shared" si="53"/>
        <v>1785</v>
      </c>
      <c r="G118" s="29">
        <f t="shared" si="53"/>
        <v>1257</v>
      </c>
      <c r="H118" s="29">
        <f t="shared" si="53"/>
        <v>325</v>
      </c>
      <c r="I118" s="29">
        <f t="shared" si="53"/>
        <v>863</v>
      </c>
      <c r="J118" s="29">
        <f t="shared" si="53"/>
        <v>50</v>
      </c>
      <c r="K118" s="29">
        <f t="shared" si="53"/>
        <v>76</v>
      </c>
      <c r="L118" s="29">
        <f t="shared" ref="L118" si="54">L117+L111</f>
        <v>274</v>
      </c>
      <c r="M118" s="50">
        <f t="shared" si="50"/>
        <v>10460</v>
      </c>
    </row>
    <row r="119" spans="1:13" ht="15.75" x14ac:dyDescent="0.25">
      <c r="A119" s="178" t="s">
        <v>194</v>
      </c>
      <c r="B119" s="179"/>
      <c r="C119" s="4" t="s">
        <v>3</v>
      </c>
      <c r="D119" s="29">
        <f>D118+D105</f>
        <v>4505</v>
      </c>
      <c r="E119" s="29">
        <f t="shared" ref="E119:K119" si="55">E118+E105</f>
        <v>2974</v>
      </c>
      <c r="F119" s="29">
        <f t="shared" si="55"/>
        <v>2380</v>
      </c>
      <c r="G119" s="29">
        <f t="shared" si="55"/>
        <v>1731</v>
      </c>
      <c r="H119" s="29">
        <f t="shared" si="55"/>
        <v>349</v>
      </c>
      <c r="I119" s="29">
        <f t="shared" si="55"/>
        <v>1097</v>
      </c>
      <c r="J119" s="29">
        <f t="shared" si="55"/>
        <v>66</v>
      </c>
      <c r="K119" s="29">
        <f t="shared" si="55"/>
        <v>76</v>
      </c>
      <c r="L119" s="29">
        <f t="shared" ref="L119" si="56">L118+L105</f>
        <v>307</v>
      </c>
      <c r="M119" s="50">
        <f t="shared" si="50"/>
        <v>13485</v>
      </c>
    </row>
    <row r="120" spans="1:13" x14ac:dyDescent="0.25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4"/>
    </row>
    <row r="121" spans="1:13" ht="15.75" x14ac:dyDescent="0.25">
      <c r="A121" s="176" t="s">
        <v>95</v>
      </c>
      <c r="B121" s="177"/>
      <c r="C121" s="4" t="s">
        <v>3</v>
      </c>
      <c r="D121" s="22">
        <f>Mulanje!F121</f>
        <v>25000</v>
      </c>
      <c r="E121" s="22">
        <f>Luchenza!F121</f>
        <v>18200</v>
      </c>
      <c r="F121" s="22">
        <f>Thyolo!F121</f>
        <v>12005</v>
      </c>
      <c r="G121" s="22">
        <f>Muloza!F121</f>
        <v>9810</v>
      </c>
      <c r="H121" s="22">
        <f>MUST!F121</f>
        <v>4359</v>
      </c>
      <c r="I121" s="22">
        <f>Phalombe!F121</f>
        <v>10013</v>
      </c>
      <c r="J121" s="22">
        <f>Mikolongwe!F121</f>
        <v>1258</v>
      </c>
      <c r="K121" s="22">
        <f>Migowi!F121</f>
        <v>553</v>
      </c>
      <c r="L121" s="22">
        <f>Nkando!F121</f>
        <v>2250</v>
      </c>
      <c r="M121" s="50">
        <f>SUM(D121:L121)</f>
        <v>83448</v>
      </c>
    </row>
    <row r="122" spans="1:13" ht="15.75" x14ac:dyDescent="0.25">
      <c r="A122" s="176" t="s">
        <v>94</v>
      </c>
      <c r="B122" s="177"/>
      <c r="C122" s="4" t="s">
        <v>3</v>
      </c>
      <c r="D122" s="22">
        <f>Mulanje!F122</f>
        <v>20650</v>
      </c>
      <c r="E122" s="22">
        <f>Luchenza!F122</f>
        <v>16445</v>
      </c>
      <c r="F122" s="22">
        <f>Thyolo!F122</f>
        <v>11090</v>
      </c>
      <c r="G122" s="22">
        <f>Muloza!F122</f>
        <v>8990</v>
      </c>
      <c r="H122" s="22">
        <f>MUST!F122</f>
        <v>4095</v>
      </c>
      <c r="I122" s="22">
        <f>Phalombe!F122</f>
        <v>7475</v>
      </c>
      <c r="J122" s="22">
        <f>Mikolongwe!F122</f>
        <v>1032</v>
      </c>
      <c r="K122" s="22">
        <f>Migowi!F122</f>
        <v>553</v>
      </c>
      <c r="L122" s="22">
        <f>Nkando!F122</f>
        <v>1170</v>
      </c>
      <c r="M122" s="50">
        <f>SUM(D122:L122)</f>
        <v>71500</v>
      </c>
    </row>
    <row r="123" spans="1:13" ht="15.75" x14ac:dyDescent="0.25">
      <c r="A123" s="215" t="s">
        <v>93</v>
      </c>
      <c r="B123" s="216"/>
      <c r="C123" s="26" t="s">
        <v>6</v>
      </c>
      <c r="D123" s="25">
        <f t="shared" ref="D123:M123" si="57">D122/D121</f>
        <v>0.82599999999999996</v>
      </c>
      <c r="E123" s="25">
        <f t="shared" si="57"/>
        <v>0.90357142857142858</v>
      </c>
      <c r="F123" s="25">
        <f t="shared" si="57"/>
        <v>0.92378175760099956</v>
      </c>
      <c r="G123" s="25">
        <f t="shared" si="57"/>
        <v>0.91641182466870541</v>
      </c>
      <c r="H123" s="25">
        <f t="shared" si="57"/>
        <v>0.93943565037852717</v>
      </c>
      <c r="I123" s="25">
        <f t="shared" si="57"/>
        <v>0.74652951163487469</v>
      </c>
      <c r="J123" s="25">
        <f t="shared" si="57"/>
        <v>0.82034976152623207</v>
      </c>
      <c r="K123" s="25">
        <f t="shared" si="57"/>
        <v>1</v>
      </c>
      <c r="L123" s="25">
        <f t="shared" ref="L123" si="58">L122/L121</f>
        <v>0.52</v>
      </c>
      <c r="M123" s="98">
        <f t="shared" si="57"/>
        <v>0.85682101428434476</v>
      </c>
    </row>
    <row r="124" spans="1:13" x14ac:dyDescent="0.25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40"/>
    </row>
    <row r="125" spans="1:13" ht="15.75" x14ac:dyDescent="0.25">
      <c r="A125" s="173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16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28">
        <f>D125</f>
        <v>0</v>
      </c>
    </row>
    <row r="126" spans="1:13" ht="15.75" x14ac:dyDescent="0.25">
      <c r="A126" s="174"/>
      <c r="B126" s="21" t="s">
        <v>84</v>
      </c>
      <c r="C126" s="4" t="s">
        <v>3</v>
      </c>
      <c r="D126" s="22">
        <f>Mulanje!D126+Mulanje!E126+Mulanje!F126</f>
        <v>0</v>
      </c>
      <c r="E126" s="22">
        <f>Luchenza!D126+Luchenza!E126+Luchenza!F126</f>
        <v>0</v>
      </c>
      <c r="F126" s="22">
        <f>Thyolo!D126+Thyolo!E126+Thyolo!F126</f>
        <v>0</v>
      </c>
      <c r="G126" s="22">
        <f>Muloza!D126+Muloza!E126+Muloza!F126</f>
        <v>15</v>
      </c>
      <c r="H126" s="22">
        <f>MUST!D126+MUST!E126+MUST!F126</f>
        <v>0</v>
      </c>
      <c r="I126" s="22">
        <f>Phalombe!D126+Phalombe!E126+Phalombe!F126</f>
        <v>0</v>
      </c>
      <c r="J126" s="22">
        <f>Mikolongwe!D126+Mikolongwe!E126+Mikolongwe!F126</f>
        <v>0</v>
      </c>
      <c r="K126" s="22">
        <f>Migowi!D126+Migowi!E126+Migowi!F126</f>
        <v>0</v>
      </c>
      <c r="L126" s="22">
        <f>Nkando!D126+Nkando!E126+Nkando!F126</f>
        <v>0</v>
      </c>
      <c r="M126" s="50">
        <f>SUM(D126:L126)</f>
        <v>15</v>
      </c>
    </row>
    <row r="127" spans="1:13" ht="15.75" x14ac:dyDescent="0.25">
      <c r="A127" s="174"/>
      <c r="B127" s="72" t="s">
        <v>88</v>
      </c>
      <c r="C127" s="4" t="s">
        <v>3</v>
      </c>
      <c r="D127" s="22">
        <f>Mulanje!D127+Mulanje!E127+Mulanje!F127</f>
        <v>0</v>
      </c>
      <c r="E127" s="22">
        <f>Luchenza!D127+Luchenza!E127+Luchenza!F127</f>
        <v>0</v>
      </c>
      <c r="F127" s="22">
        <f>Thyolo!D127+Thyolo!E127+Thyolo!F127</f>
        <v>0</v>
      </c>
      <c r="G127" s="22">
        <f>Muloza!D127+Muloza!E127+Muloza!F127</f>
        <v>0</v>
      </c>
      <c r="H127" s="22">
        <f>MUST!D127+MUST!E127+MUST!F127</f>
        <v>0</v>
      </c>
      <c r="I127" s="22">
        <f>Phalombe!D127+Phalombe!E127+Phalombe!F127</f>
        <v>0</v>
      </c>
      <c r="J127" s="22">
        <f>Mikolongwe!D127+Mikolongwe!E127+Mikolongwe!F127</f>
        <v>0</v>
      </c>
      <c r="K127" s="22">
        <f>Migowi!D127+Migowi!E127+Migowi!F127</f>
        <v>0</v>
      </c>
      <c r="L127" s="22">
        <f>Nkando!D127+Nkando!E127+Nkando!F127</f>
        <v>0</v>
      </c>
      <c r="M127" s="50">
        <f>SUM(D127:L127)</f>
        <v>0</v>
      </c>
    </row>
    <row r="128" spans="1:13" ht="15.75" x14ac:dyDescent="0.25">
      <c r="A128" s="174"/>
      <c r="B128" s="21" t="s">
        <v>82</v>
      </c>
      <c r="C128" s="4" t="s">
        <v>3</v>
      </c>
      <c r="D128" s="22">
        <f>Mulanje!D128+Mulanje!E128+Mulanje!F128</f>
        <v>0</v>
      </c>
      <c r="E128" s="22">
        <f>Luchenza!D128+Luchenza!E128+Luchenza!F128</f>
        <v>0</v>
      </c>
      <c r="F128" s="22">
        <f>Thyolo!D128+Thyolo!E128+Thyolo!F128</f>
        <v>0</v>
      </c>
      <c r="G128" s="22">
        <f>Muloza!D128+Muloza!E128+Muloza!F128</f>
        <v>22</v>
      </c>
      <c r="H128" s="22">
        <f>MUST!D128+MUST!E128+MUST!F128</f>
        <v>0</v>
      </c>
      <c r="I128" s="22">
        <f>Phalombe!D128+Phalombe!E128+Phalombe!F128</f>
        <v>0</v>
      </c>
      <c r="J128" s="22">
        <f>Mikolongwe!D128+Mikolongwe!E128+Mikolongwe!F128</f>
        <v>0</v>
      </c>
      <c r="K128" s="22">
        <f>Migowi!D128+Migowi!E128+Migowi!F128</f>
        <v>0</v>
      </c>
      <c r="L128" s="22">
        <f>Nkando!D128+Nkando!E128+Nkando!F128</f>
        <v>0</v>
      </c>
      <c r="M128" s="50">
        <f>SUM(D128:L128)</f>
        <v>22</v>
      </c>
    </row>
    <row r="129" spans="1:13" ht="15.75" x14ac:dyDescent="0.25">
      <c r="A129" s="175"/>
      <c r="B129" s="21" t="s">
        <v>81</v>
      </c>
      <c r="C129" s="4" t="s">
        <v>3</v>
      </c>
      <c r="D129" s="126">
        <f t="shared" ref="D129:M129" si="59">D125+D126-D127-D128</f>
        <v>0</v>
      </c>
      <c r="E129" s="126">
        <f t="shared" si="59"/>
        <v>0</v>
      </c>
      <c r="F129" s="126">
        <f t="shared" si="59"/>
        <v>0</v>
      </c>
      <c r="G129" s="126">
        <f t="shared" si="59"/>
        <v>9</v>
      </c>
      <c r="H129" s="126">
        <f t="shared" si="59"/>
        <v>0</v>
      </c>
      <c r="I129" s="126">
        <f t="shared" si="59"/>
        <v>0</v>
      </c>
      <c r="J129" s="126">
        <f t="shared" si="59"/>
        <v>0</v>
      </c>
      <c r="K129" s="126">
        <f t="shared" si="59"/>
        <v>0</v>
      </c>
      <c r="L129" s="126">
        <f t="shared" ref="L129" si="60">L125+L126-L127-L128</f>
        <v>0</v>
      </c>
      <c r="M129" s="28">
        <f t="shared" si="59"/>
        <v>-7</v>
      </c>
    </row>
    <row r="130" spans="1:13" ht="25.5" x14ac:dyDescent="0.25">
      <c r="A130" s="173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28">
        <f>D130</f>
        <v>0</v>
      </c>
    </row>
    <row r="131" spans="1:13" ht="15.75" x14ac:dyDescent="0.25">
      <c r="A131" s="174"/>
      <c r="B131" s="21" t="s">
        <v>84</v>
      </c>
      <c r="C131" s="4" t="s">
        <v>3</v>
      </c>
      <c r="D131" s="22">
        <f>Mulanje!D131+Mulanje!E131+Mulanje!F131</f>
        <v>0</v>
      </c>
      <c r="E131" s="22">
        <f>Luchenza!D131+Luchenza!E131+Luchenza!F131</f>
        <v>0</v>
      </c>
      <c r="F131" s="22">
        <f>Thyolo!D131+Thyolo!E131+Thyolo!F131</f>
        <v>0</v>
      </c>
      <c r="G131" s="22">
        <f>Muloza!D131+Muloza!E131+Muloza!F131</f>
        <v>0</v>
      </c>
      <c r="H131" s="22">
        <f>MUST!D131+MUST!E131+MUST!F131</f>
        <v>0</v>
      </c>
      <c r="I131" s="22">
        <f>Phalombe!D131+Phalombe!E131+Phalombe!F131</f>
        <v>0</v>
      </c>
      <c r="J131" s="22">
        <f>Mikolongwe!D131+Mikolongwe!E131+Mikolongwe!F131</f>
        <v>0</v>
      </c>
      <c r="K131" s="22">
        <f>Migowi!D131+Migowi!E131+Migowi!F131</f>
        <v>0</v>
      </c>
      <c r="L131" s="22">
        <f>Nkando!D131+Nkando!E131+Nkando!F131</f>
        <v>0</v>
      </c>
      <c r="M131" s="50">
        <f>SUM(D131:L131)</f>
        <v>0</v>
      </c>
    </row>
    <row r="132" spans="1:13" ht="15.75" x14ac:dyDescent="0.25">
      <c r="A132" s="174"/>
      <c r="B132" s="72" t="s">
        <v>88</v>
      </c>
      <c r="C132" s="4" t="s">
        <v>3</v>
      </c>
      <c r="D132" s="22">
        <f>Mulanje!D132+Mulanje!E132+Mulanje!F132</f>
        <v>0</v>
      </c>
      <c r="E132" s="22">
        <f>Luchenza!D132+Luchenza!E132+Luchenza!F132</f>
        <v>0</v>
      </c>
      <c r="F132" s="22">
        <f>Thyolo!D132+Thyolo!E132+Thyolo!F132</f>
        <v>0</v>
      </c>
      <c r="G132" s="22">
        <f>Muloza!D132+Muloza!E132+Muloza!F132</f>
        <v>0</v>
      </c>
      <c r="H132" s="22">
        <f>MUST!D132+MUST!E132+MUST!F132</f>
        <v>0</v>
      </c>
      <c r="I132" s="22">
        <f>Phalombe!D132+Phalombe!E132+Phalombe!F132</f>
        <v>0</v>
      </c>
      <c r="J132" s="22">
        <f>Mikolongwe!D132+Mikolongwe!E132+Mikolongwe!F132</f>
        <v>0</v>
      </c>
      <c r="K132" s="22">
        <f>Migowi!D132+Migowi!E132+Migowi!F132</f>
        <v>0</v>
      </c>
      <c r="L132" s="22">
        <f>Nkando!D132+Nkando!E132+Nkando!F132</f>
        <v>0</v>
      </c>
      <c r="M132" s="50">
        <f>SUM(D132:L132)</f>
        <v>0</v>
      </c>
    </row>
    <row r="133" spans="1:13" ht="15.75" x14ac:dyDescent="0.25">
      <c r="A133" s="174"/>
      <c r="B133" s="21" t="s">
        <v>82</v>
      </c>
      <c r="C133" s="4" t="s">
        <v>3</v>
      </c>
      <c r="D133" s="22">
        <f>Mulanje!D133+Mulanje!E133+Mulanje!F133</f>
        <v>0</v>
      </c>
      <c r="E133" s="22">
        <f>Luchenza!D133+Luchenza!E133+Luchenza!F133</f>
        <v>0</v>
      </c>
      <c r="F133" s="22">
        <f>Thyolo!D133+Thyolo!E133+Thyolo!F133</f>
        <v>0</v>
      </c>
      <c r="G133" s="22">
        <f>Muloza!D133+Muloza!E133+Muloza!F133</f>
        <v>0</v>
      </c>
      <c r="H133" s="22">
        <f>MUST!D133+MUST!E133+MUST!F133</f>
        <v>0</v>
      </c>
      <c r="I133" s="22">
        <f>Phalombe!D133+Phalombe!E133+Phalombe!F133</f>
        <v>0</v>
      </c>
      <c r="J133" s="22">
        <f>Mikolongwe!D133+Mikolongwe!E133+Mikolongwe!F133</f>
        <v>0</v>
      </c>
      <c r="K133" s="22">
        <f>Migowi!D133+Migowi!E133+Migowi!F133</f>
        <v>0</v>
      </c>
      <c r="L133" s="22">
        <f>Nkando!D133+Nkando!E133+Nkando!F133</f>
        <v>0</v>
      </c>
      <c r="M133" s="50">
        <f>SUM(D133:L133)</f>
        <v>0</v>
      </c>
    </row>
    <row r="134" spans="1:13" ht="15.75" x14ac:dyDescent="0.25">
      <c r="A134" s="175"/>
      <c r="B134" s="21" t="s">
        <v>81</v>
      </c>
      <c r="C134" s="4" t="s">
        <v>3</v>
      </c>
      <c r="D134" s="126">
        <f t="shared" ref="D134:M134" si="61">D130+D131-D132-D133</f>
        <v>0</v>
      </c>
      <c r="E134" s="126">
        <f t="shared" si="61"/>
        <v>0</v>
      </c>
      <c r="F134" s="126">
        <f t="shared" si="61"/>
        <v>0</v>
      </c>
      <c r="G134" s="126">
        <f t="shared" si="61"/>
        <v>0</v>
      </c>
      <c r="H134" s="126">
        <f t="shared" si="61"/>
        <v>0</v>
      </c>
      <c r="I134" s="126">
        <f t="shared" si="61"/>
        <v>0</v>
      </c>
      <c r="J134" s="126">
        <f t="shared" si="61"/>
        <v>0</v>
      </c>
      <c r="K134" s="126">
        <f t="shared" si="61"/>
        <v>0</v>
      </c>
      <c r="L134" s="126">
        <f t="shared" ref="L134" si="62">L130+L131-L132-L133</f>
        <v>0</v>
      </c>
      <c r="M134" s="28">
        <f t="shared" si="61"/>
        <v>0</v>
      </c>
    </row>
    <row r="135" spans="1:13" ht="15.75" x14ac:dyDescent="0.25">
      <c r="A135" s="173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28">
        <f>D135</f>
        <v>0</v>
      </c>
    </row>
    <row r="136" spans="1:13" ht="15.75" x14ac:dyDescent="0.25">
      <c r="A136" s="174"/>
      <c r="B136" s="21" t="s">
        <v>84</v>
      </c>
      <c r="C136" s="4" t="s">
        <v>3</v>
      </c>
      <c r="D136" s="22">
        <f>Mulanje!D136+Mulanje!E136+Mulanje!F136</f>
        <v>0</v>
      </c>
      <c r="E136" s="22">
        <f>Luchenza!D136+Luchenza!E136+Luchenza!F136</f>
        <v>0</v>
      </c>
      <c r="F136" s="22">
        <f>Thyolo!D136+Thyolo!E136+Thyolo!F136</f>
        <v>0</v>
      </c>
      <c r="G136" s="22">
        <f>Muloza!D136+Muloza!E136+Muloza!F136</f>
        <v>0</v>
      </c>
      <c r="H136" s="22">
        <f>MUST!D136+MUST!E136+MUST!F136</f>
        <v>0</v>
      </c>
      <c r="I136" s="22">
        <f>Phalombe!D136+Phalombe!E136+Phalombe!F136</f>
        <v>0</v>
      </c>
      <c r="J136" s="22">
        <f>Mikolongwe!D136+Mikolongwe!E136+Mikolongwe!F136</f>
        <v>0</v>
      </c>
      <c r="K136" s="22">
        <f>Migowi!D136+Migowi!E136+Migowi!F136</f>
        <v>0</v>
      </c>
      <c r="L136" s="22">
        <f>Nkando!D136+Nkando!E136+Nkando!F136</f>
        <v>0</v>
      </c>
      <c r="M136" s="50">
        <f>SUM(D136:L136)</f>
        <v>0</v>
      </c>
    </row>
    <row r="137" spans="1:13" ht="15.75" x14ac:dyDescent="0.25">
      <c r="A137" s="174"/>
      <c r="B137" s="72" t="s">
        <v>88</v>
      </c>
      <c r="C137" s="4" t="s">
        <v>3</v>
      </c>
      <c r="D137" s="22">
        <f>Mulanje!D137+Mulanje!E137+Mulanje!F137</f>
        <v>0</v>
      </c>
      <c r="E137" s="22">
        <f>Luchenza!D137+Luchenza!E137+Luchenza!F137</f>
        <v>0</v>
      </c>
      <c r="F137" s="22">
        <f>Thyolo!D137+Thyolo!E137+Thyolo!F137</f>
        <v>0</v>
      </c>
      <c r="G137" s="22">
        <f>Muloza!D137+Muloza!E137+Muloza!F137</f>
        <v>0</v>
      </c>
      <c r="H137" s="22">
        <f>MUST!D137+MUST!E137+MUST!F137</f>
        <v>0</v>
      </c>
      <c r="I137" s="22">
        <f>Phalombe!D137+Phalombe!E137+Phalombe!F137</f>
        <v>0</v>
      </c>
      <c r="J137" s="22">
        <f>Mikolongwe!D137+Mikolongwe!E137+Mikolongwe!F137</f>
        <v>0</v>
      </c>
      <c r="K137" s="22">
        <f>Migowi!D137+Migowi!E137+Migowi!F137</f>
        <v>0</v>
      </c>
      <c r="L137" s="22">
        <f>Nkando!D137+Nkando!E137+Nkando!F137</f>
        <v>0</v>
      </c>
      <c r="M137" s="50">
        <f>SUM(D137:L137)</f>
        <v>0</v>
      </c>
    </row>
    <row r="138" spans="1:13" ht="15.75" x14ac:dyDescent="0.25">
      <c r="A138" s="174"/>
      <c r="B138" s="21" t="s">
        <v>82</v>
      </c>
      <c r="C138" s="4" t="s">
        <v>3</v>
      </c>
      <c r="D138" s="22">
        <f>Mulanje!D138+Mulanje!E138+Mulanje!F138</f>
        <v>0</v>
      </c>
      <c r="E138" s="22">
        <f>Luchenza!D138+Luchenza!E138+Luchenza!F138</f>
        <v>0</v>
      </c>
      <c r="F138" s="22">
        <f>Thyolo!D138+Thyolo!E138+Thyolo!F138</f>
        <v>0</v>
      </c>
      <c r="G138" s="22">
        <f>Muloza!D138+Muloza!E138+Muloza!F138</f>
        <v>0</v>
      </c>
      <c r="H138" s="22">
        <f>MUST!D138+MUST!E138+MUST!F138</f>
        <v>0</v>
      </c>
      <c r="I138" s="22">
        <f>Phalombe!D138+Phalombe!E138+Phalombe!F138</f>
        <v>0</v>
      </c>
      <c r="J138" s="22">
        <f>Mikolongwe!D138+Mikolongwe!E138+Mikolongwe!F138</f>
        <v>0</v>
      </c>
      <c r="K138" s="22">
        <f>Migowi!D138+Migowi!E138+Migowi!F138</f>
        <v>0</v>
      </c>
      <c r="L138" s="22">
        <f>Nkando!D138+Nkando!E138+Nkando!F138</f>
        <v>0</v>
      </c>
      <c r="M138" s="50">
        <f>SUM(D138:L138)</f>
        <v>0</v>
      </c>
    </row>
    <row r="139" spans="1:13" ht="15.75" x14ac:dyDescent="0.25">
      <c r="A139" s="175"/>
      <c r="B139" s="21" t="s">
        <v>81</v>
      </c>
      <c r="C139" s="4" t="s">
        <v>3</v>
      </c>
      <c r="D139" s="126">
        <f t="shared" ref="D139:M139" si="63">D135+D136-D137-D138</f>
        <v>0</v>
      </c>
      <c r="E139" s="126">
        <f t="shared" si="63"/>
        <v>0</v>
      </c>
      <c r="F139" s="126">
        <f t="shared" si="63"/>
        <v>0</v>
      </c>
      <c r="G139" s="126">
        <f t="shared" si="63"/>
        <v>0</v>
      </c>
      <c r="H139" s="126">
        <f t="shared" si="63"/>
        <v>0</v>
      </c>
      <c r="I139" s="126">
        <f t="shared" si="63"/>
        <v>0</v>
      </c>
      <c r="J139" s="126">
        <f t="shared" si="63"/>
        <v>0</v>
      </c>
      <c r="K139" s="126">
        <f t="shared" si="63"/>
        <v>0</v>
      </c>
      <c r="L139" s="126">
        <f t="shared" ref="L139" si="64">L135+L136-L137-L138</f>
        <v>0</v>
      </c>
      <c r="M139" s="28">
        <f t="shared" si="63"/>
        <v>0</v>
      </c>
    </row>
    <row r="140" spans="1:13" ht="15.75" x14ac:dyDescent="0.25">
      <c r="A140" s="173" t="s">
        <v>87</v>
      </c>
      <c r="B140" s="21" t="s">
        <v>85</v>
      </c>
      <c r="C140" s="4" t="s">
        <v>3</v>
      </c>
      <c r="D140" s="22">
        <f>Mulanje!D140</f>
        <v>124</v>
      </c>
      <c r="E140" s="22">
        <f>Luchenza!D140</f>
        <v>36</v>
      </c>
      <c r="F140" s="22">
        <f>Thyolo!D140</f>
        <v>14</v>
      </c>
      <c r="G140" s="22">
        <f>Muloza!D140</f>
        <v>16</v>
      </c>
      <c r="H140" s="22">
        <f>MUST!D140</f>
        <v>0</v>
      </c>
      <c r="I140" s="22">
        <f>Phalombe!D140</f>
        <v>15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28">
        <f>D140</f>
        <v>124</v>
      </c>
    </row>
    <row r="141" spans="1:13" ht="15.75" x14ac:dyDescent="0.25">
      <c r="A141" s="174"/>
      <c r="B141" s="21" t="s">
        <v>84</v>
      </c>
      <c r="C141" s="4" t="s">
        <v>3</v>
      </c>
      <c r="D141" s="22">
        <f>Mulanje!D141+Mulanje!E141+Mulanje!F141</f>
        <v>38</v>
      </c>
      <c r="E141" s="22">
        <f>Luchenza!D141+Luchenza!E141+Luchenza!F141</f>
        <v>80</v>
      </c>
      <c r="F141" s="22">
        <f>Thyolo!D141+Thyolo!E141+Thyolo!F141</f>
        <v>36</v>
      </c>
      <c r="G141" s="22">
        <f>Muloza!D141+Muloza!E141+Muloza!F141</f>
        <v>6</v>
      </c>
      <c r="H141" s="22">
        <f>MUST!D141+MUST!E141+MUST!F141</f>
        <v>0</v>
      </c>
      <c r="I141" s="22">
        <f>Phalombe!D141+Phalombe!E141+Phalombe!F141</f>
        <v>17</v>
      </c>
      <c r="J141" s="22">
        <f>Mikolongwe!D141+Mikolongwe!E141+Mikolongwe!F141</f>
        <v>0</v>
      </c>
      <c r="K141" s="22">
        <f>Migowi!D141+Migowi!E141+Migowi!F141</f>
        <v>0</v>
      </c>
      <c r="L141" s="22">
        <f>Nkando!D141+Nkando!E141+Nkando!F141</f>
        <v>0</v>
      </c>
      <c r="M141" s="50">
        <f>SUM(D141:L141)</f>
        <v>177</v>
      </c>
    </row>
    <row r="142" spans="1:13" ht="15.75" x14ac:dyDescent="0.25">
      <c r="A142" s="174"/>
      <c r="B142" s="21" t="s">
        <v>83</v>
      </c>
      <c r="C142" s="4" t="s">
        <v>3</v>
      </c>
      <c r="D142" s="22">
        <f>Mulanje!D142+Mulanje!E142+Mulanje!F142</f>
        <v>64</v>
      </c>
      <c r="E142" s="22">
        <f>Luchenza!D142+Luchenza!E142+Luchenza!F142</f>
        <v>63</v>
      </c>
      <c r="F142" s="22">
        <f>Thyolo!D142+Thyolo!E142+Thyolo!F142</f>
        <v>37</v>
      </c>
      <c r="G142" s="22">
        <f>Muloza!D142+Muloza!E142+Muloza!F142</f>
        <v>0</v>
      </c>
      <c r="H142" s="22">
        <f>MUST!D142+MUST!E142+MUST!F142</f>
        <v>0</v>
      </c>
      <c r="I142" s="22">
        <f>Phalombe!D142+Phalombe!E142+Phalombe!F142</f>
        <v>3</v>
      </c>
      <c r="J142" s="22">
        <f>Mikolongwe!D142+Mikolongwe!E142+Mikolongwe!F142</f>
        <v>0</v>
      </c>
      <c r="K142" s="22">
        <f>Migowi!D142+Migowi!E142+Migowi!F142</f>
        <v>0</v>
      </c>
      <c r="L142" s="22">
        <f>Nkando!D142+Nkando!E142+Nkando!F142</f>
        <v>0</v>
      </c>
      <c r="M142" s="50">
        <f>SUM(D142:L142)</f>
        <v>167</v>
      </c>
    </row>
    <row r="143" spans="1:13" ht="15.75" x14ac:dyDescent="0.25">
      <c r="A143" s="174"/>
      <c r="B143" s="21" t="s">
        <v>82</v>
      </c>
      <c r="C143" s="4" t="s">
        <v>3</v>
      </c>
      <c r="D143" s="22">
        <f>Mulanje!D143+Mulanje!E143+Mulanje!F143</f>
        <v>70</v>
      </c>
      <c r="E143" s="22">
        <f>Luchenza!D143+Luchenza!E143+Luchenza!F143</f>
        <v>41</v>
      </c>
      <c r="F143" s="22">
        <f>Thyolo!D143+Thyolo!E143+Thyolo!F143</f>
        <v>0</v>
      </c>
      <c r="G143" s="22">
        <f>Muloza!D143+Muloza!E143+Muloza!F143</f>
        <v>22</v>
      </c>
      <c r="H143" s="22">
        <f>MUST!D143+MUST!E143+MUST!F143</f>
        <v>0</v>
      </c>
      <c r="I143" s="22">
        <f>Phalombe!D143+Phalombe!E143+Phalombe!F143</f>
        <v>3</v>
      </c>
      <c r="J143" s="22">
        <f>Mikolongwe!D143+Mikolongwe!E143+Mikolongwe!F143</f>
        <v>0</v>
      </c>
      <c r="K143" s="22">
        <f>Migowi!D143+Migowi!E143+Migowi!F143</f>
        <v>0</v>
      </c>
      <c r="L143" s="22">
        <f>Nkando!D143+Nkando!E143+Nkando!F143</f>
        <v>0</v>
      </c>
      <c r="M143" s="50">
        <f>SUM(D143:L143)</f>
        <v>136</v>
      </c>
    </row>
    <row r="144" spans="1:13" ht="15.75" x14ac:dyDescent="0.25">
      <c r="A144" s="175"/>
      <c r="B144" s="21" t="s">
        <v>81</v>
      </c>
      <c r="C144" s="4" t="s">
        <v>3</v>
      </c>
      <c r="D144" s="126">
        <f t="shared" ref="D144:M144" si="65">D140+D141-D142-D143</f>
        <v>28</v>
      </c>
      <c r="E144" s="126">
        <f t="shared" si="65"/>
        <v>12</v>
      </c>
      <c r="F144" s="126">
        <f t="shared" si="65"/>
        <v>13</v>
      </c>
      <c r="G144" s="126">
        <f t="shared" si="65"/>
        <v>0</v>
      </c>
      <c r="H144" s="126">
        <f t="shared" si="65"/>
        <v>0</v>
      </c>
      <c r="I144" s="126">
        <f t="shared" si="65"/>
        <v>26</v>
      </c>
      <c r="J144" s="126">
        <f t="shared" si="65"/>
        <v>0</v>
      </c>
      <c r="K144" s="126">
        <f t="shared" si="65"/>
        <v>0</v>
      </c>
      <c r="L144" s="126">
        <f t="shared" ref="L144" si="66">L140+L141-L142-L143</f>
        <v>0</v>
      </c>
      <c r="M144" s="28">
        <f t="shared" si="65"/>
        <v>-2</v>
      </c>
    </row>
    <row r="145" spans="1:13" ht="15.75" x14ac:dyDescent="0.25">
      <c r="A145" s="173" t="s">
        <v>86</v>
      </c>
      <c r="B145" s="21" t="s">
        <v>85</v>
      </c>
      <c r="C145" s="4" t="s">
        <v>3</v>
      </c>
      <c r="D145" s="127">
        <f>D125+D130+D135+D140</f>
        <v>124</v>
      </c>
      <c r="E145" s="127">
        <f t="shared" ref="E145:K145" si="67">E125+E130+E135+E140</f>
        <v>36</v>
      </c>
      <c r="F145" s="127">
        <f t="shared" si="67"/>
        <v>14</v>
      </c>
      <c r="G145" s="127">
        <f t="shared" si="67"/>
        <v>32</v>
      </c>
      <c r="H145" s="127">
        <f t="shared" si="67"/>
        <v>0</v>
      </c>
      <c r="I145" s="127">
        <f t="shared" si="67"/>
        <v>15</v>
      </c>
      <c r="J145" s="127">
        <f t="shared" si="67"/>
        <v>0</v>
      </c>
      <c r="K145" s="127">
        <f t="shared" si="67"/>
        <v>0</v>
      </c>
      <c r="L145" s="127">
        <f t="shared" ref="L145" si="68">L125+L130+L135+L140</f>
        <v>0</v>
      </c>
      <c r="M145" s="50">
        <f t="shared" ref="M145:M149" si="69">M125+M130+M135+M140</f>
        <v>124</v>
      </c>
    </row>
    <row r="146" spans="1:13" ht="15.75" x14ac:dyDescent="0.25">
      <c r="A146" s="174"/>
      <c r="B146" s="21" t="s">
        <v>84</v>
      </c>
      <c r="C146" s="4" t="s">
        <v>3</v>
      </c>
      <c r="D146" s="127">
        <f t="shared" ref="D146:K148" si="70">D126+D131+D136+D141</f>
        <v>38</v>
      </c>
      <c r="E146" s="127">
        <f t="shared" si="70"/>
        <v>80</v>
      </c>
      <c r="F146" s="127">
        <f t="shared" si="70"/>
        <v>36</v>
      </c>
      <c r="G146" s="127">
        <f t="shared" si="70"/>
        <v>21</v>
      </c>
      <c r="H146" s="127">
        <f t="shared" si="70"/>
        <v>0</v>
      </c>
      <c r="I146" s="127">
        <f t="shared" si="70"/>
        <v>17</v>
      </c>
      <c r="J146" s="127">
        <f t="shared" si="70"/>
        <v>0</v>
      </c>
      <c r="K146" s="127">
        <f t="shared" si="70"/>
        <v>0</v>
      </c>
      <c r="L146" s="127">
        <f t="shared" ref="L146" si="71">L126+L131+L136+L141</f>
        <v>0</v>
      </c>
      <c r="M146" s="50">
        <f t="shared" si="69"/>
        <v>192</v>
      </c>
    </row>
    <row r="147" spans="1:13" ht="15.75" x14ac:dyDescent="0.25">
      <c r="A147" s="174"/>
      <c r="B147" s="21" t="s">
        <v>83</v>
      </c>
      <c r="C147" s="4" t="s">
        <v>3</v>
      </c>
      <c r="D147" s="127">
        <f t="shared" si="70"/>
        <v>64</v>
      </c>
      <c r="E147" s="127">
        <f t="shared" si="70"/>
        <v>63</v>
      </c>
      <c r="F147" s="127">
        <f t="shared" si="70"/>
        <v>37</v>
      </c>
      <c r="G147" s="127">
        <f t="shared" si="70"/>
        <v>0</v>
      </c>
      <c r="H147" s="127">
        <f t="shared" si="70"/>
        <v>0</v>
      </c>
      <c r="I147" s="127">
        <f t="shared" si="70"/>
        <v>3</v>
      </c>
      <c r="J147" s="127">
        <f t="shared" si="70"/>
        <v>0</v>
      </c>
      <c r="K147" s="127">
        <f t="shared" si="70"/>
        <v>0</v>
      </c>
      <c r="L147" s="127">
        <f t="shared" ref="L147" si="72">L127+L132+L137+L142</f>
        <v>0</v>
      </c>
      <c r="M147" s="50">
        <f t="shared" si="69"/>
        <v>167</v>
      </c>
    </row>
    <row r="148" spans="1:13" ht="15.75" x14ac:dyDescent="0.25">
      <c r="A148" s="174"/>
      <c r="B148" s="21" t="s">
        <v>82</v>
      </c>
      <c r="C148" s="4" t="s">
        <v>3</v>
      </c>
      <c r="D148" s="127">
        <f t="shared" si="70"/>
        <v>70</v>
      </c>
      <c r="E148" s="127">
        <f t="shared" si="70"/>
        <v>41</v>
      </c>
      <c r="F148" s="127">
        <f t="shared" si="70"/>
        <v>0</v>
      </c>
      <c r="G148" s="127">
        <f t="shared" si="70"/>
        <v>44</v>
      </c>
      <c r="H148" s="127">
        <f t="shared" si="70"/>
        <v>0</v>
      </c>
      <c r="I148" s="127">
        <f t="shared" si="70"/>
        <v>3</v>
      </c>
      <c r="J148" s="127">
        <f t="shared" si="70"/>
        <v>0</v>
      </c>
      <c r="K148" s="127">
        <f t="shared" si="70"/>
        <v>0</v>
      </c>
      <c r="L148" s="127">
        <f t="shared" ref="L148" si="73">L128+L133+L138+L143</f>
        <v>0</v>
      </c>
      <c r="M148" s="50">
        <f t="shared" si="69"/>
        <v>158</v>
      </c>
    </row>
    <row r="149" spans="1:13" ht="15.75" x14ac:dyDescent="0.25">
      <c r="A149" s="175"/>
      <c r="B149" s="21" t="s">
        <v>81</v>
      </c>
      <c r="C149" s="4" t="s">
        <v>3</v>
      </c>
      <c r="D149" s="126">
        <f>D145+D146-D147-D148</f>
        <v>28</v>
      </c>
      <c r="E149" s="126">
        <f t="shared" ref="E149:K149" si="74">E145+E146-E147-E148</f>
        <v>12</v>
      </c>
      <c r="F149" s="126">
        <f t="shared" si="74"/>
        <v>13</v>
      </c>
      <c r="G149" s="126">
        <f t="shared" si="74"/>
        <v>9</v>
      </c>
      <c r="H149" s="126">
        <f t="shared" si="74"/>
        <v>0</v>
      </c>
      <c r="I149" s="126">
        <f t="shared" si="74"/>
        <v>26</v>
      </c>
      <c r="J149" s="126">
        <f t="shared" si="74"/>
        <v>0</v>
      </c>
      <c r="K149" s="126">
        <f t="shared" si="74"/>
        <v>0</v>
      </c>
      <c r="L149" s="126">
        <f t="shared" ref="L149" si="75">L145+L146-L147-L148</f>
        <v>0</v>
      </c>
      <c r="M149" s="50">
        <f t="shared" si="69"/>
        <v>-9</v>
      </c>
    </row>
    <row r="150" spans="1:13" x14ac:dyDescent="0.25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4"/>
    </row>
    <row r="151" spans="1:13" ht="15.6" customHeight="1" x14ac:dyDescent="0.25">
      <c r="A151" s="241" t="s">
        <v>79</v>
      </c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3"/>
    </row>
    <row r="152" spans="1:13" ht="15.75" x14ac:dyDescent="0.25">
      <c r="A152" s="222" t="s">
        <v>78</v>
      </c>
      <c r="B152" s="81" t="s">
        <v>63</v>
      </c>
      <c r="C152" s="4"/>
      <c r="D152" s="128"/>
      <c r="E152" s="128"/>
      <c r="F152" s="128"/>
      <c r="G152" s="128"/>
      <c r="H152" s="128"/>
      <c r="I152" s="128"/>
      <c r="J152" s="121"/>
      <c r="K152" s="121"/>
      <c r="L152" s="121"/>
      <c r="M152" s="8"/>
    </row>
    <row r="153" spans="1:13" ht="15.75" x14ac:dyDescent="0.25">
      <c r="A153" s="223"/>
      <c r="B153" s="17" t="s">
        <v>73</v>
      </c>
      <c r="C153" s="4" t="s">
        <v>57</v>
      </c>
      <c r="D153" s="128">
        <f>Mulanje!D153+Mulanje!E153+Mulanje!F153</f>
        <v>57</v>
      </c>
      <c r="E153" s="128">
        <f>Luchenza!D153+Luchenza!E153+Luchenza!F153</f>
        <v>223</v>
      </c>
      <c r="F153" s="128">
        <f>Thyolo!D153+Thyolo!E153+Thyolo!F153</f>
        <v>106</v>
      </c>
      <c r="G153" s="128">
        <f>Muloza!D153+Muloza!E153+Muloza!F153</f>
        <v>29</v>
      </c>
      <c r="H153" s="128">
        <f>MUST!D153+MUST!E153+MUST!F153</f>
        <v>6</v>
      </c>
      <c r="I153" s="128">
        <f>Phalombe!D153+Phalombe!E153+Phalombe!F153</f>
        <v>15</v>
      </c>
      <c r="J153" s="128">
        <f>Mikolongwe!D153+Mikolongwe!E153+Mikolongwe!F153</f>
        <v>8</v>
      </c>
      <c r="K153" s="128">
        <f>Migowi!D153+Migowi!E153+Migowi!F153</f>
        <v>1</v>
      </c>
      <c r="L153" s="128">
        <f>Nkando!D153+Nkando!E153+Nkando!F153</f>
        <v>6</v>
      </c>
      <c r="M153" s="31">
        <f t="shared" ref="M153:M165" si="76">SUM(D153:L153)</f>
        <v>451</v>
      </c>
    </row>
    <row r="154" spans="1:13" ht="15.75" x14ac:dyDescent="0.25">
      <c r="A154" s="223"/>
      <c r="B154" s="17" t="s">
        <v>72</v>
      </c>
      <c r="C154" s="4" t="s">
        <v>57</v>
      </c>
      <c r="D154" s="128">
        <f>Mulanje!D154+Mulanje!E154+Mulanje!F154</f>
        <v>24</v>
      </c>
      <c r="E154" s="128">
        <f>Luchenza!D154+Luchenza!E154+Luchenza!F154</f>
        <v>131</v>
      </c>
      <c r="F154" s="128">
        <f>Thyolo!D154+Thyolo!E154+Thyolo!F154</f>
        <v>76</v>
      </c>
      <c r="G154" s="128">
        <f>Muloza!D154+Muloza!E154+Muloza!F154</f>
        <v>18</v>
      </c>
      <c r="H154" s="128">
        <f>MUST!D154+MUST!E154+MUST!F154</f>
        <v>7</v>
      </c>
      <c r="I154" s="128">
        <f>Phalombe!D154+Phalombe!E154+Phalombe!F154</f>
        <v>10</v>
      </c>
      <c r="J154" s="128">
        <f>Mikolongwe!D154+Mikolongwe!E154+Mikolongwe!F154</f>
        <v>2</v>
      </c>
      <c r="K154" s="128">
        <f>Migowi!D154+Migowi!E154+Migowi!F154</f>
        <v>0</v>
      </c>
      <c r="L154" s="128">
        <f>Nkando!D154+Nkando!E154+Nkando!F154</f>
        <v>3</v>
      </c>
      <c r="M154" s="31">
        <f t="shared" si="76"/>
        <v>271</v>
      </c>
    </row>
    <row r="155" spans="1:13" ht="15.75" x14ac:dyDescent="0.25">
      <c r="A155" s="223"/>
      <c r="B155" s="17" t="s">
        <v>53</v>
      </c>
      <c r="C155" s="4" t="s">
        <v>57</v>
      </c>
      <c r="D155" s="128">
        <f>Mulanje!D155+Mulanje!E155+Mulanje!F155</f>
        <v>20</v>
      </c>
      <c r="E155" s="128">
        <f>Luchenza!D155+Luchenza!E155+Luchenza!F155</f>
        <v>43</v>
      </c>
      <c r="F155" s="128">
        <f>Thyolo!D155+Thyolo!E155+Thyolo!F155</f>
        <v>53</v>
      </c>
      <c r="G155" s="128">
        <f>Muloza!D155+Muloza!E155+Muloza!F155</f>
        <v>1</v>
      </c>
      <c r="H155" s="128">
        <f>MUST!D155+MUST!E155+MUST!F155</f>
        <v>8</v>
      </c>
      <c r="I155" s="128">
        <f>Phalombe!D155+Phalombe!E155+Phalombe!F155</f>
        <v>12</v>
      </c>
      <c r="J155" s="128">
        <f>Mikolongwe!D155+Mikolongwe!E155+Mikolongwe!F155</f>
        <v>0</v>
      </c>
      <c r="K155" s="128">
        <f>Migowi!D155+Migowi!E155+Migowi!F155</f>
        <v>0</v>
      </c>
      <c r="L155" s="128">
        <f>Nkando!D155+Nkando!E155+Nkando!F155</f>
        <v>0</v>
      </c>
      <c r="M155" s="31">
        <f t="shared" si="76"/>
        <v>137</v>
      </c>
    </row>
    <row r="156" spans="1:13" ht="15.75" x14ac:dyDescent="0.25">
      <c r="A156" s="223"/>
      <c r="B156" s="17" t="s">
        <v>71</v>
      </c>
      <c r="C156" s="4" t="s">
        <v>57</v>
      </c>
      <c r="D156" s="128">
        <f>Mulanje!D156+Mulanje!E156+Mulanje!F156</f>
        <v>5</v>
      </c>
      <c r="E156" s="128">
        <f>Luchenza!D156+Luchenza!E156+Luchenza!F156</f>
        <v>7</v>
      </c>
      <c r="F156" s="128">
        <f>Thyolo!D156+Thyolo!E156+Thyolo!F156</f>
        <v>5</v>
      </c>
      <c r="G156" s="128">
        <f>Muloza!D156+Muloza!E156+Muloza!F156</f>
        <v>0</v>
      </c>
      <c r="H156" s="128">
        <f>MUST!D156+MUST!E156+MUST!F156</f>
        <v>0</v>
      </c>
      <c r="I156" s="128">
        <f>Phalombe!D156+Phalombe!E156+Phalombe!F156</f>
        <v>5</v>
      </c>
      <c r="J156" s="128">
        <f>Mikolongwe!D156+Mikolongwe!E156+Mikolongwe!F156</f>
        <v>0</v>
      </c>
      <c r="K156" s="128">
        <f>Migowi!D156+Migowi!E156+Migowi!F156</f>
        <v>0</v>
      </c>
      <c r="L156" s="128">
        <f>Nkando!D156+Nkando!E156+Nkando!F156</f>
        <v>0</v>
      </c>
      <c r="M156" s="31">
        <f t="shared" si="76"/>
        <v>22</v>
      </c>
    </row>
    <row r="157" spans="1:13" ht="15.75" x14ac:dyDescent="0.25">
      <c r="A157" s="223"/>
      <c r="B157" s="17" t="s">
        <v>52</v>
      </c>
      <c r="C157" s="4" t="s">
        <v>57</v>
      </c>
      <c r="D157" s="128">
        <f>Mulanje!D157+Mulanje!E157+Mulanje!F157</f>
        <v>0</v>
      </c>
      <c r="E157" s="128">
        <f>Luchenza!D157+Luchenza!E157+Luchenza!F157</f>
        <v>21</v>
      </c>
      <c r="F157" s="128">
        <f>Thyolo!D157+Thyolo!E157+Thyolo!F157</f>
        <v>20</v>
      </c>
      <c r="G157" s="128">
        <f>Muloza!D157+Muloza!E157+Muloza!F157</f>
        <v>1</v>
      </c>
      <c r="H157" s="128">
        <f>MUST!D157+MUST!E157+MUST!F157</f>
        <v>0</v>
      </c>
      <c r="I157" s="128">
        <f>Phalombe!D157+Phalombe!E157+Phalombe!F157</f>
        <v>9</v>
      </c>
      <c r="J157" s="128">
        <f>Mikolongwe!D157+Mikolongwe!E157+Mikolongwe!F157</f>
        <v>2</v>
      </c>
      <c r="K157" s="128">
        <f>Migowi!D157+Migowi!E157+Migowi!F157</f>
        <v>0</v>
      </c>
      <c r="L157" s="128">
        <f>Nkando!D157+Nkando!E157+Nkando!F157</f>
        <v>0</v>
      </c>
      <c r="M157" s="31">
        <f t="shared" si="76"/>
        <v>53</v>
      </c>
    </row>
    <row r="158" spans="1:13" ht="15.75" x14ac:dyDescent="0.25">
      <c r="A158" s="223"/>
      <c r="B158" s="17" t="s">
        <v>51</v>
      </c>
      <c r="C158" s="4" t="s">
        <v>57</v>
      </c>
      <c r="D158" s="128">
        <f>Mulanje!D158+Mulanje!E158+Mulanje!F158</f>
        <v>1</v>
      </c>
      <c r="E158" s="128">
        <f>Luchenza!D158+Luchenza!E158+Luchenza!F158</f>
        <v>16</v>
      </c>
      <c r="F158" s="128">
        <f>Thyolo!D158+Thyolo!E158+Thyolo!F158</f>
        <v>4</v>
      </c>
      <c r="G158" s="128">
        <f>Muloza!D158+Muloza!E158+Muloza!F158</f>
        <v>1</v>
      </c>
      <c r="H158" s="128">
        <f>MUST!D158+MUST!E158+MUST!F158</f>
        <v>0</v>
      </c>
      <c r="I158" s="128">
        <f>Phalombe!D158+Phalombe!E158+Phalombe!F158</f>
        <v>9</v>
      </c>
      <c r="J158" s="128">
        <f>Mikolongwe!D158+Mikolongwe!E158+Mikolongwe!F158</f>
        <v>3</v>
      </c>
      <c r="K158" s="128">
        <f>Migowi!D158+Migowi!E158+Migowi!F158</f>
        <v>0</v>
      </c>
      <c r="L158" s="128">
        <f>Nkando!D158+Nkando!E158+Nkando!F158</f>
        <v>0</v>
      </c>
      <c r="M158" s="31">
        <f t="shared" si="76"/>
        <v>34</v>
      </c>
    </row>
    <row r="159" spans="1:13" ht="15.75" x14ac:dyDescent="0.25">
      <c r="A159" s="223"/>
      <c r="B159" s="17" t="s">
        <v>62</v>
      </c>
      <c r="C159" s="4" t="s">
        <v>57</v>
      </c>
      <c r="D159" s="128">
        <f>Mulanje!D159+Mulanje!E159+Mulanje!F159</f>
        <v>2</v>
      </c>
      <c r="E159" s="128">
        <f>Luchenza!D159+Luchenza!E159+Luchenza!F159</f>
        <v>0</v>
      </c>
      <c r="F159" s="128">
        <f>Thyolo!D159+Thyolo!E159+Thyolo!F159</f>
        <v>0</v>
      </c>
      <c r="G159" s="128">
        <f>Muloza!D159+Muloza!E159+Muloza!F159</f>
        <v>1</v>
      </c>
      <c r="H159" s="128">
        <f>MUST!D159+MUST!E159+MUST!F159</f>
        <v>0</v>
      </c>
      <c r="I159" s="128">
        <f>Phalombe!D159+Phalombe!E159+Phalombe!F159</f>
        <v>3</v>
      </c>
      <c r="J159" s="128">
        <f>Mikolongwe!D159+Mikolongwe!E159+Mikolongwe!F159</f>
        <v>0</v>
      </c>
      <c r="K159" s="128">
        <f>Migowi!D159+Migowi!E159+Migowi!F159</f>
        <v>0</v>
      </c>
      <c r="L159" s="128">
        <f>Nkando!D159+Nkando!E159+Nkando!F159</f>
        <v>0</v>
      </c>
      <c r="M159" s="31">
        <f t="shared" si="76"/>
        <v>6</v>
      </c>
    </row>
    <row r="160" spans="1:13" ht="15.75" x14ac:dyDescent="0.25">
      <c r="A160" s="223"/>
      <c r="B160" s="17" t="s">
        <v>50</v>
      </c>
      <c r="C160" s="4" t="s">
        <v>57</v>
      </c>
      <c r="D160" s="128">
        <f>Mulanje!D160+Mulanje!E160+Mulanje!F160</f>
        <v>2</v>
      </c>
      <c r="E160" s="128">
        <f>Luchenza!D160+Luchenza!E160+Luchenza!F160</f>
        <v>7</v>
      </c>
      <c r="F160" s="128">
        <f>Thyolo!D160+Thyolo!E160+Thyolo!F160</f>
        <v>5</v>
      </c>
      <c r="G160" s="128">
        <f>Muloza!D160+Muloza!E160+Muloza!F160</f>
        <v>0</v>
      </c>
      <c r="H160" s="128">
        <f>MUST!D160+MUST!E160+MUST!F160</f>
        <v>0</v>
      </c>
      <c r="I160" s="128">
        <f>Phalombe!D160+Phalombe!E160+Phalombe!F160</f>
        <v>4</v>
      </c>
      <c r="J160" s="128">
        <f>Mikolongwe!D160+Mikolongwe!E160+Mikolongwe!F160</f>
        <v>0</v>
      </c>
      <c r="K160" s="128">
        <f>Migowi!D160+Migowi!E160+Migowi!F160</f>
        <v>0</v>
      </c>
      <c r="L160" s="128">
        <f>Nkando!D160+Nkando!E160+Nkando!F160</f>
        <v>0</v>
      </c>
      <c r="M160" s="31">
        <f t="shared" si="76"/>
        <v>18</v>
      </c>
    </row>
    <row r="161" spans="1:13" ht="15.75" x14ac:dyDescent="0.25">
      <c r="A161" s="223"/>
      <c r="B161" s="17" t="s">
        <v>49</v>
      </c>
      <c r="C161" s="4" t="s">
        <v>57</v>
      </c>
      <c r="D161" s="128">
        <f>Mulanje!D161+Mulanje!E161+Mulanje!F161</f>
        <v>1</v>
      </c>
      <c r="E161" s="128">
        <f>Luchenza!D161+Luchenza!E161+Luchenza!F161</f>
        <v>3</v>
      </c>
      <c r="F161" s="128">
        <f>Thyolo!D161+Thyolo!E161+Thyolo!F161</f>
        <v>7</v>
      </c>
      <c r="G161" s="128">
        <f>Muloza!D161+Muloza!E161+Muloza!F161</f>
        <v>2</v>
      </c>
      <c r="H161" s="128">
        <f>MUST!D161+MUST!E161+MUST!F161</f>
        <v>0</v>
      </c>
      <c r="I161" s="128">
        <f>Phalombe!D161+Phalombe!E161+Phalombe!F161</f>
        <v>3</v>
      </c>
      <c r="J161" s="128">
        <f>Mikolongwe!D161+Mikolongwe!E161+Mikolongwe!F161</f>
        <v>0</v>
      </c>
      <c r="K161" s="128">
        <f>Migowi!D161+Migowi!E161+Migowi!F161</f>
        <v>0</v>
      </c>
      <c r="L161" s="128">
        <f>Nkando!D161+Nkando!E161+Nkando!F161</f>
        <v>0</v>
      </c>
      <c r="M161" s="31">
        <f t="shared" si="76"/>
        <v>16</v>
      </c>
    </row>
    <row r="162" spans="1:13" ht="15.75" x14ac:dyDescent="0.25">
      <c r="A162" s="223"/>
      <c r="B162" s="17" t="s">
        <v>77</v>
      </c>
      <c r="C162" s="4" t="s">
        <v>57</v>
      </c>
      <c r="D162" s="128">
        <f>Mulanje!D162+Mulanje!E162+Mulanje!F162</f>
        <v>1</v>
      </c>
      <c r="E162" s="128">
        <f>Luchenza!D162+Luchenza!E162+Luchenza!F162</f>
        <v>1</v>
      </c>
      <c r="F162" s="128">
        <f>Thyolo!D162+Thyolo!E162+Thyolo!F162</f>
        <v>6</v>
      </c>
      <c r="G162" s="128">
        <f>Muloza!D162+Muloza!E162+Muloza!F162</f>
        <v>2</v>
      </c>
      <c r="H162" s="128">
        <f>MUST!D162+MUST!E162+MUST!F162</f>
        <v>1</v>
      </c>
      <c r="I162" s="128">
        <f>Phalombe!D162+Phalombe!E162+Phalombe!F162</f>
        <v>0</v>
      </c>
      <c r="J162" s="128">
        <f>Mikolongwe!D162+Mikolongwe!E162+Mikolongwe!F162</f>
        <v>0</v>
      </c>
      <c r="K162" s="128">
        <f>Migowi!D162+Migowi!E162+Migowi!F162</f>
        <v>0</v>
      </c>
      <c r="L162" s="128">
        <f>Nkando!D162+Nkando!E162+Nkando!F162</f>
        <v>0</v>
      </c>
      <c r="M162" s="31">
        <f t="shared" si="76"/>
        <v>11</v>
      </c>
    </row>
    <row r="163" spans="1:13" ht="15.75" x14ac:dyDescent="0.25">
      <c r="A163" s="223"/>
      <c r="B163" s="17" t="s">
        <v>69</v>
      </c>
      <c r="C163" s="4" t="s">
        <v>57</v>
      </c>
      <c r="D163" s="128">
        <f>Mulanje!D163+Mulanje!E163+Mulanje!F163</f>
        <v>3</v>
      </c>
      <c r="E163" s="128">
        <f>Luchenza!D163+Luchenza!E163+Luchenza!F163</f>
        <v>3</v>
      </c>
      <c r="F163" s="128">
        <f>Thyolo!D163+Thyolo!E163+Thyolo!F163</f>
        <v>0</v>
      </c>
      <c r="G163" s="128">
        <f>Muloza!D163+Muloza!E163+Muloza!F163</f>
        <v>0</v>
      </c>
      <c r="H163" s="128">
        <f>MUST!D163+MUST!E163+MUST!F163</f>
        <v>0</v>
      </c>
      <c r="I163" s="128">
        <f>Phalombe!D163+Phalombe!E163+Phalombe!F163</f>
        <v>0</v>
      </c>
      <c r="J163" s="128">
        <f>Mikolongwe!D163+Mikolongwe!E163+Mikolongwe!F163</f>
        <v>0</v>
      </c>
      <c r="K163" s="128">
        <f>Migowi!D163+Migowi!E163+Migowi!F163</f>
        <v>0</v>
      </c>
      <c r="L163" s="128">
        <f>Nkando!D163+Nkando!E163+Nkando!F163</f>
        <v>0</v>
      </c>
      <c r="M163" s="31">
        <f t="shared" si="76"/>
        <v>6</v>
      </c>
    </row>
    <row r="164" spans="1:13" ht="15.75" x14ac:dyDescent="0.25">
      <c r="A164" s="223"/>
      <c r="B164" s="17" t="s">
        <v>68</v>
      </c>
      <c r="C164" s="4" t="s">
        <v>57</v>
      </c>
      <c r="D164" s="128">
        <f>Mulanje!D164+Mulanje!E164+Mulanje!F164</f>
        <v>0</v>
      </c>
      <c r="E164" s="128">
        <f>Luchenza!D164+Luchenza!E164+Luchenza!F164</f>
        <v>0</v>
      </c>
      <c r="F164" s="128">
        <f>Thyolo!D164+Thyolo!E164+Thyolo!F164</f>
        <v>0</v>
      </c>
      <c r="G164" s="128">
        <f>Muloza!D164+Muloza!E164+Muloza!F164</f>
        <v>0</v>
      </c>
      <c r="H164" s="128">
        <f>MUST!D164+MUST!E164+MUST!F164</f>
        <v>0</v>
      </c>
      <c r="I164" s="128">
        <f>Phalombe!D164+Phalombe!E164+Phalombe!F164</f>
        <v>0</v>
      </c>
      <c r="J164" s="128">
        <f>Mikolongwe!D164+Mikolongwe!E164+Mikolongwe!F164</f>
        <v>0</v>
      </c>
      <c r="K164" s="128">
        <f>Migowi!D164+Migowi!E164+Migowi!F164</f>
        <v>0</v>
      </c>
      <c r="L164" s="128">
        <f>Nkando!D164+Nkando!E164+Nkando!F164</f>
        <v>0</v>
      </c>
      <c r="M164" s="31">
        <f t="shared" si="76"/>
        <v>0</v>
      </c>
    </row>
    <row r="165" spans="1:13" ht="15.75" x14ac:dyDescent="0.25">
      <c r="A165" s="224"/>
      <c r="B165" s="17" t="s">
        <v>76</v>
      </c>
      <c r="C165" s="4" t="s">
        <v>57</v>
      </c>
      <c r="D165" s="128">
        <f>Mulanje!D165+Mulanje!E165+Mulanje!F165</f>
        <v>0</v>
      </c>
      <c r="E165" s="128">
        <f>Luchenza!D165+Luchenza!E165+Luchenza!F165</f>
        <v>0</v>
      </c>
      <c r="F165" s="128">
        <f>Thyolo!D165+Thyolo!E165+Thyolo!F165</f>
        <v>0</v>
      </c>
      <c r="G165" s="128">
        <f>Muloza!D165+Muloza!E165+Muloza!F165</f>
        <v>0</v>
      </c>
      <c r="H165" s="128">
        <f>MUST!D165+MUST!E165+MUST!F165</f>
        <v>0</v>
      </c>
      <c r="I165" s="128">
        <f>Phalombe!D165+Phalombe!E165+Phalombe!F165</f>
        <v>0</v>
      </c>
      <c r="J165" s="128">
        <f>Mikolongwe!D165+Mikolongwe!E165+Mikolongwe!F165</f>
        <v>0</v>
      </c>
      <c r="K165" s="128">
        <f>Migowi!D165+Migowi!E165+Migowi!F165</f>
        <v>0</v>
      </c>
      <c r="L165" s="128">
        <f>Nkando!D165+Nkando!E165+Nkando!F165</f>
        <v>0</v>
      </c>
      <c r="M165" s="31">
        <f t="shared" si="76"/>
        <v>0</v>
      </c>
    </row>
    <row r="166" spans="1:13" ht="15.75" x14ac:dyDescent="0.25">
      <c r="A166" s="222" t="s">
        <v>75</v>
      </c>
      <c r="B166" s="19" t="s">
        <v>63</v>
      </c>
      <c r="C166" s="4"/>
      <c r="D166" s="120"/>
      <c r="E166" s="120"/>
      <c r="F166" s="120"/>
      <c r="G166" s="120"/>
      <c r="H166" s="120"/>
      <c r="I166" s="120"/>
      <c r="J166" s="120"/>
      <c r="K166" s="120"/>
      <c r="L166" s="120"/>
      <c r="M166" s="31"/>
    </row>
    <row r="167" spans="1:13" ht="15.75" x14ac:dyDescent="0.25">
      <c r="A167" s="223"/>
      <c r="B167" s="17" t="s">
        <v>74</v>
      </c>
      <c r="C167" s="4" t="s">
        <v>57</v>
      </c>
      <c r="D167" s="128">
        <f>Mulanje!D167+Mulanje!E167+Mulanje!F167</f>
        <v>0</v>
      </c>
      <c r="E167" s="128">
        <f>Luchenza!D167+Luchenza!E167+Luchenza!F167</f>
        <v>0</v>
      </c>
      <c r="F167" s="128">
        <f>Thyolo!D167+Thyolo!E167+Thyolo!F167</f>
        <v>27</v>
      </c>
      <c r="G167" s="128">
        <f>Muloza!D167+Muloza!E167+Muloza!F167</f>
        <v>0</v>
      </c>
      <c r="H167" s="128">
        <f>MUST!D167+MUST!E167+MUST!F167</f>
        <v>0</v>
      </c>
      <c r="I167" s="128">
        <f>Phalombe!D167+Phalombe!E167+Phalombe!F167</f>
        <v>0</v>
      </c>
      <c r="J167" s="128">
        <f>Mikolongwe!D167+Mikolongwe!E167+Mikolongwe!F167</f>
        <v>0</v>
      </c>
      <c r="K167" s="128">
        <f>Migowi!D167+Migowi!E167+Migowi!F167</f>
        <v>0</v>
      </c>
      <c r="L167" s="128">
        <f>Nkando!D167+Nkando!E167+Nkando!F167</f>
        <v>0</v>
      </c>
      <c r="M167" s="31">
        <f t="shared" ref="M167:M175" si="77">SUM(D167:L167)</f>
        <v>27</v>
      </c>
    </row>
    <row r="168" spans="1:13" ht="15.75" x14ac:dyDescent="0.25">
      <c r="A168" s="223"/>
      <c r="B168" s="17" t="s">
        <v>73</v>
      </c>
      <c r="C168" s="4" t="s">
        <v>57</v>
      </c>
      <c r="D168" s="128">
        <f>Mulanje!D168+Mulanje!E168+Mulanje!F168</f>
        <v>0</v>
      </c>
      <c r="E168" s="128">
        <f>Luchenza!D168+Luchenza!E168+Luchenza!F168</f>
        <v>0</v>
      </c>
      <c r="F168" s="128">
        <f>Thyolo!D168+Thyolo!E168+Thyolo!F168</f>
        <v>0</v>
      </c>
      <c r="G168" s="128">
        <f>Muloza!D168+Muloza!E168+Muloza!F168</f>
        <v>0</v>
      </c>
      <c r="H168" s="128">
        <f>MUST!D168+MUST!E168+MUST!F168</f>
        <v>0</v>
      </c>
      <c r="I168" s="128">
        <f>Phalombe!D168+Phalombe!E168+Phalombe!F168</f>
        <v>0</v>
      </c>
      <c r="J168" s="128">
        <f>Mikolongwe!D168+Mikolongwe!E168+Mikolongwe!F168</f>
        <v>0</v>
      </c>
      <c r="K168" s="128">
        <f>Migowi!D168+Migowi!E168+Migowi!F168</f>
        <v>0</v>
      </c>
      <c r="L168" s="128">
        <f>Nkando!D168+Nkando!E168+Nkando!F168</f>
        <v>0</v>
      </c>
      <c r="M168" s="31">
        <f t="shared" si="77"/>
        <v>0</v>
      </c>
    </row>
    <row r="169" spans="1:13" ht="15.75" x14ac:dyDescent="0.25">
      <c r="A169" s="223"/>
      <c r="B169" s="17" t="s">
        <v>72</v>
      </c>
      <c r="C169" s="4" t="s">
        <v>57</v>
      </c>
      <c r="D169" s="128">
        <f>Mulanje!D169+Mulanje!E169+Mulanje!F169</f>
        <v>0</v>
      </c>
      <c r="E169" s="128">
        <f>Luchenza!D169+Luchenza!E169+Luchenza!F169</f>
        <v>0</v>
      </c>
      <c r="F169" s="128">
        <f>Thyolo!D169+Thyolo!E169+Thyolo!F169</f>
        <v>0</v>
      </c>
      <c r="G169" s="128">
        <f>Muloza!D169+Muloza!E169+Muloza!F169</f>
        <v>0</v>
      </c>
      <c r="H169" s="128">
        <f>MUST!D169+MUST!E169+MUST!F169</f>
        <v>0</v>
      </c>
      <c r="I169" s="128">
        <f>Phalombe!D169+Phalombe!E169+Phalombe!F169</f>
        <v>0</v>
      </c>
      <c r="J169" s="128">
        <f>Mikolongwe!D169+Mikolongwe!E169+Mikolongwe!F169</f>
        <v>0</v>
      </c>
      <c r="K169" s="128">
        <f>Migowi!D169+Migowi!E169+Migowi!F169</f>
        <v>0</v>
      </c>
      <c r="L169" s="128">
        <f>Nkando!D169+Nkando!E169+Nkando!F169</f>
        <v>0</v>
      </c>
      <c r="M169" s="31">
        <f t="shared" si="77"/>
        <v>0</v>
      </c>
    </row>
    <row r="170" spans="1:13" ht="15.75" x14ac:dyDescent="0.25">
      <c r="A170" s="223"/>
      <c r="B170" s="17" t="s">
        <v>71</v>
      </c>
      <c r="C170" s="4" t="s">
        <v>57</v>
      </c>
      <c r="D170" s="128">
        <f>Mulanje!D170+Mulanje!E170+Mulanje!F170</f>
        <v>0</v>
      </c>
      <c r="E170" s="128">
        <f>Luchenza!D170+Luchenza!E170+Luchenza!F170</f>
        <v>0</v>
      </c>
      <c r="F170" s="128">
        <f>Thyolo!D170+Thyolo!E170+Thyolo!F170</f>
        <v>1</v>
      </c>
      <c r="G170" s="128">
        <f>Muloza!D170+Muloza!E170+Muloza!F170</f>
        <v>0</v>
      </c>
      <c r="H170" s="128">
        <f>MUST!D170+MUST!E170+MUST!F170</f>
        <v>0</v>
      </c>
      <c r="I170" s="128">
        <f>Phalombe!D170+Phalombe!E170+Phalombe!F170</f>
        <v>0</v>
      </c>
      <c r="J170" s="128">
        <f>Mikolongwe!D170+Mikolongwe!E170+Mikolongwe!F170</f>
        <v>0</v>
      </c>
      <c r="K170" s="128">
        <f>Migowi!D170+Migowi!E170+Migowi!F170</f>
        <v>0</v>
      </c>
      <c r="L170" s="128">
        <f>Nkando!D170+Nkando!E170+Nkando!F170</f>
        <v>0</v>
      </c>
      <c r="M170" s="31">
        <f t="shared" si="77"/>
        <v>1</v>
      </c>
    </row>
    <row r="171" spans="1:13" ht="15.75" x14ac:dyDescent="0.25">
      <c r="A171" s="223"/>
      <c r="B171" s="17" t="s">
        <v>52</v>
      </c>
      <c r="C171" s="4" t="s">
        <v>57</v>
      </c>
      <c r="D171" s="128">
        <f>Mulanje!D171+Mulanje!E171+Mulanje!F171</f>
        <v>0</v>
      </c>
      <c r="E171" s="128">
        <f>Luchenza!D171+Luchenza!E171+Luchenza!F171</f>
        <v>0</v>
      </c>
      <c r="F171" s="128">
        <f>Thyolo!D171+Thyolo!E171+Thyolo!F171</f>
        <v>0</v>
      </c>
      <c r="G171" s="128">
        <f>Muloza!D171+Muloza!E171+Muloza!F171</f>
        <v>0</v>
      </c>
      <c r="H171" s="128">
        <f>MUST!D171+MUST!E171+MUST!F171</f>
        <v>0</v>
      </c>
      <c r="I171" s="128">
        <f>Phalombe!D171+Phalombe!E171+Phalombe!F171</f>
        <v>0</v>
      </c>
      <c r="J171" s="128">
        <f>Mikolongwe!D171+Mikolongwe!E171+Mikolongwe!F171</f>
        <v>0</v>
      </c>
      <c r="K171" s="128">
        <f>Migowi!D171+Migowi!E171+Migowi!F171</f>
        <v>0</v>
      </c>
      <c r="L171" s="128">
        <f>Nkando!D171+Nkando!E171+Nkando!F171</f>
        <v>0</v>
      </c>
      <c r="M171" s="31">
        <f t="shared" si="77"/>
        <v>0</v>
      </c>
    </row>
    <row r="172" spans="1:13" ht="15.75" x14ac:dyDescent="0.25">
      <c r="A172" s="223"/>
      <c r="B172" s="17" t="s">
        <v>62</v>
      </c>
      <c r="C172" s="4" t="s">
        <v>57</v>
      </c>
      <c r="D172" s="128">
        <f>Mulanje!D172+Mulanje!E172+Mulanje!F172</f>
        <v>0</v>
      </c>
      <c r="E172" s="128">
        <f>Luchenza!D172+Luchenza!E172+Luchenza!F172</f>
        <v>0</v>
      </c>
      <c r="F172" s="128">
        <f>Thyolo!D172+Thyolo!E172+Thyolo!F172</f>
        <v>0</v>
      </c>
      <c r="G172" s="128">
        <f>Muloza!D172+Muloza!E172+Muloza!F172</f>
        <v>0</v>
      </c>
      <c r="H172" s="128">
        <f>MUST!D172+MUST!E172+MUST!F172</f>
        <v>0</v>
      </c>
      <c r="I172" s="128">
        <f>Phalombe!D172+Phalombe!E172+Phalombe!F172</f>
        <v>0</v>
      </c>
      <c r="J172" s="128">
        <f>Mikolongwe!D172+Mikolongwe!E172+Mikolongwe!F172</f>
        <v>0</v>
      </c>
      <c r="K172" s="128">
        <f>Migowi!D172+Migowi!E172+Migowi!F172</f>
        <v>0</v>
      </c>
      <c r="L172" s="128">
        <f>Nkando!D172+Nkando!E172+Nkando!F172</f>
        <v>0</v>
      </c>
      <c r="M172" s="31">
        <f t="shared" si="77"/>
        <v>0</v>
      </c>
    </row>
    <row r="173" spans="1:13" ht="15.75" x14ac:dyDescent="0.25">
      <c r="A173" s="223"/>
      <c r="B173" s="17" t="s">
        <v>61</v>
      </c>
      <c r="C173" s="4" t="s">
        <v>57</v>
      </c>
      <c r="D173" s="128">
        <f>Mulanje!D173+Mulanje!E173+Mulanje!F173</f>
        <v>0</v>
      </c>
      <c r="E173" s="128">
        <f>Luchenza!D173+Luchenza!E173+Luchenza!F173</f>
        <v>0</v>
      </c>
      <c r="F173" s="128">
        <f>Thyolo!D173+Thyolo!E173+Thyolo!F173</f>
        <v>0</v>
      </c>
      <c r="G173" s="128">
        <f>Muloza!D173+Muloza!E173+Muloza!F173</f>
        <v>0</v>
      </c>
      <c r="H173" s="128">
        <f>MUST!D173+MUST!E173+MUST!F173</f>
        <v>0</v>
      </c>
      <c r="I173" s="128">
        <f>Phalombe!D173+Phalombe!E173+Phalombe!F173</f>
        <v>0</v>
      </c>
      <c r="J173" s="128">
        <f>Mikolongwe!D173+Mikolongwe!E173+Mikolongwe!F173</f>
        <v>0</v>
      </c>
      <c r="K173" s="128">
        <f>Migowi!D173+Migowi!E173+Migowi!F173</f>
        <v>0</v>
      </c>
      <c r="L173" s="128">
        <f>Nkando!D173+Nkando!E173+Nkando!F173</f>
        <v>0</v>
      </c>
      <c r="M173" s="31">
        <f t="shared" si="77"/>
        <v>0</v>
      </c>
    </row>
    <row r="174" spans="1:13" ht="15.75" x14ac:dyDescent="0.25">
      <c r="A174" s="223"/>
      <c r="B174" s="17" t="s">
        <v>60</v>
      </c>
      <c r="C174" s="4" t="s">
        <v>57</v>
      </c>
      <c r="D174" s="128">
        <f>Mulanje!D174+Mulanje!E174+Mulanje!F174</f>
        <v>0</v>
      </c>
      <c r="E174" s="128">
        <f>Luchenza!D174+Luchenza!E174+Luchenza!F174</f>
        <v>0</v>
      </c>
      <c r="F174" s="128">
        <f>Thyolo!D174+Thyolo!E174+Thyolo!F174</f>
        <v>0</v>
      </c>
      <c r="G174" s="128">
        <f>Muloza!D174+Muloza!E174+Muloza!F174</f>
        <v>0</v>
      </c>
      <c r="H174" s="128">
        <f>MUST!D174+MUST!E174+MUST!F174</f>
        <v>0</v>
      </c>
      <c r="I174" s="128">
        <f>Phalombe!D174+Phalombe!E174+Phalombe!F174</f>
        <v>0</v>
      </c>
      <c r="J174" s="128">
        <f>Mikolongwe!D174+Mikolongwe!E174+Mikolongwe!F174</f>
        <v>0</v>
      </c>
      <c r="K174" s="128">
        <f>Migowi!D174+Migowi!E174+Migowi!F174</f>
        <v>0</v>
      </c>
      <c r="L174" s="128">
        <f>Nkando!D174+Nkando!E174+Nkando!F174</f>
        <v>0</v>
      </c>
      <c r="M174" s="31">
        <f t="shared" si="77"/>
        <v>0</v>
      </c>
    </row>
    <row r="175" spans="1:13" ht="15.75" x14ac:dyDescent="0.25">
      <c r="A175" s="224"/>
      <c r="B175" s="17" t="s">
        <v>69</v>
      </c>
      <c r="C175" s="4" t="s">
        <v>57</v>
      </c>
      <c r="D175" s="128">
        <f>Mulanje!D175+Mulanje!E175+Mulanje!F175</f>
        <v>0</v>
      </c>
      <c r="E175" s="128">
        <f>Luchenza!D175+Luchenza!E175+Luchenza!F175</f>
        <v>0</v>
      </c>
      <c r="F175" s="128">
        <f>Thyolo!D175+Thyolo!E175+Thyolo!F175</f>
        <v>0</v>
      </c>
      <c r="G175" s="128">
        <f>Muloza!D175+Muloza!E175+Muloza!F175</f>
        <v>0</v>
      </c>
      <c r="H175" s="128">
        <f>MUST!D175+MUST!E175+MUST!F175</f>
        <v>0</v>
      </c>
      <c r="I175" s="128">
        <f>Phalombe!D175+Phalombe!E175+Phalombe!F175</f>
        <v>0</v>
      </c>
      <c r="J175" s="128">
        <f>Mikolongwe!D175+Mikolongwe!E175+Mikolongwe!F175</f>
        <v>0</v>
      </c>
      <c r="K175" s="128">
        <f>Migowi!D175+Migowi!E175+Migowi!F175</f>
        <v>0</v>
      </c>
      <c r="L175" s="128">
        <f>Nkando!D175+Nkando!E175+Nkando!F175</f>
        <v>0</v>
      </c>
      <c r="M175" s="31">
        <f t="shared" si="77"/>
        <v>0</v>
      </c>
    </row>
    <row r="176" spans="1:13" ht="15.75" x14ac:dyDescent="0.25">
      <c r="A176" s="222" t="s">
        <v>70</v>
      </c>
      <c r="B176" s="19" t="s">
        <v>63</v>
      </c>
      <c r="C176" s="4"/>
      <c r="D176" s="120"/>
      <c r="E176" s="120"/>
      <c r="F176" s="120"/>
      <c r="G176" s="120"/>
      <c r="H176" s="120"/>
      <c r="I176" s="120"/>
      <c r="J176" s="120"/>
      <c r="K176" s="120"/>
      <c r="L176" s="120"/>
      <c r="M176" s="31"/>
    </row>
    <row r="177" spans="1:13" ht="15.75" x14ac:dyDescent="0.25">
      <c r="A177" s="223"/>
      <c r="B177" s="17" t="s">
        <v>60</v>
      </c>
      <c r="C177" s="4" t="s">
        <v>57</v>
      </c>
      <c r="D177" s="128">
        <f>Mulanje!D177+Mulanje!E177+Mulanje!F177</f>
        <v>0</v>
      </c>
      <c r="E177" s="128">
        <f>Luchenza!D177+Luchenza!E177+Luchenza!F177</f>
        <v>0</v>
      </c>
      <c r="F177" s="128">
        <f>Thyolo!D177+Thyolo!E177+Thyolo!F177</f>
        <v>0</v>
      </c>
      <c r="G177" s="128">
        <f>Muloza!D177+Muloza!E177+Muloza!F177</f>
        <v>0</v>
      </c>
      <c r="H177" s="128">
        <f>MUST!D177+MUST!E177+MUST!F177</f>
        <v>0</v>
      </c>
      <c r="I177" s="128">
        <f>Phalombe!D177+Phalombe!E177+Phalombe!F177</f>
        <v>0</v>
      </c>
      <c r="J177" s="128">
        <f>Mikolongwe!D177+Mikolongwe!E177+Mikolongwe!F177</f>
        <v>0</v>
      </c>
      <c r="K177" s="128">
        <f>Migowi!D177+Migowi!E177+Migowi!F177</f>
        <v>0</v>
      </c>
      <c r="L177" s="128">
        <f>Nkando!D177+Nkando!E177+Nkando!F177</f>
        <v>0</v>
      </c>
      <c r="M177" s="31">
        <f t="shared" ref="M177:M182" si="78">SUM(D177:L177)</f>
        <v>0</v>
      </c>
    </row>
    <row r="178" spans="1:13" ht="15.75" x14ac:dyDescent="0.25">
      <c r="A178" s="223"/>
      <c r="B178" s="17" t="s">
        <v>69</v>
      </c>
      <c r="C178" s="4" t="s">
        <v>57</v>
      </c>
      <c r="D178" s="128">
        <f>Mulanje!D178+Mulanje!E178+Mulanje!F178</f>
        <v>0</v>
      </c>
      <c r="E178" s="128">
        <f>Luchenza!D178+Luchenza!E178+Luchenza!F178</f>
        <v>0</v>
      </c>
      <c r="F178" s="128">
        <f>Thyolo!D178+Thyolo!E178+Thyolo!F178</f>
        <v>0</v>
      </c>
      <c r="G178" s="128">
        <f>Muloza!D178+Muloza!E178+Muloza!F178</f>
        <v>0</v>
      </c>
      <c r="H178" s="128">
        <f>MUST!D178+MUST!E178+MUST!F178</f>
        <v>0</v>
      </c>
      <c r="I178" s="128">
        <f>Phalombe!D178+Phalombe!E178+Phalombe!F178</f>
        <v>0</v>
      </c>
      <c r="J178" s="128">
        <f>Mikolongwe!D178+Mikolongwe!E178+Mikolongwe!F178</f>
        <v>0</v>
      </c>
      <c r="K178" s="128">
        <f>Migowi!D178+Migowi!E178+Migowi!F178</f>
        <v>0</v>
      </c>
      <c r="L178" s="128">
        <f>Nkando!D178+Nkando!E178+Nkando!F178</f>
        <v>0</v>
      </c>
      <c r="M178" s="31">
        <f t="shared" si="78"/>
        <v>0</v>
      </c>
    </row>
    <row r="179" spans="1:13" ht="15.75" x14ac:dyDescent="0.25">
      <c r="A179" s="223"/>
      <c r="B179" s="17" t="s">
        <v>68</v>
      </c>
      <c r="C179" s="4" t="s">
        <v>57</v>
      </c>
      <c r="D179" s="128">
        <f>Mulanje!D179+Mulanje!E179+Mulanje!F179</f>
        <v>0</v>
      </c>
      <c r="E179" s="128">
        <f>Luchenza!D179+Luchenza!E179+Luchenza!F179</f>
        <v>0</v>
      </c>
      <c r="F179" s="128">
        <f>Thyolo!D179+Thyolo!E179+Thyolo!F179</f>
        <v>0</v>
      </c>
      <c r="G179" s="128">
        <f>Muloza!D179+Muloza!E179+Muloza!F179</f>
        <v>0</v>
      </c>
      <c r="H179" s="128">
        <f>MUST!D179+MUST!E179+MUST!F179</f>
        <v>0</v>
      </c>
      <c r="I179" s="128">
        <f>Phalombe!D179+Phalombe!E179+Phalombe!F179</f>
        <v>0</v>
      </c>
      <c r="J179" s="128">
        <f>Mikolongwe!D179+Mikolongwe!E179+Mikolongwe!F179</f>
        <v>0</v>
      </c>
      <c r="K179" s="128">
        <f>Migowi!D179+Migowi!E179+Migowi!F179</f>
        <v>0</v>
      </c>
      <c r="L179" s="128">
        <f>Nkando!D179+Nkando!E179+Nkando!F179</f>
        <v>0</v>
      </c>
      <c r="M179" s="31">
        <f t="shared" si="78"/>
        <v>0</v>
      </c>
    </row>
    <row r="180" spans="1:13" ht="15.75" x14ac:dyDescent="0.25">
      <c r="A180" s="223"/>
      <c r="B180" s="17" t="s">
        <v>67</v>
      </c>
      <c r="C180" s="4" t="s">
        <v>57</v>
      </c>
      <c r="D180" s="128">
        <f>Mulanje!D180+Mulanje!E180+Mulanje!F180</f>
        <v>0</v>
      </c>
      <c r="E180" s="128">
        <f>Luchenza!D180+Luchenza!E180+Luchenza!F180</f>
        <v>0</v>
      </c>
      <c r="F180" s="128">
        <f>Thyolo!D180+Thyolo!E180+Thyolo!F180</f>
        <v>0</v>
      </c>
      <c r="G180" s="128">
        <f>Muloza!D180+Muloza!E180+Muloza!F180</f>
        <v>0</v>
      </c>
      <c r="H180" s="128">
        <f>MUST!D180+MUST!E180+MUST!F180</f>
        <v>0</v>
      </c>
      <c r="I180" s="128">
        <f>Phalombe!D180+Phalombe!E180+Phalombe!F180</f>
        <v>0</v>
      </c>
      <c r="J180" s="128">
        <f>Mikolongwe!D180+Mikolongwe!E180+Mikolongwe!F180</f>
        <v>0</v>
      </c>
      <c r="K180" s="128">
        <f>Migowi!D180+Migowi!E180+Migowi!F180</f>
        <v>0</v>
      </c>
      <c r="L180" s="128">
        <f>Nkando!D180+Nkando!E180+Nkando!F180</f>
        <v>0</v>
      </c>
      <c r="M180" s="31">
        <f t="shared" si="78"/>
        <v>0</v>
      </c>
    </row>
    <row r="181" spans="1:13" ht="15.75" x14ac:dyDescent="0.25">
      <c r="A181" s="223"/>
      <c r="B181" s="17" t="s">
        <v>66</v>
      </c>
      <c r="C181" s="4" t="s">
        <v>57</v>
      </c>
      <c r="D181" s="128">
        <f>Mulanje!D181+Mulanje!E181+Mulanje!F181</f>
        <v>0</v>
      </c>
      <c r="E181" s="128">
        <f>Luchenza!D181+Luchenza!E181+Luchenza!F181</f>
        <v>0</v>
      </c>
      <c r="F181" s="128">
        <f>Thyolo!D181+Thyolo!E181+Thyolo!F181</f>
        <v>0</v>
      </c>
      <c r="G181" s="128">
        <f>Muloza!D181+Muloza!E181+Muloza!F181</f>
        <v>0</v>
      </c>
      <c r="H181" s="128">
        <f>MUST!D181+MUST!E181+MUST!F181</f>
        <v>0</v>
      </c>
      <c r="I181" s="128">
        <f>Phalombe!D181+Phalombe!E181+Phalombe!F181</f>
        <v>0</v>
      </c>
      <c r="J181" s="128">
        <f>Mikolongwe!D181+Mikolongwe!E181+Mikolongwe!F181</f>
        <v>0</v>
      </c>
      <c r="K181" s="128">
        <f>Migowi!D181+Migowi!E181+Migowi!F181</f>
        <v>0</v>
      </c>
      <c r="L181" s="128">
        <f>Nkando!D181+Nkando!E181+Nkando!F181</f>
        <v>0</v>
      </c>
      <c r="M181" s="31">
        <f t="shared" si="78"/>
        <v>0</v>
      </c>
    </row>
    <row r="182" spans="1:13" ht="15.75" x14ac:dyDescent="0.25">
      <c r="A182" s="224"/>
      <c r="B182" s="17" t="s">
        <v>65</v>
      </c>
      <c r="C182" s="4" t="s">
        <v>57</v>
      </c>
      <c r="D182" s="128">
        <f>Mulanje!D182+Mulanje!E182+Mulanje!F182</f>
        <v>0</v>
      </c>
      <c r="E182" s="128">
        <f>Luchenza!D182+Luchenza!E182+Luchenza!F182</f>
        <v>0</v>
      </c>
      <c r="F182" s="128">
        <f>Thyolo!D182+Thyolo!E182+Thyolo!F182</f>
        <v>0</v>
      </c>
      <c r="G182" s="128">
        <f>Muloza!D182+Muloza!E182+Muloza!F182</f>
        <v>0</v>
      </c>
      <c r="H182" s="128">
        <f>MUST!D182+MUST!E182+MUST!F182</f>
        <v>0</v>
      </c>
      <c r="I182" s="128">
        <f>Phalombe!D182+Phalombe!E182+Phalombe!F182</f>
        <v>0</v>
      </c>
      <c r="J182" s="128">
        <f>Mikolongwe!D182+Mikolongwe!E182+Mikolongwe!F182</f>
        <v>0</v>
      </c>
      <c r="K182" s="128">
        <f>Migowi!D182+Migowi!E182+Migowi!F182</f>
        <v>0</v>
      </c>
      <c r="L182" s="128">
        <f>Nkando!D182+Nkando!E182+Nkando!F182</f>
        <v>0</v>
      </c>
      <c r="M182" s="31">
        <f t="shared" si="78"/>
        <v>0</v>
      </c>
    </row>
    <row r="183" spans="1:13" ht="15.75" x14ac:dyDescent="0.25">
      <c r="A183" s="222" t="s">
        <v>211</v>
      </c>
      <c r="B183" s="19" t="s">
        <v>63</v>
      </c>
      <c r="C183" s="4"/>
      <c r="D183" s="120"/>
      <c r="E183" s="120"/>
      <c r="F183" s="120"/>
      <c r="G183" s="120"/>
      <c r="H183" s="120"/>
      <c r="I183" s="120"/>
      <c r="J183" s="120"/>
      <c r="K183" s="120"/>
      <c r="L183" s="120"/>
      <c r="M183" s="31"/>
    </row>
    <row r="184" spans="1:13" ht="15.75" x14ac:dyDescent="0.25">
      <c r="A184" s="223"/>
      <c r="B184" s="17" t="s">
        <v>73</v>
      </c>
      <c r="C184" s="4" t="s">
        <v>57</v>
      </c>
      <c r="D184" s="128">
        <f>Mulanje!D184+Mulanje!E184+Mulanje!F184</f>
        <v>0</v>
      </c>
      <c r="E184" s="128">
        <f>Luchenza!D184+Luchenza!E184+Luchenza!F184</f>
        <v>0</v>
      </c>
      <c r="F184" s="128">
        <f>Thyolo!D184+Thyolo!E184+Thyolo!F184</f>
        <v>0</v>
      </c>
      <c r="G184" s="128">
        <f>Muloza!D184+Muloza!E184+Muloza!F184</f>
        <v>0</v>
      </c>
      <c r="H184" s="128">
        <f>MUST!D184+MUST!E184+MUST!F184</f>
        <v>0</v>
      </c>
      <c r="I184" s="128">
        <f>Phalombe!D184+Phalombe!E184+Phalombe!F184</f>
        <v>0</v>
      </c>
      <c r="J184" s="128">
        <f>Mikolongwe!D184+Mikolongwe!E184+Mikolongwe!F184</f>
        <v>0</v>
      </c>
      <c r="K184" s="128">
        <f>Migowi!D184+Migowi!E184+Migowi!F184</f>
        <v>0</v>
      </c>
      <c r="L184" s="128">
        <f>Nkando!D184+Nkando!E184+Nkando!F184</f>
        <v>0</v>
      </c>
      <c r="M184" s="31">
        <f>SUM(D184:L184)</f>
        <v>0</v>
      </c>
    </row>
    <row r="185" spans="1:13" ht="15.75" x14ac:dyDescent="0.25">
      <c r="A185" s="223"/>
      <c r="B185" s="17" t="s">
        <v>72</v>
      </c>
      <c r="C185" s="4" t="s">
        <v>57</v>
      </c>
      <c r="D185" s="128">
        <f>Mulanje!D185+Mulanje!E185+Mulanje!F185</f>
        <v>0</v>
      </c>
      <c r="E185" s="128">
        <f>Luchenza!D185+Luchenza!E185+Luchenza!F185</f>
        <v>0</v>
      </c>
      <c r="F185" s="128">
        <f>Thyolo!D185+Thyolo!E185+Thyolo!F185</f>
        <v>0</v>
      </c>
      <c r="G185" s="128">
        <f>Muloza!D185+Muloza!E185+Muloza!F185</f>
        <v>0</v>
      </c>
      <c r="H185" s="128">
        <f>MUST!D185+MUST!E185+MUST!F185</f>
        <v>0</v>
      </c>
      <c r="I185" s="128">
        <f>Phalombe!D185+Phalombe!E185+Phalombe!F185</f>
        <v>0</v>
      </c>
      <c r="J185" s="128">
        <f>Mikolongwe!D185+Mikolongwe!E185+Mikolongwe!F185</f>
        <v>0</v>
      </c>
      <c r="K185" s="128">
        <f>Migowi!D185+Migowi!E185+Migowi!F185</f>
        <v>0</v>
      </c>
      <c r="L185" s="128">
        <f>Nkando!D185+Nkando!E185+Nkando!F185</f>
        <v>0</v>
      </c>
      <c r="M185" s="31">
        <f>SUM(D185:L185)</f>
        <v>0</v>
      </c>
    </row>
    <row r="186" spans="1:13" ht="15.75" x14ac:dyDescent="0.25">
      <c r="A186" s="223"/>
      <c r="B186" s="17" t="s">
        <v>53</v>
      </c>
      <c r="C186" s="4" t="s">
        <v>57</v>
      </c>
      <c r="D186" s="128">
        <f>Mulanje!D186+Mulanje!E186+Mulanje!F186</f>
        <v>0</v>
      </c>
      <c r="E186" s="128">
        <f>Luchenza!D186+Luchenza!E186+Luchenza!F186</f>
        <v>0</v>
      </c>
      <c r="F186" s="128">
        <f>Thyolo!D186+Thyolo!E186+Thyolo!F186</f>
        <v>0</v>
      </c>
      <c r="G186" s="128">
        <f>Muloza!D186+Muloza!E186+Muloza!F186</f>
        <v>0</v>
      </c>
      <c r="H186" s="128">
        <f>MUST!D186+MUST!E186+MUST!F186</f>
        <v>0</v>
      </c>
      <c r="I186" s="128">
        <f>Phalombe!D186+Phalombe!E186+Phalombe!F186</f>
        <v>0</v>
      </c>
      <c r="J186" s="128">
        <f>Mikolongwe!D186+Mikolongwe!E186+Mikolongwe!F186</f>
        <v>0</v>
      </c>
      <c r="K186" s="128">
        <f>Migowi!D186+Migowi!E186+Migowi!F186</f>
        <v>0</v>
      </c>
      <c r="L186" s="128">
        <f>Nkando!D186+Nkando!E186+Nkando!F186</f>
        <v>0</v>
      </c>
      <c r="M186" s="31">
        <f>SUM(D186:L186)</f>
        <v>0</v>
      </c>
    </row>
    <row r="187" spans="1:13" ht="15.75" x14ac:dyDescent="0.25">
      <c r="A187" s="224"/>
      <c r="B187" s="17" t="s">
        <v>52</v>
      </c>
      <c r="C187" s="4" t="s">
        <v>57</v>
      </c>
      <c r="D187" s="128">
        <f>Mulanje!D187+Mulanje!E187+Mulanje!F187</f>
        <v>0</v>
      </c>
      <c r="E187" s="128">
        <f>Luchenza!D187+Luchenza!E187+Luchenza!F187</f>
        <v>0</v>
      </c>
      <c r="F187" s="128">
        <f>Thyolo!D187+Thyolo!E187+Thyolo!F187</f>
        <v>0</v>
      </c>
      <c r="G187" s="128">
        <f>Muloza!D187+Muloza!E187+Muloza!F187</f>
        <v>0</v>
      </c>
      <c r="H187" s="128">
        <f>MUST!D187+MUST!E187+MUST!F187</f>
        <v>0</v>
      </c>
      <c r="I187" s="128">
        <f>Phalombe!D187+Phalombe!E187+Phalombe!F187</f>
        <v>0</v>
      </c>
      <c r="J187" s="128">
        <f>Mikolongwe!D187+Mikolongwe!E187+Mikolongwe!F187</f>
        <v>0</v>
      </c>
      <c r="K187" s="128">
        <f>Migowi!D187+Migowi!E187+Migowi!F187</f>
        <v>0</v>
      </c>
      <c r="L187" s="128">
        <f>Nkando!D187+Nkando!E187+Nkando!F187</f>
        <v>0</v>
      </c>
      <c r="M187" s="31">
        <f>SUM(D187:L187)</f>
        <v>0</v>
      </c>
    </row>
    <row r="188" spans="1:13" ht="15.75" x14ac:dyDescent="0.25">
      <c r="A188" s="222" t="s">
        <v>64</v>
      </c>
      <c r="B188" s="19" t="s">
        <v>63</v>
      </c>
      <c r="C188" s="4"/>
      <c r="D188" s="120"/>
      <c r="E188" s="120"/>
      <c r="F188" s="120"/>
      <c r="G188" s="120"/>
      <c r="H188" s="120"/>
      <c r="I188" s="120"/>
      <c r="J188" s="120"/>
      <c r="K188" s="120"/>
      <c r="L188" s="120"/>
      <c r="M188" s="31"/>
    </row>
    <row r="189" spans="1:13" ht="15.75" x14ac:dyDescent="0.25">
      <c r="A189" s="223"/>
      <c r="B189" s="18" t="s">
        <v>52</v>
      </c>
      <c r="C189" s="4" t="s">
        <v>57</v>
      </c>
      <c r="D189" s="128">
        <f>Mulanje!D189+Mulanje!E189+Mulanje!F189</f>
        <v>0</v>
      </c>
      <c r="E189" s="128">
        <f>Luchenza!D189+Luchenza!E189+Luchenza!F189</f>
        <v>0</v>
      </c>
      <c r="F189" s="128">
        <f>Thyolo!D189+Thyolo!E189+Thyolo!F189</f>
        <v>0</v>
      </c>
      <c r="G189" s="128">
        <f>Muloza!D189+Muloza!E189+Muloza!F189</f>
        <v>0</v>
      </c>
      <c r="H189" s="128">
        <f>MUST!D189+MUST!E189+MUST!F189</f>
        <v>0</v>
      </c>
      <c r="I189" s="128">
        <f>Phalombe!D189+Phalombe!E189+Phalombe!F189</f>
        <v>0</v>
      </c>
      <c r="J189" s="128">
        <f>Mikolongwe!D189+Mikolongwe!E189+Mikolongwe!F189</f>
        <v>0</v>
      </c>
      <c r="K189" s="128">
        <f>Migowi!D189+Migowi!E189+Migowi!F189</f>
        <v>0</v>
      </c>
      <c r="L189" s="128">
        <f>Nkando!D189+Nkando!E189+Nkando!F189</f>
        <v>0</v>
      </c>
      <c r="M189" s="31">
        <f>SUM(D189:L189)</f>
        <v>0</v>
      </c>
    </row>
    <row r="190" spans="1:13" ht="15.75" x14ac:dyDescent="0.25">
      <c r="A190" s="223"/>
      <c r="B190" s="17" t="s">
        <v>62</v>
      </c>
      <c r="C190" s="4" t="s">
        <v>57</v>
      </c>
      <c r="D190" s="128">
        <f>Mulanje!D190+Mulanje!E190+Mulanje!F190</f>
        <v>0</v>
      </c>
      <c r="E190" s="128">
        <f>Luchenza!D190+Luchenza!E190+Luchenza!F190</f>
        <v>0</v>
      </c>
      <c r="F190" s="128">
        <f>Thyolo!D190+Thyolo!E190+Thyolo!F190</f>
        <v>0</v>
      </c>
      <c r="G190" s="128">
        <f>Muloza!D190+Muloza!E190+Muloza!F190</f>
        <v>0</v>
      </c>
      <c r="H190" s="128">
        <f>MUST!D190+MUST!E190+MUST!F190</f>
        <v>0</v>
      </c>
      <c r="I190" s="128">
        <f>Phalombe!D190+Phalombe!E190+Phalombe!F190</f>
        <v>0</v>
      </c>
      <c r="J190" s="128">
        <f>Mikolongwe!D190+Mikolongwe!E190+Mikolongwe!F190</f>
        <v>0</v>
      </c>
      <c r="K190" s="128">
        <f>Migowi!D190+Migowi!E190+Migowi!F190</f>
        <v>0</v>
      </c>
      <c r="L190" s="128">
        <f>Nkando!D190+Nkando!E190+Nkando!F190</f>
        <v>0</v>
      </c>
      <c r="M190" s="31">
        <f>SUM(D190:L190)</f>
        <v>0</v>
      </c>
    </row>
    <row r="191" spans="1:13" ht="15.75" x14ac:dyDescent="0.25">
      <c r="A191" s="223"/>
      <c r="B191" s="17" t="s">
        <v>61</v>
      </c>
      <c r="C191" s="4" t="s">
        <v>57</v>
      </c>
      <c r="D191" s="128">
        <f>Mulanje!D191+Mulanje!E191+Mulanje!F191</f>
        <v>0</v>
      </c>
      <c r="E191" s="128">
        <f>Luchenza!D191+Luchenza!E191+Luchenza!F191</f>
        <v>0</v>
      </c>
      <c r="F191" s="128">
        <f>Thyolo!D191+Thyolo!E191+Thyolo!F191</f>
        <v>0</v>
      </c>
      <c r="G191" s="128">
        <f>Muloza!D191+Muloza!E191+Muloza!F191</f>
        <v>0</v>
      </c>
      <c r="H191" s="128">
        <f>MUST!D191+MUST!E191+MUST!F191</f>
        <v>0</v>
      </c>
      <c r="I191" s="128">
        <f>Phalombe!D191+Phalombe!E191+Phalombe!F191</f>
        <v>0</v>
      </c>
      <c r="J191" s="128">
        <f>Mikolongwe!D191+Mikolongwe!E191+Mikolongwe!F191</f>
        <v>0</v>
      </c>
      <c r="K191" s="128">
        <f>Migowi!D191+Migowi!E191+Migowi!F191</f>
        <v>0</v>
      </c>
      <c r="L191" s="128">
        <f>Nkando!D191+Nkando!E191+Nkando!F191</f>
        <v>0</v>
      </c>
      <c r="M191" s="31">
        <f>SUM(D191:L191)</f>
        <v>0</v>
      </c>
    </row>
    <row r="192" spans="1:13" ht="15.75" x14ac:dyDescent="0.25">
      <c r="A192" s="224"/>
      <c r="B192" s="17" t="s">
        <v>60</v>
      </c>
      <c r="C192" s="4" t="s">
        <v>57</v>
      </c>
      <c r="D192" s="128">
        <f>Mulanje!D192+Mulanje!E192+Mulanje!F192</f>
        <v>0</v>
      </c>
      <c r="E192" s="128">
        <f>Luchenza!D192+Luchenza!E192+Luchenza!F192</f>
        <v>0</v>
      </c>
      <c r="F192" s="128">
        <f>Thyolo!D192+Thyolo!E192+Thyolo!F192</f>
        <v>0</v>
      </c>
      <c r="G192" s="128">
        <f>Muloza!D192+Muloza!E192+Muloza!F192</f>
        <v>0</v>
      </c>
      <c r="H192" s="128">
        <f>MUST!D192+MUST!E192+MUST!F192</f>
        <v>0</v>
      </c>
      <c r="I192" s="128">
        <f>Phalombe!D192+Phalombe!E192+Phalombe!F192</f>
        <v>0</v>
      </c>
      <c r="J192" s="128">
        <f>Mikolongwe!D192+Mikolongwe!E192+Mikolongwe!F192</f>
        <v>0</v>
      </c>
      <c r="K192" s="128">
        <f>Migowi!D192+Migowi!E192+Migowi!F192</f>
        <v>0</v>
      </c>
      <c r="L192" s="128">
        <f>Nkando!D192+Nkando!E192+Nkando!F192</f>
        <v>0</v>
      </c>
      <c r="M192" s="31">
        <f>SUM(D192:L192)</f>
        <v>0</v>
      </c>
    </row>
    <row r="193" spans="1:13" ht="15.75" x14ac:dyDescent="0.25">
      <c r="A193" s="244" t="s">
        <v>59</v>
      </c>
      <c r="B193" s="245"/>
      <c r="C193" s="4"/>
      <c r="D193" s="127">
        <f>SUM(D153:D192)</f>
        <v>116</v>
      </c>
      <c r="E193" s="127">
        <f t="shared" ref="E193:K193" si="79">SUM(E153:E192)</f>
        <v>455</v>
      </c>
      <c r="F193" s="127">
        <f t="shared" si="79"/>
        <v>310</v>
      </c>
      <c r="G193" s="127">
        <f t="shared" si="79"/>
        <v>55</v>
      </c>
      <c r="H193" s="127">
        <f t="shared" si="79"/>
        <v>22</v>
      </c>
      <c r="I193" s="127">
        <f t="shared" si="79"/>
        <v>70</v>
      </c>
      <c r="J193" s="127">
        <f t="shared" si="79"/>
        <v>15</v>
      </c>
      <c r="K193" s="127">
        <f t="shared" si="79"/>
        <v>1</v>
      </c>
      <c r="L193" s="127">
        <f t="shared" ref="L193" si="80">SUM(L153:L192)</f>
        <v>9</v>
      </c>
      <c r="M193" s="50">
        <f>SUM(M153:M192)</f>
        <v>1053</v>
      </c>
    </row>
    <row r="194" spans="1:13" ht="15.75" x14ac:dyDescent="0.25">
      <c r="A194" s="217" t="s">
        <v>58</v>
      </c>
      <c r="B194" s="218"/>
      <c r="C194" s="4" t="s">
        <v>57</v>
      </c>
      <c r="D194" s="128">
        <f>Mulanje!D194+Mulanje!E194+Mulanje!F194</f>
        <v>0</v>
      </c>
      <c r="E194" s="128">
        <f>Luchenza!D194+Luchenza!E194+Luchenza!F194</f>
        <v>0</v>
      </c>
      <c r="F194" s="128">
        <f>Thyolo!D194+Thyolo!E194+Thyolo!F194</f>
        <v>13</v>
      </c>
      <c r="G194" s="128">
        <f>Muloza!D194+Muloza!E194+Muloza!F194</f>
        <v>0</v>
      </c>
      <c r="H194" s="128">
        <f>MUST!D194+MUST!E194+MUST!F194</f>
        <v>33</v>
      </c>
      <c r="I194" s="128">
        <f>Phalombe!D194+Phalombe!E194+Phalombe!F194</f>
        <v>0</v>
      </c>
      <c r="J194" s="128">
        <f>Mikolongwe!D194+Mikolongwe!E194+Mikolongwe!F194</f>
        <v>0</v>
      </c>
      <c r="K194" s="128">
        <f>Migowi!D194+Migowi!E194+Migowi!F194</f>
        <v>0</v>
      </c>
      <c r="L194" s="128">
        <f>Nkando!D194+Nkando!E194+Nkando!F194</f>
        <v>0</v>
      </c>
      <c r="M194" s="149">
        <f>SUM(D194:L194)</f>
        <v>46</v>
      </c>
    </row>
    <row r="195" spans="1:13" ht="15.75" x14ac:dyDescent="0.25">
      <c r="A195" s="219"/>
      <c r="B195" s="220"/>
      <c r="C195" s="14" t="s">
        <v>55</v>
      </c>
      <c r="D195" s="128">
        <f>Mulanje!D195+Mulanje!E195+Mulanje!F195</f>
        <v>0</v>
      </c>
      <c r="E195" s="128">
        <f>Luchenza!D195+Luchenza!E195+Luchenza!F195</f>
        <v>0</v>
      </c>
      <c r="F195" s="128">
        <f>Thyolo!D195+Thyolo!E195+Thyolo!F195</f>
        <v>42</v>
      </c>
      <c r="G195" s="128">
        <f>Muloza!D195+Muloza!E195+Muloza!F195</f>
        <v>0</v>
      </c>
      <c r="H195" s="128">
        <f>MUST!D195+MUST!E195+MUST!F195</f>
        <v>43</v>
      </c>
      <c r="I195" s="128">
        <f>Phalombe!D195+Phalombe!E195+Phalombe!F195</f>
        <v>0</v>
      </c>
      <c r="J195" s="128">
        <f>Mikolongwe!D195+Mikolongwe!E195+Mikolongwe!F195</f>
        <v>0</v>
      </c>
      <c r="K195" s="128">
        <f>Migowi!D195+Migowi!E195+Migowi!F195</f>
        <v>0</v>
      </c>
      <c r="L195" s="128">
        <f>Nkando!D195+Nkando!E195+Nkando!F195</f>
        <v>0</v>
      </c>
      <c r="M195" s="149">
        <f>SUM(D195:L195)</f>
        <v>85</v>
      </c>
    </row>
    <row r="196" spans="1:13" ht="15.75" x14ac:dyDescent="0.25">
      <c r="A196" s="75" t="s">
        <v>204</v>
      </c>
      <c r="B196" s="76"/>
      <c r="C196" s="14" t="s">
        <v>55</v>
      </c>
      <c r="D196" s="128">
        <f>Mulanje!D196+Mulanje!E196+Mulanje!F196</f>
        <v>66</v>
      </c>
      <c r="E196" s="128">
        <f>Mulanje!E196+Mulanje!F196+Mulanje!G196</f>
        <v>42</v>
      </c>
      <c r="F196" s="128">
        <f>Mulanje!F196+Mulanje!G196+Mulanje!H196</f>
        <v>18</v>
      </c>
      <c r="G196" s="128">
        <f>Mulanje!G196+Mulanje!H196+Mulanje!I196</f>
        <v>0</v>
      </c>
      <c r="H196" s="128">
        <f>Mulanje!H196+Mulanje!I196+Mulanje!J196</f>
        <v>0</v>
      </c>
      <c r="I196" s="128">
        <f>Mulanje!I196+Mulanje!J196+Mulanje!K196</f>
        <v>0</v>
      </c>
      <c r="J196" s="128">
        <f>Mulanje!J196+Mulanje!K196+Mulanje!L196</f>
        <v>0</v>
      </c>
      <c r="K196" s="128">
        <f>Mulanje!K196+Mulanje!L196+Mulanje!M196</f>
        <v>0</v>
      </c>
      <c r="L196" s="128">
        <f>Mulanje!L196+Mulanje!M196+Mulanje!N196</f>
        <v>0</v>
      </c>
      <c r="M196" s="149">
        <f>SUM(D196:L196)/10</f>
        <v>12.6</v>
      </c>
    </row>
    <row r="197" spans="1:13" ht="15.75" x14ac:dyDescent="0.25">
      <c r="A197" s="176" t="s">
        <v>56</v>
      </c>
      <c r="B197" s="177"/>
      <c r="C197" s="14" t="s">
        <v>55</v>
      </c>
      <c r="D197" s="150">
        <f>Mulanje!D197+Mulanje!E197+Mulanje!F197</f>
        <v>0</v>
      </c>
      <c r="E197" s="150">
        <f>Luchenza!D197+Luchenza!E197+Luchenza!F197</f>
        <v>86</v>
      </c>
      <c r="F197" s="150">
        <f>Thyolo!D197+Thyolo!E197+Thyolo!F197</f>
        <v>225</v>
      </c>
      <c r="G197" s="150">
        <f>Muloza!D197+Muloza!E197+Muloza!F197</f>
        <v>119</v>
      </c>
      <c r="H197" s="150">
        <f>MUST!D197+MUST!E197+MUST!F197</f>
        <v>38</v>
      </c>
      <c r="I197" s="150">
        <f>Phalombe!D197+Phalombe!E197+Phalombe!F197</f>
        <v>0</v>
      </c>
      <c r="J197" s="150">
        <f>Mikolongwe!D197+Mikolongwe!E197+Mikolongwe!F197</f>
        <v>96</v>
      </c>
      <c r="K197" s="150">
        <f>Migowi!D197+Migowi!E197+Migowi!F197</f>
        <v>223</v>
      </c>
      <c r="L197" s="150">
        <f>Nkando!D197+Nkando!E197+Nkando!F197</f>
        <v>0</v>
      </c>
      <c r="M197" s="149">
        <f>SUM(D197:L197)</f>
        <v>787</v>
      </c>
    </row>
    <row r="198" spans="1:13" x14ac:dyDescent="0.25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4"/>
    </row>
    <row r="199" spans="1:13" ht="15.75" x14ac:dyDescent="0.25">
      <c r="A199" s="217" t="s">
        <v>54</v>
      </c>
      <c r="B199" s="69" t="s">
        <v>53</v>
      </c>
      <c r="C199" s="4" t="s">
        <v>47</v>
      </c>
      <c r="D199" s="128">
        <f>Mulanje!D199+Mulanje!E199+Mulanje!F199</f>
        <v>0</v>
      </c>
      <c r="E199" s="128">
        <f>Luchenza!D199+Luchenza!E199+Luchenza!F199</f>
        <v>0</v>
      </c>
      <c r="F199" s="128">
        <f>Thyolo!D199+Thyolo!E199+Thyolo!F199</f>
        <v>0</v>
      </c>
      <c r="G199" s="128">
        <f>Muloza!D199+Muloza!E199+Muloza!F199</f>
        <v>0</v>
      </c>
      <c r="H199" s="128">
        <f>MUST!D199+MUST!E199+MUST!F199</f>
        <v>0</v>
      </c>
      <c r="I199" s="128">
        <f>Phalombe!D199+Phalombe!E199+Phalombe!F199</f>
        <v>0</v>
      </c>
      <c r="J199" s="128">
        <f>Mikolongwe!D199+Mikolongwe!E199+Mikolongwe!F199</f>
        <v>0</v>
      </c>
      <c r="K199" s="128">
        <f>Migowi!D199+Migowi!E199+Migowi!F199</f>
        <v>0</v>
      </c>
      <c r="L199" s="128">
        <f>Nkando!D199+Nkando!E199+Nkando!F199</f>
        <v>0</v>
      </c>
      <c r="M199" s="8">
        <f t="shared" ref="M199:M204" si="81">SUM(D199:L199)</f>
        <v>0</v>
      </c>
    </row>
    <row r="200" spans="1:13" ht="15.75" x14ac:dyDescent="0.25">
      <c r="A200" s="221"/>
      <c r="B200" s="69" t="s">
        <v>52</v>
      </c>
      <c r="C200" s="4" t="s">
        <v>47</v>
      </c>
      <c r="D200" s="128">
        <f>Mulanje!D200+Mulanje!E200+Mulanje!F200</f>
        <v>0</v>
      </c>
      <c r="E200" s="128">
        <f>Luchenza!D200+Luchenza!E200+Luchenza!F200</f>
        <v>0</v>
      </c>
      <c r="F200" s="128">
        <f>Thyolo!D200+Thyolo!E200+Thyolo!F200</f>
        <v>4032</v>
      </c>
      <c r="G200" s="128">
        <f>Muloza!D200+Muloza!E200+Muloza!F200</f>
        <v>0</v>
      </c>
      <c r="H200" s="128">
        <f>MUST!D200+MUST!E200+MUST!F200</f>
        <v>0</v>
      </c>
      <c r="I200" s="128">
        <f>Phalombe!D200+Phalombe!E200+Phalombe!F200</f>
        <v>0</v>
      </c>
      <c r="J200" s="128">
        <f>Mikolongwe!D200+Mikolongwe!E200+Mikolongwe!F200</f>
        <v>0</v>
      </c>
      <c r="K200" s="128">
        <f>Migowi!D200+Migowi!E200+Migowi!F200</f>
        <v>0</v>
      </c>
      <c r="L200" s="128">
        <f>Nkando!D200+Nkando!E200+Nkando!F200</f>
        <v>0</v>
      </c>
      <c r="M200" s="8">
        <f t="shared" si="81"/>
        <v>4032</v>
      </c>
    </row>
    <row r="201" spans="1:13" ht="15.75" x14ac:dyDescent="0.25">
      <c r="A201" s="221"/>
      <c r="B201" s="69" t="s">
        <v>51</v>
      </c>
      <c r="C201" s="4" t="s">
        <v>47</v>
      </c>
      <c r="D201" s="128">
        <f>Mulanje!D201+Mulanje!E201+Mulanje!F201</f>
        <v>0</v>
      </c>
      <c r="E201" s="128">
        <f>Luchenza!D201+Luchenza!E201+Luchenza!F201</f>
        <v>0</v>
      </c>
      <c r="F201" s="128">
        <f>Thyolo!D201+Thyolo!E201+Thyolo!F201</f>
        <v>0</v>
      </c>
      <c r="G201" s="128">
        <f>Muloza!D201+Muloza!E201+Muloza!F201</f>
        <v>0</v>
      </c>
      <c r="H201" s="128">
        <f>MUST!D201+MUST!E201+MUST!F201</f>
        <v>0</v>
      </c>
      <c r="I201" s="128">
        <f>Phalombe!D201+Phalombe!E201+Phalombe!F201</f>
        <v>0</v>
      </c>
      <c r="J201" s="128">
        <f>Mikolongwe!D201+Mikolongwe!E201+Mikolongwe!F201</f>
        <v>0</v>
      </c>
      <c r="K201" s="128">
        <f>Migowi!D201+Migowi!E201+Migowi!F201</f>
        <v>0</v>
      </c>
      <c r="L201" s="128">
        <f>Nkando!D201+Nkando!E201+Nkando!F201</f>
        <v>0</v>
      </c>
      <c r="M201" s="8">
        <f t="shared" si="81"/>
        <v>0</v>
      </c>
    </row>
    <row r="202" spans="1:13" ht="15.75" x14ac:dyDescent="0.25">
      <c r="A202" s="221"/>
      <c r="B202" s="69" t="s">
        <v>50</v>
      </c>
      <c r="C202" s="4" t="s">
        <v>47</v>
      </c>
      <c r="D202" s="128">
        <f>Mulanje!D202+Mulanje!E202+Mulanje!F202</f>
        <v>1000</v>
      </c>
      <c r="E202" s="128">
        <f>Luchenza!D202+Luchenza!E202+Luchenza!F202</f>
        <v>0</v>
      </c>
      <c r="F202" s="128">
        <f>Thyolo!D202+Thyolo!E202+Thyolo!F202</f>
        <v>0</v>
      </c>
      <c r="G202" s="128">
        <f>Muloza!D202+Muloza!E202+Muloza!F202</f>
        <v>0</v>
      </c>
      <c r="H202" s="128">
        <f>MUST!D202+MUST!E202+MUST!F202</f>
        <v>0</v>
      </c>
      <c r="I202" s="128">
        <f>Phalombe!D202+Phalombe!E202+Phalombe!F202</f>
        <v>0</v>
      </c>
      <c r="J202" s="128">
        <f>Mikolongwe!D202+Mikolongwe!E202+Mikolongwe!F202</f>
        <v>0</v>
      </c>
      <c r="K202" s="128">
        <f>Migowi!D202+Migowi!E202+Migowi!F202</f>
        <v>0</v>
      </c>
      <c r="L202" s="128">
        <f>Nkando!D202+Nkando!E202+Nkando!F202</f>
        <v>0</v>
      </c>
      <c r="M202" s="8">
        <f t="shared" si="81"/>
        <v>1000</v>
      </c>
    </row>
    <row r="203" spans="1:13" ht="15.75" x14ac:dyDescent="0.25">
      <c r="A203" s="219"/>
      <c r="B203" s="69" t="s">
        <v>49</v>
      </c>
      <c r="C203" s="4" t="s">
        <v>47</v>
      </c>
      <c r="D203" s="128">
        <f>Mulanje!D203+Mulanje!E203+Mulanje!F203</f>
        <v>0</v>
      </c>
      <c r="E203" s="128">
        <f>Luchenza!D203+Luchenza!E203+Luchenza!F203</f>
        <v>0</v>
      </c>
      <c r="F203" s="128">
        <f>Thyolo!D203+Thyolo!E203+Thyolo!F203</f>
        <v>0</v>
      </c>
      <c r="G203" s="128">
        <f>Muloza!D203+Muloza!E203+Muloza!F203</f>
        <v>0</v>
      </c>
      <c r="H203" s="128">
        <f>MUST!D203+MUST!E203+MUST!F203</f>
        <v>0</v>
      </c>
      <c r="I203" s="128">
        <f>Phalombe!D203+Phalombe!E203+Phalombe!F203</f>
        <v>0</v>
      </c>
      <c r="J203" s="128">
        <f>Mikolongwe!D203+Mikolongwe!E203+Mikolongwe!F203</f>
        <v>0</v>
      </c>
      <c r="K203" s="128">
        <f>Migowi!D203+Migowi!E203+Migowi!F203</f>
        <v>0</v>
      </c>
      <c r="L203" s="128">
        <f>Nkando!D203+Nkando!E203+Nkando!F203</f>
        <v>0</v>
      </c>
      <c r="M203" s="8">
        <f t="shared" si="81"/>
        <v>0</v>
      </c>
    </row>
    <row r="204" spans="1:13" ht="15.75" x14ac:dyDescent="0.25">
      <c r="A204" s="73" t="s">
        <v>48</v>
      </c>
      <c r="B204" s="69"/>
      <c r="C204" s="4" t="s">
        <v>47</v>
      </c>
      <c r="D204" s="13">
        <f t="shared" ref="D204:K204" si="82">SUM(D199:D203)</f>
        <v>1000</v>
      </c>
      <c r="E204" s="13">
        <f t="shared" si="82"/>
        <v>0</v>
      </c>
      <c r="F204" s="13">
        <f t="shared" si="82"/>
        <v>4032</v>
      </c>
      <c r="G204" s="13">
        <f t="shared" si="82"/>
        <v>0</v>
      </c>
      <c r="H204" s="13">
        <f t="shared" si="82"/>
        <v>0</v>
      </c>
      <c r="I204" s="13">
        <f t="shared" si="82"/>
        <v>0</v>
      </c>
      <c r="J204" s="13">
        <f t="shared" si="82"/>
        <v>0</v>
      </c>
      <c r="K204" s="13">
        <f t="shared" si="82"/>
        <v>0</v>
      </c>
      <c r="L204" s="13">
        <f t="shared" ref="L204" si="83">SUM(L199:L203)</f>
        <v>0</v>
      </c>
      <c r="M204" s="100">
        <f t="shared" si="81"/>
        <v>5032</v>
      </c>
    </row>
    <row r="205" spans="1:13" x14ac:dyDescent="0.25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4"/>
    </row>
    <row r="206" spans="1:13" ht="15.75" x14ac:dyDescent="0.25">
      <c r="A206" s="176" t="s">
        <v>43</v>
      </c>
      <c r="B206" s="177"/>
      <c r="C206" s="4" t="s">
        <v>31</v>
      </c>
      <c r="D206" s="13">
        <f>Mulanje!D206+Mulanje!E206+Mulanje!F206</f>
        <v>50374825.369999997</v>
      </c>
      <c r="E206" s="13">
        <f>Luchenza!D206+Luchenza!E206+Luchenza!F206</f>
        <v>15431844.15</v>
      </c>
      <c r="F206" s="13">
        <f>Thyolo!D206+Thyolo!E206+Thyolo!F206</f>
        <v>11651788.439999999</v>
      </c>
      <c r="G206" s="13">
        <f>Muloza!D206+Muloza!E206+Muloza!F206</f>
        <v>8137943.4399999995</v>
      </c>
      <c r="H206" s="13">
        <f>MUST!D206+MUST!E206+MUST!F206</f>
        <v>1456159.85</v>
      </c>
      <c r="I206" s="13">
        <f>Phalombe!D206+Phalombe!E206+Phalombe!F206</f>
        <v>10482562.450000001</v>
      </c>
      <c r="J206" s="13">
        <f>Mikolongwe!D206+Mikolongwe!E206+Mikolongwe!F206</f>
        <v>0</v>
      </c>
      <c r="K206" s="13">
        <f>Migowi!D206+Migowi!E206+Migowi!F206</f>
        <v>0</v>
      </c>
      <c r="L206" s="13">
        <f>Nkando!D206+Nkando!E206+Nkando!F206</f>
        <v>0</v>
      </c>
      <c r="M206" s="34">
        <f>SUM(D206:L206)</f>
        <v>97535123.699999988</v>
      </c>
    </row>
    <row r="207" spans="1:13" ht="15.75" x14ac:dyDescent="0.25">
      <c r="A207" s="176" t="s">
        <v>42</v>
      </c>
      <c r="B207" s="177"/>
      <c r="C207" s="4" t="s">
        <v>31</v>
      </c>
      <c r="D207" s="13">
        <f>Mulanje!D207+Mulanje!E207+Mulanje!F207</f>
        <v>503400</v>
      </c>
      <c r="E207" s="13">
        <f>Luchenza!D207+Luchenza!E207+Luchenza!F207</f>
        <v>25500</v>
      </c>
      <c r="F207" s="13">
        <f>Thyolo!D207+Thyolo!E207+Thyolo!F207</f>
        <v>15000</v>
      </c>
      <c r="G207" s="13">
        <f>Muloza!D207+Muloza!E207+Muloza!F207</f>
        <v>9000</v>
      </c>
      <c r="H207" s="13">
        <f>MUST!D207+MUST!E207+MUST!F207</f>
        <v>0</v>
      </c>
      <c r="I207" s="13">
        <f>Phalombe!D207+Phalombe!E207+Phalombe!F207</f>
        <v>0</v>
      </c>
      <c r="J207" s="13">
        <f>Mikolongwe!D207+Mikolongwe!E207+Mikolongwe!F207</f>
        <v>0</v>
      </c>
      <c r="K207" s="13">
        <f>Migowi!D207+Migowi!E207+Migowi!F207</f>
        <v>0</v>
      </c>
      <c r="L207" s="13">
        <f>Nkando!D207+Nkando!E207+Nkando!F207</f>
        <v>0</v>
      </c>
      <c r="M207" s="34">
        <f>SUM(D207:L207)</f>
        <v>552900</v>
      </c>
    </row>
    <row r="208" spans="1:13" ht="15.75" x14ac:dyDescent="0.25">
      <c r="A208" s="182" t="s">
        <v>41</v>
      </c>
      <c r="B208" s="183"/>
      <c r="C208" s="4" t="s">
        <v>31</v>
      </c>
      <c r="D208" s="13">
        <f>Mulanje!D208+Mulanje!E208+Mulanje!F208</f>
        <v>1179350</v>
      </c>
      <c r="E208" s="13">
        <f>Luchenza!D208+Luchenza!E208+Luchenza!F208</f>
        <v>85706</v>
      </c>
      <c r="F208" s="13">
        <f>Thyolo!D208+Thyolo!E208+Thyolo!F208</f>
        <v>98000</v>
      </c>
      <c r="G208" s="13">
        <f>Muloza!D208+Muloza!E208+Muloza!F208</f>
        <v>0</v>
      </c>
      <c r="H208" s="13">
        <f>MUST!D208+MUST!E208+MUST!F208</f>
        <v>0</v>
      </c>
      <c r="I208" s="13">
        <f>Phalombe!D208+Phalombe!E208+Phalombe!F208</f>
        <v>0</v>
      </c>
      <c r="J208" s="13">
        <f>Mikolongwe!D208+Mikolongwe!E208+Mikolongwe!F208</f>
        <v>0</v>
      </c>
      <c r="K208" s="13">
        <f>Migowi!D208+Migowi!E208+Migowi!F208</f>
        <v>0</v>
      </c>
      <c r="L208" s="13">
        <f>Nkando!D208+Nkando!E208+Nkando!F208</f>
        <v>0</v>
      </c>
      <c r="M208" s="34">
        <f>SUM(D208:L208)</f>
        <v>1363056</v>
      </c>
    </row>
    <row r="209" spans="1:13" ht="15.75" x14ac:dyDescent="0.25">
      <c r="A209" s="176" t="s">
        <v>40</v>
      </c>
      <c r="B209" s="177"/>
      <c r="C209" s="4" t="s">
        <v>31</v>
      </c>
      <c r="D209" s="13">
        <f>Mulanje!D209+Mulanje!E209+Mulanje!F209</f>
        <v>658200</v>
      </c>
      <c r="E209" s="13">
        <f>Luchenza!D209+Luchenza!E209+Luchenza!F209</f>
        <v>0</v>
      </c>
      <c r="F209" s="13">
        <f>Thyolo!D209+Thyolo!E209+Thyolo!F209</f>
        <v>0</v>
      </c>
      <c r="G209" s="13">
        <f>Muloza!D209+Muloza!E209+Muloza!F209</f>
        <v>0</v>
      </c>
      <c r="H209" s="13">
        <f>MUST!D209+MUST!E209+MUST!F209</f>
        <v>0</v>
      </c>
      <c r="I209" s="13">
        <f>Phalombe!D209+Phalombe!E209+Phalombe!F209</f>
        <v>0</v>
      </c>
      <c r="J209" s="13">
        <f>Mikolongwe!D209+Mikolongwe!E209+Mikolongwe!F209</f>
        <v>0</v>
      </c>
      <c r="K209" s="13">
        <f>Migowi!D209+Migowi!E209+Migowi!F209</f>
        <v>0</v>
      </c>
      <c r="L209" s="13">
        <f>Nkando!D209+Nkando!E209+Nkando!F209</f>
        <v>0</v>
      </c>
      <c r="M209" s="34">
        <f>SUM(D209:L209)</f>
        <v>658200</v>
      </c>
    </row>
    <row r="210" spans="1:13" ht="15.75" x14ac:dyDescent="0.25">
      <c r="A210" s="225" t="s">
        <v>45</v>
      </c>
      <c r="B210" s="226"/>
      <c r="C210" s="4" t="s">
        <v>31</v>
      </c>
      <c r="D210" s="9">
        <f t="shared" ref="D210:K210" si="84">SUM(D206:D209)</f>
        <v>52715775.369999997</v>
      </c>
      <c r="E210" s="9">
        <f t="shared" si="84"/>
        <v>15543050.15</v>
      </c>
      <c r="F210" s="9">
        <f t="shared" si="84"/>
        <v>11764788.439999999</v>
      </c>
      <c r="G210" s="9">
        <f t="shared" si="84"/>
        <v>8146943.4399999995</v>
      </c>
      <c r="H210" s="9">
        <f t="shared" si="84"/>
        <v>1456159.85</v>
      </c>
      <c r="I210" s="9">
        <f t="shared" si="84"/>
        <v>10482562.450000001</v>
      </c>
      <c r="J210" s="9">
        <f t="shared" si="84"/>
        <v>0</v>
      </c>
      <c r="K210" s="9">
        <f t="shared" si="84"/>
        <v>0</v>
      </c>
      <c r="L210" s="9">
        <f t="shared" ref="L210" si="85">SUM(L206:L209)</f>
        <v>0</v>
      </c>
      <c r="M210" s="34">
        <f>SUM(D210:L210)</f>
        <v>100109279.69999999</v>
      </c>
    </row>
    <row r="211" spans="1:13" x14ac:dyDescent="0.25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4"/>
    </row>
    <row r="212" spans="1:13" ht="15.75" x14ac:dyDescent="0.25">
      <c r="A212" s="176" t="s">
        <v>43</v>
      </c>
      <c r="B212" s="177"/>
      <c r="C212" s="4" t="s">
        <v>31</v>
      </c>
      <c r="D212" s="13">
        <f>Mulanje!D212+Mulanje!E212+Mulanje!F212</f>
        <v>32987657.529999994</v>
      </c>
      <c r="E212" s="13">
        <f>Luchenza!D212+Luchenza!E212+Luchenza!F212</f>
        <v>19849944.199999999</v>
      </c>
      <c r="F212" s="13">
        <f>Thyolo!D212+Thyolo!E212+Thyolo!F212</f>
        <v>16454675</v>
      </c>
      <c r="G212" s="13">
        <f>Muloza!D212+Muloza!E212+Muloza!F212</f>
        <v>12333393</v>
      </c>
      <c r="H212" s="13">
        <f>MUST!D212+MUST!E212+MUST!F212</f>
        <v>7277555</v>
      </c>
      <c r="I212" s="13">
        <f>Phalombe!D212+Phalombe!E212+Phalombe!F212</f>
        <v>12027338.91</v>
      </c>
      <c r="J212" s="13">
        <f>Mikolongwe!D212+Mikolongwe!E212+Mikolongwe!F212</f>
        <v>1956200</v>
      </c>
      <c r="K212" s="13">
        <f>Migowi!D212+Migowi!E212+Migowi!F212</f>
        <v>3233643.09</v>
      </c>
      <c r="L212" s="13">
        <f>Nkando!D212+Nkando!E212+Nkando!F212</f>
        <v>7250796</v>
      </c>
      <c r="M212" s="35">
        <f>SUM(D212:L212)</f>
        <v>113371202.72999999</v>
      </c>
    </row>
    <row r="213" spans="1:13" ht="15.75" x14ac:dyDescent="0.25">
      <c r="A213" s="176" t="s">
        <v>42</v>
      </c>
      <c r="B213" s="177"/>
      <c r="C213" s="4" t="s">
        <v>31</v>
      </c>
      <c r="D213" s="13">
        <f>Mulanje!D213+Mulanje!E213+Mulanje!F213</f>
        <v>0</v>
      </c>
      <c r="E213" s="13">
        <f>Luchenza!D213+Luchenza!E213+Luchenza!F213</f>
        <v>136150</v>
      </c>
      <c r="F213" s="13">
        <f>Thyolo!D213+Thyolo!E213+Thyolo!F213</f>
        <v>5900</v>
      </c>
      <c r="G213" s="13">
        <f>Muloza!D213+Muloza!E213+Muloza!F213</f>
        <v>12600</v>
      </c>
      <c r="H213" s="13">
        <f>MUST!D213+MUST!E213+MUST!F213</f>
        <v>0</v>
      </c>
      <c r="I213" s="13">
        <f>Phalombe!D213+Phalombe!E213+Phalombe!F213</f>
        <v>29900</v>
      </c>
      <c r="J213" s="13">
        <f>Mikolongwe!D213+Mikolongwe!E213+Mikolongwe!F213</f>
        <v>0</v>
      </c>
      <c r="K213" s="13">
        <f>Migowi!D213+Migowi!E213+Migowi!F213</f>
        <v>0</v>
      </c>
      <c r="L213" s="13">
        <f>Nkando!D213+Nkando!E213+Nkando!F213</f>
        <v>12700</v>
      </c>
      <c r="M213" s="35">
        <f>SUM(D213:L213)</f>
        <v>197250</v>
      </c>
    </row>
    <row r="214" spans="1:13" ht="15.75" x14ac:dyDescent="0.25">
      <c r="A214" s="182" t="s">
        <v>41</v>
      </c>
      <c r="B214" s="183"/>
      <c r="C214" s="4" t="s">
        <v>31</v>
      </c>
      <c r="D214" s="13">
        <f>Mulanje!D214+Mulanje!E214+Mulanje!F214</f>
        <v>12573467.09</v>
      </c>
      <c r="E214" s="13">
        <f>Luchenza!D214+Luchenza!E214+Luchenza!F214</f>
        <v>3760720</v>
      </c>
      <c r="F214" s="13">
        <f>Thyolo!D214+Thyolo!E214+Thyolo!F214</f>
        <v>5078727</v>
      </c>
      <c r="G214" s="13">
        <f>Muloza!D214+Muloza!E214+Muloza!F214</f>
        <v>1515250</v>
      </c>
      <c r="H214" s="13">
        <f>MUST!D214+MUST!E214+MUST!F214</f>
        <v>12284000</v>
      </c>
      <c r="I214" s="13">
        <f>Phalombe!D214+Phalombe!E214+Phalombe!F214</f>
        <v>1687310</v>
      </c>
      <c r="J214" s="13">
        <f>Mikolongwe!D214+Mikolongwe!E214+Mikolongwe!F214</f>
        <v>0</v>
      </c>
      <c r="K214" s="13">
        <f>Migowi!D214+Migowi!E214+Migowi!F214</f>
        <v>0</v>
      </c>
      <c r="L214" s="13">
        <f>Nkando!D214+Nkando!E214+Nkando!F214</f>
        <v>327200</v>
      </c>
      <c r="M214" s="35">
        <f>SUM(D214:L214)</f>
        <v>37226674.090000004</v>
      </c>
    </row>
    <row r="215" spans="1:13" ht="15.75" x14ac:dyDescent="0.25">
      <c r="A215" s="176" t="s">
        <v>40</v>
      </c>
      <c r="B215" s="177"/>
      <c r="C215" s="4" t="s">
        <v>31</v>
      </c>
      <c r="D215" s="13">
        <f>Mulanje!D215+Mulanje!E215+Mulanje!F215</f>
        <v>53579906.029999994</v>
      </c>
      <c r="E215" s="13">
        <f>Luchenza!D215+Luchenza!E215+Luchenza!F215</f>
        <v>1639909</v>
      </c>
      <c r="F215" s="13">
        <f>Thyolo!D215+Thyolo!E215+Thyolo!F215</f>
        <v>20653793.799999997</v>
      </c>
      <c r="G215" s="13">
        <f>Muloza!D215+Muloza!E215+Muloza!F215</f>
        <v>5056400</v>
      </c>
      <c r="H215" s="13">
        <f>MUST!D215+MUST!E215+MUST!F215</f>
        <v>121638459.09999999</v>
      </c>
      <c r="I215" s="13">
        <f>Phalombe!D215+Phalombe!E215+Phalombe!F215</f>
        <v>8830640</v>
      </c>
      <c r="J215" s="13">
        <f>Mikolongwe!D215+Mikolongwe!E215+Mikolongwe!F215</f>
        <v>2196300</v>
      </c>
      <c r="K215" s="13">
        <f>Migowi!D215+Migowi!E215+Migowi!F215</f>
        <v>0</v>
      </c>
      <c r="L215" s="13">
        <f>Nkando!D215+Nkando!E215+Nkando!F215</f>
        <v>117600</v>
      </c>
      <c r="M215" s="35">
        <f>SUM(D215:L215)</f>
        <v>213713007.92999998</v>
      </c>
    </row>
    <row r="216" spans="1:13" ht="15.75" x14ac:dyDescent="0.25">
      <c r="A216" s="225" t="s">
        <v>39</v>
      </c>
      <c r="B216" s="226"/>
      <c r="C216" s="4" t="s">
        <v>31</v>
      </c>
      <c r="D216" s="9">
        <f t="shared" ref="D216:K216" si="86">SUM(D212:D215)</f>
        <v>99141030.649999976</v>
      </c>
      <c r="E216" s="9">
        <f t="shared" si="86"/>
        <v>25386723.199999999</v>
      </c>
      <c r="F216" s="9">
        <f t="shared" si="86"/>
        <v>42193095.799999997</v>
      </c>
      <c r="G216" s="9">
        <f t="shared" si="86"/>
        <v>18917643</v>
      </c>
      <c r="H216" s="9">
        <f>SUM(H212:H215)</f>
        <v>141200014.09999999</v>
      </c>
      <c r="I216" s="9">
        <f t="shared" si="86"/>
        <v>22575188.91</v>
      </c>
      <c r="J216" s="9">
        <f t="shared" si="86"/>
        <v>4152500</v>
      </c>
      <c r="K216" s="9">
        <f t="shared" si="86"/>
        <v>3233643.09</v>
      </c>
      <c r="L216" s="9">
        <f t="shared" ref="L216" si="87">SUM(L212:L215)</f>
        <v>7708296</v>
      </c>
      <c r="M216" s="35">
        <f>SUM(D216:L216)</f>
        <v>364508134.75</v>
      </c>
    </row>
    <row r="217" spans="1:13" ht="15.75" x14ac:dyDescent="0.25">
      <c r="A217" s="66" t="s">
        <v>38</v>
      </c>
      <c r="B217" s="67"/>
      <c r="C217" s="4" t="s">
        <v>31</v>
      </c>
      <c r="D217" s="9">
        <f>D210+D216</f>
        <v>151856806.01999998</v>
      </c>
      <c r="E217" s="9">
        <f t="shared" ref="E217:M217" si="88">E210+E216</f>
        <v>40929773.350000001</v>
      </c>
      <c r="F217" s="9">
        <f t="shared" si="88"/>
        <v>53957884.239999995</v>
      </c>
      <c r="G217" s="9">
        <f t="shared" si="88"/>
        <v>27064586.439999998</v>
      </c>
      <c r="H217" s="9">
        <f t="shared" si="88"/>
        <v>142656173.94999999</v>
      </c>
      <c r="I217" s="9">
        <f t="shared" si="88"/>
        <v>33057751.359999999</v>
      </c>
      <c r="J217" s="9">
        <f t="shared" si="88"/>
        <v>4152500</v>
      </c>
      <c r="K217" s="9">
        <f t="shared" si="88"/>
        <v>3233643.09</v>
      </c>
      <c r="L217" s="9">
        <f t="shared" ref="L217" si="89">L210+L216</f>
        <v>7708296</v>
      </c>
      <c r="M217" s="35">
        <f t="shared" si="88"/>
        <v>464617414.44999999</v>
      </c>
    </row>
    <row r="218" spans="1:13" x14ac:dyDescent="0.25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4"/>
    </row>
    <row r="219" spans="1:13" ht="15.75" x14ac:dyDescent="0.25">
      <c r="A219" s="176" t="s">
        <v>35</v>
      </c>
      <c r="B219" s="177"/>
      <c r="C219" s="4" t="s">
        <v>31</v>
      </c>
      <c r="D219" s="13">
        <f>Mulanje!D219+Mulanje!E219+Mulanje!F219</f>
        <v>45050496.340000004</v>
      </c>
      <c r="E219" s="13">
        <f>Luchenza!D219+Luchenza!E219+Luchenza!F219</f>
        <v>14501405.059999999</v>
      </c>
      <c r="F219" s="13">
        <f>Thyolo!D219+Thyolo!E219+Thyolo!F219</f>
        <v>11051328.050000001</v>
      </c>
      <c r="G219" s="13">
        <f>Muloza!D219+Muloza!E219+Muloza!F219</f>
        <v>8581682.8599999994</v>
      </c>
      <c r="H219" s="13">
        <f>MUST!D219+MUST!E219+MUST!F219</f>
        <v>2201338.38</v>
      </c>
      <c r="I219" s="13">
        <f>Phalombe!D219+Phalombe!E219+Phalombe!F219</f>
        <v>6829370.4399999995</v>
      </c>
      <c r="J219" s="13">
        <f>Mikolongwe!D222+Mikolongwe!E219+Mikolongwe!F219</f>
        <v>0</v>
      </c>
      <c r="K219" s="13">
        <f>Migowi!D219+Migowi!E219+Migowi!F219</f>
        <v>0</v>
      </c>
      <c r="L219" s="13">
        <f>Nkando!D219+Nkando!E219+Nkando!F219</f>
        <v>0</v>
      </c>
      <c r="M219" s="35">
        <f>SUM(D219:L219)</f>
        <v>88215621.129999995</v>
      </c>
    </row>
    <row r="220" spans="1:13" ht="15.75" x14ac:dyDescent="0.25">
      <c r="A220" s="176" t="s">
        <v>34</v>
      </c>
      <c r="B220" s="177"/>
      <c r="C220" s="4" t="s">
        <v>31</v>
      </c>
      <c r="D220" s="13">
        <f>Mulanje!D220+Mulanje!E220+Mulanje!F220</f>
        <v>524107.2</v>
      </c>
      <c r="E220" s="13">
        <f>Luchenza!D220+Luchenza!E220+Luchenza!F220</f>
        <v>12624.48</v>
      </c>
      <c r="F220" s="13">
        <f>Thyolo!D220+Thyolo!E220+Thyolo!F220</f>
        <v>2295.36</v>
      </c>
      <c r="G220" s="13">
        <f>Muloza!D220+Muloza!E220+Muloza!F220</f>
        <v>7929.68</v>
      </c>
      <c r="H220" s="13">
        <f>MUST!D220+MUST!E220+MUST!F220</f>
        <v>0</v>
      </c>
      <c r="I220" s="13">
        <f>Phalombe!D220+Phalombe!E220+Phalombe!F220</f>
        <v>0</v>
      </c>
      <c r="J220" s="13">
        <f>Mikolongwe!D220+Mikolongwe!E220+Mikolongwe!F220</f>
        <v>0</v>
      </c>
      <c r="K220" s="13">
        <f>Migowi!D220+Migowi!E220+Migowi!F220</f>
        <v>0</v>
      </c>
      <c r="L220" s="13">
        <f>Nkando!D220+Nkando!E220+Nkando!F220</f>
        <v>0</v>
      </c>
      <c r="M220" s="35">
        <f>SUM(D220:L220)</f>
        <v>546956.72000000009</v>
      </c>
    </row>
    <row r="221" spans="1:13" ht="15.75" x14ac:dyDescent="0.25">
      <c r="A221" s="176" t="s">
        <v>33</v>
      </c>
      <c r="B221" s="177"/>
      <c r="C221" s="4" t="s">
        <v>31</v>
      </c>
      <c r="D221" s="13">
        <f>Mulanje!D221+Mulanje!E221+Mulanje!F221</f>
        <v>1070215.73</v>
      </c>
      <c r="E221" s="13">
        <f>Luchenza!D221+Luchenza!E221+Luchenza!F221</f>
        <v>79860.53</v>
      </c>
      <c r="F221" s="13">
        <f>Thyolo!D221+Thyolo!E221+Thyolo!F221</f>
        <v>0</v>
      </c>
      <c r="G221" s="13">
        <f>Muloza!D221+Muloza!E221+Muloza!F221</f>
        <v>237980</v>
      </c>
      <c r="H221" s="13">
        <f>MUST!D221+MUST!E221+MUST!F221</f>
        <v>224289.99</v>
      </c>
      <c r="I221" s="13">
        <f>Phalombe!D221+Phalombe!E221+Phalombe!F221</f>
        <v>0</v>
      </c>
      <c r="J221" s="13">
        <f>Mikolongwe!D221+Mikolongwe!E221+Mikolongwe!F221</f>
        <v>0</v>
      </c>
      <c r="K221" s="13">
        <f>Migowi!D221+Migowi!E221+Migowi!F221</f>
        <v>0</v>
      </c>
      <c r="L221" s="13">
        <f>Nkando!D221+Nkando!E221+Nkando!F221</f>
        <v>0</v>
      </c>
      <c r="M221" s="35">
        <f>SUM(D221:L221)</f>
        <v>1612346.25</v>
      </c>
    </row>
    <row r="222" spans="1:13" ht="15.75" x14ac:dyDescent="0.25">
      <c r="A222" s="176" t="s">
        <v>32</v>
      </c>
      <c r="B222" s="177"/>
      <c r="C222" s="4" t="s">
        <v>31</v>
      </c>
      <c r="D222" s="13">
        <f>Mulanje!D222+Mulanje!E222+Mulanje!F222</f>
        <v>2165123.02</v>
      </c>
      <c r="E222" s="13">
        <f>Luchenza!D222+Luchenza!E222+Luchenza!F222</f>
        <v>158381.54</v>
      </c>
      <c r="F222" s="13">
        <f>Thyolo!D222+Thyolo!E222+Thyolo!F222</f>
        <v>321577.03999999998</v>
      </c>
      <c r="G222" s="13">
        <f>Muloza!D222+Muloza!E222+Muloza!F222</f>
        <v>362178.79</v>
      </c>
      <c r="H222" s="13">
        <f>MUST!D222+MUST!E222+MUST!F222</f>
        <v>0</v>
      </c>
      <c r="I222" s="13">
        <f>Phalombe!D222+Phalombe!E222+Phalombe!F222</f>
        <v>28618.61</v>
      </c>
      <c r="J222" s="13">
        <f>Mikolongwe!D222+Mikolongwe!E222+Mikolongwe!F222</f>
        <v>0</v>
      </c>
      <c r="K222" s="13">
        <f>Migowi!D222+Migowi!E222+Migowi!F222</f>
        <v>0</v>
      </c>
      <c r="L222" s="13">
        <f>Nkando!D222+Nkando!E222+Nkando!F222</f>
        <v>0</v>
      </c>
      <c r="M222" s="35">
        <f>SUM(D222:L222)</f>
        <v>3035879</v>
      </c>
    </row>
    <row r="223" spans="1:13" ht="15.75" x14ac:dyDescent="0.25">
      <c r="A223" s="225" t="s">
        <v>36</v>
      </c>
      <c r="B223" s="226"/>
      <c r="C223" s="4" t="s">
        <v>31</v>
      </c>
      <c r="D223" s="10">
        <f t="shared" ref="D223:K223" si="90">SUM(D219:D222)</f>
        <v>48809942.290000007</v>
      </c>
      <c r="E223" s="9">
        <f t="shared" si="90"/>
        <v>14752271.609999998</v>
      </c>
      <c r="F223" s="9">
        <f t="shared" si="90"/>
        <v>11375200.449999999</v>
      </c>
      <c r="G223" s="9">
        <f t="shared" si="90"/>
        <v>9189771.3299999982</v>
      </c>
      <c r="H223" s="9">
        <f t="shared" si="90"/>
        <v>2425628.37</v>
      </c>
      <c r="I223" s="9">
        <f t="shared" si="90"/>
        <v>6857989.0499999998</v>
      </c>
      <c r="J223" s="12">
        <f t="shared" si="90"/>
        <v>0</v>
      </c>
      <c r="K223" s="12">
        <f t="shared" si="90"/>
        <v>0</v>
      </c>
      <c r="L223" s="12">
        <f t="shared" ref="L223" si="91">SUM(L219:L222)</f>
        <v>0</v>
      </c>
      <c r="M223" s="35">
        <f>SUM(D223:L223)</f>
        <v>93410803.100000009</v>
      </c>
    </row>
    <row r="224" spans="1:13" x14ac:dyDescent="0.25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4"/>
    </row>
    <row r="225" spans="1:13" ht="15.75" x14ac:dyDescent="0.25">
      <c r="A225" s="176" t="s">
        <v>35</v>
      </c>
      <c r="B225" s="177"/>
      <c r="C225" s="4" t="s">
        <v>31</v>
      </c>
      <c r="D225" s="13">
        <f>Mulanje!D225+Mulanje!E225+Mulanje!F225</f>
        <v>0</v>
      </c>
      <c r="E225" s="13">
        <f>Luchenza!D225+Luchenza!E225+Luchenza!F225</f>
        <v>0</v>
      </c>
      <c r="F225" s="13">
        <f>Thyolo!D225+Thyolo!E225+Thyolo!F225</f>
        <v>0</v>
      </c>
      <c r="G225" s="13">
        <f>Muloza!D225+Muloza!E225+Muloza!F225</f>
        <v>0</v>
      </c>
      <c r="H225" s="13">
        <f>MUST!D225+MUST!E225+MUST!F225</f>
        <v>0</v>
      </c>
      <c r="I225" s="13">
        <f>Phalombe!D225+Phalombe!E225+Phalombe!F225</f>
        <v>0</v>
      </c>
      <c r="J225" s="13">
        <f>Mikolongwe!D225+Mikolongwe!E225+Mikolongwe!F225</f>
        <v>0</v>
      </c>
      <c r="K225" s="13">
        <f>Migowi!D225+Migowi!E225+Migowi!F225</f>
        <v>0</v>
      </c>
      <c r="L225" s="13">
        <f>Nkando!D225+Nkando!E225+Nkando!F225</f>
        <v>0</v>
      </c>
      <c r="M225" s="34">
        <f t="shared" ref="M225:M230" si="92">SUM(D225:L225)</f>
        <v>0</v>
      </c>
    </row>
    <row r="226" spans="1:13" ht="15.75" x14ac:dyDescent="0.25">
      <c r="A226" s="176" t="s">
        <v>34</v>
      </c>
      <c r="B226" s="177"/>
      <c r="C226" s="4" t="s">
        <v>31</v>
      </c>
      <c r="D226" s="13">
        <f>Mulanje!D226+Mulanje!E226+Mulanje!F226</f>
        <v>0</v>
      </c>
      <c r="E226" s="13">
        <f>Luchenza!D226+Luchenza!E226+Luchenza!F226</f>
        <v>0</v>
      </c>
      <c r="F226" s="13">
        <f>Thyolo!D226+Thyolo!E226+Thyolo!F226</f>
        <v>0</v>
      </c>
      <c r="G226" s="13">
        <f>Muloza!D226+Muloza!E226+Muloza!F226</f>
        <v>0</v>
      </c>
      <c r="H226" s="13">
        <f>MUST!D226+MUST!E226+MUST!F226</f>
        <v>0</v>
      </c>
      <c r="I226" s="13">
        <f>Phalombe!D226+Phalombe!E226+Phalombe!F226</f>
        <v>0</v>
      </c>
      <c r="J226" s="13">
        <f>Mikolongwe!D226+Mikolongwe!E226+Mikolongwe!F226</f>
        <v>0</v>
      </c>
      <c r="K226" s="13">
        <f>Migowi!D226+Migowi!E226+Migowi!F226</f>
        <v>0</v>
      </c>
      <c r="L226" s="13">
        <f>Nkando!D226+Nkando!E226+Nkando!F226</f>
        <v>0</v>
      </c>
      <c r="M226" s="34">
        <f t="shared" si="92"/>
        <v>0</v>
      </c>
    </row>
    <row r="227" spans="1:13" ht="15.75" x14ac:dyDescent="0.25">
      <c r="A227" s="176" t="s">
        <v>33</v>
      </c>
      <c r="B227" s="177"/>
      <c r="C227" s="4" t="s">
        <v>31</v>
      </c>
      <c r="D227" s="13">
        <f>Mulanje!D227+Mulanje!E227+Mulanje!F227</f>
        <v>0</v>
      </c>
      <c r="E227" s="13">
        <f>Luchenza!D227+Luchenza!E227+Luchenza!F227</f>
        <v>0</v>
      </c>
      <c r="F227" s="13">
        <f>Thyolo!D227+Thyolo!E227+Thyolo!F227</f>
        <v>0</v>
      </c>
      <c r="G227" s="13">
        <f>Muloza!D227+Muloza!E227+Muloza!F227</f>
        <v>0</v>
      </c>
      <c r="H227" s="13">
        <f>MUST!D227+MUST!E227+MUST!F227</f>
        <v>0</v>
      </c>
      <c r="I227" s="13">
        <f>Phalombe!D227+Phalombe!E227+Phalombe!F227</f>
        <v>0</v>
      </c>
      <c r="J227" s="13">
        <f>Mikolongwe!D227+Mikolongwe!E227+Mikolongwe!F227</f>
        <v>0</v>
      </c>
      <c r="K227" s="13">
        <f>Migowi!D227+Migowi!E227+Migowi!F227</f>
        <v>0</v>
      </c>
      <c r="L227" s="13">
        <f>Nkando!D227+Nkando!E227+Nkando!F227</f>
        <v>0</v>
      </c>
      <c r="M227" s="34">
        <f t="shared" si="92"/>
        <v>0</v>
      </c>
    </row>
    <row r="228" spans="1:13" ht="15.75" x14ac:dyDescent="0.25">
      <c r="A228" s="176" t="s">
        <v>32</v>
      </c>
      <c r="B228" s="177"/>
      <c r="C228" s="4" t="s">
        <v>31</v>
      </c>
      <c r="D228" s="13">
        <f>Mulanje!D228+Mulanje!E228+Mulanje!F228</f>
        <v>0</v>
      </c>
      <c r="E228" s="13">
        <f>Luchenza!D228+Luchenza!E228+Luchenza!F228</f>
        <v>0</v>
      </c>
      <c r="F228" s="13">
        <f>Thyolo!D228+Thyolo!E228+Thyolo!F228</f>
        <v>0</v>
      </c>
      <c r="G228" s="13">
        <f>Muloza!D228+Muloza!E228+Muloza!F228</f>
        <v>0</v>
      </c>
      <c r="H228" s="13">
        <f>MUST!D228+MUST!E228+MUST!F228</f>
        <v>0</v>
      </c>
      <c r="I228" s="13">
        <f>Phalombe!D228+Phalombe!E228+Phalombe!F228</f>
        <v>0</v>
      </c>
      <c r="J228" s="13">
        <f>Mikolongwe!D228+Mikolongwe!E228+Mikolongwe!F228</f>
        <v>0</v>
      </c>
      <c r="K228" s="13">
        <f>Migowi!D228+Migowi!E228+Migowi!F228</f>
        <v>0</v>
      </c>
      <c r="L228" s="13">
        <f>Nkando!D228+Nkando!E228+Nkando!F228</f>
        <v>0</v>
      </c>
      <c r="M228" s="34">
        <f t="shared" si="92"/>
        <v>0</v>
      </c>
    </row>
    <row r="229" spans="1:13" ht="15.75" x14ac:dyDescent="0.25">
      <c r="A229" s="225" t="s">
        <v>214</v>
      </c>
      <c r="B229" s="226"/>
      <c r="C229" s="4" t="s">
        <v>31</v>
      </c>
      <c r="D229" s="10">
        <f t="shared" ref="D229:K229" si="93">SUM(D225:D228)</f>
        <v>0</v>
      </c>
      <c r="E229" s="9">
        <f t="shared" si="93"/>
        <v>0</v>
      </c>
      <c r="F229" s="9">
        <f t="shared" si="93"/>
        <v>0</v>
      </c>
      <c r="G229" s="9">
        <f t="shared" si="93"/>
        <v>0</v>
      </c>
      <c r="H229" s="9">
        <f t="shared" si="93"/>
        <v>0</v>
      </c>
      <c r="I229" s="9">
        <f t="shared" si="93"/>
        <v>0</v>
      </c>
      <c r="J229" s="12">
        <f t="shared" si="93"/>
        <v>0</v>
      </c>
      <c r="K229" s="12">
        <f t="shared" si="93"/>
        <v>0</v>
      </c>
      <c r="L229" s="12">
        <f t="shared" ref="L229" si="94">SUM(L225:L228)</f>
        <v>0</v>
      </c>
      <c r="M229" s="34">
        <f t="shared" si="92"/>
        <v>0</v>
      </c>
    </row>
    <row r="230" spans="1:13" ht="15.75" x14ac:dyDescent="0.25">
      <c r="A230" s="66" t="s">
        <v>215</v>
      </c>
      <c r="B230" s="109"/>
      <c r="C230" s="4" t="s">
        <v>31</v>
      </c>
      <c r="D230" s="10">
        <f>D223+D229</f>
        <v>48809942.290000007</v>
      </c>
      <c r="E230" s="10">
        <f t="shared" ref="E230:K230" si="95">E223+E229</f>
        <v>14752271.609999998</v>
      </c>
      <c r="F230" s="10">
        <f t="shared" si="95"/>
        <v>11375200.449999999</v>
      </c>
      <c r="G230" s="10">
        <f t="shared" si="95"/>
        <v>9189771.3299999982</v>
      </c>
      <c r="H230" s="10">
        <f t="shared" si="95"/>
        <v>2425628.37</v>
      </c>
      <c r="I230" s="10">
        <f t="shared" si="95"/>
        <v>6857989.0499999998</v>
      </c>
      <c r="J230" s="10">
        <f t="shared" si="95"/>
        <v>0</v>
      </c>
      <c r="K230" s="10">
        <f t="shared" si="95"/>
        <v>0</v>
      </c>
      <c r="L230" s="10">
        <f t="shared" ref="L230" si="96">L223+L229</f>
        <v>0</v>
      </c>
      <c r="M230" s="34">
        <f t="shared" si="92"/>
        <v>93410803.100000009</v>
      </c>
    </row>
    <row r="231" spans="1:13" x14ac:dyDescent="0.25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4"/>
    </row>
    <row r="232" spans="1:13" ht="15.75" x14ac:dyDescent="0.25">
      <c r="A232" s="176" t="s">
        <v>29</v>
      </c>
      <c r="B232" s="177"/>
      <c r="C232" s="4" t="s">
        <v>18</v>
      </c>
      <c r="D232" s="13">
        <f>Mulanje!D232+Mulanje!E232+Mulanje!F232</f>
        <v>3279918.4699999997</v>
      </c>
      <c r="E232" s="13">
        <f>Luchenza!D232+Luchenza!E232+Luchenza!F232</f>
        <v>1305059.6600000001</v>
      </c>
      <c r="F232" s="13">
        <f>Thyolo!D232+Thyolo!E232+Thyolo!F232</f>
        <v>1219443.54</v>
      </c>
      <c r="G232" s="13">
        <f>Muloza!D232+Muloza!E232+Muloza!F232</f>
        <v>652243.35</v>
      </c>
      <c r="H232" s="13">
        <f>MUST!D232+MUST!E232+MUST!F232</f>
        <v>99177.260000000009</v>
      </c>
      <c r="I232" s="13">
        <f>Phalombe!D232+Phalombe!E232+Phalombe!F232</f>
        <v>550412.22</v>
      </c>
      <c r="J232" s="13">
        <f>Mikolongwe!D232+Mikolongwe!E232+Mikolongwe!F232</f>
        <v>0</v>
      </c>
      <c r="K232" s="13">
        <f>Migowi!D232+Migowi!E232+Migowi!F232</f>
        <v>0</v>
      </c>
      <c r="L232" s="13">
        <f>Nkando!D232+Nkando!E232+Nkando!F232</f>
        <v>0</v>
      </c>
      <c r="M232" s="35">
        <f>SUM(D232:L232)</f>
        <v>7106254.4999999991</v>
      </c>
    </row>
    <row r="233" spans="1:13" ht="15.75" x14ac:dyDescent="0.25">
      <c r="A233" s="176" t="s">
        <v>28</v>
      </c>
      <c r="B233" s="177"/>
      <c r="C233" s="4" t="s">
        <v>18</v>
      </c>
      <c r="D233" s="13">
        <f>Mulanje!D233+Mulanje!E233+Mulanje!F233</f>
        <v>7459.92</v>
      </c>
      <c r="E233" s="13">
        <f>Luchenza!D233+Luchenza!E233+Luchenza!F233</f>
        <v>1147.68</v>
      </c>
      <c r="F233" s="13">
        <f>Thyolo!D233+Thyolo!E233+Thyolo!F233</f>
        <v>573.84</v>
      </c>
      <c r="G233" s="13">
        <f>Muloza!D233+Muloza!E233+Muloza!F233</f>
        <v>573.84</v>
      </c>
      <c r="H233" s="13">
        <f>MUST!D233+MUST!E233+MUST!F233</f>
        <v>0</v>
      </c>
      <c r="I233" s="13">
        <f>Phalombe!D233+Phalombe!E233+Phalombe!F233</f>
        <v>0</v>
      </c>
      <c r="J233" s="13">
        <f>Mikolongwe!D233+Mikolongwe!E233+Mikolongwe!F233</f>
        <v>0</v>
      </c>
      <c r="K233" s="13">
        <f>Migowi!D233+Migowi!E233+Migowi!F233</f>
        <v>0</v>
      </c>
      <c r="L233" s="13">
        <f>Nkando!D233+Nkando!E233+Nkando!F233</f>
        <v>0</v>
      </c>
      <c r="M233" s="35">
        <f>SUM(D233:L233)</f>
        <v>9755.2800000000007</v>
      </c>
    </row>
    <row r="234" spans="1:13" ht="15.75" x14ac:dyDescent="0.25">
      <c r="A234" s="176" t="s">
        <v>27</v>
      </c>
      <c r="B234" s="177"/>
      <c r="C234" s="4" t="s">
        <v>18</v>
      </c>
      <c r="D234" s="13">
        <f>Mulanje!D234+Mulanje!E234+Mulanje!F234</f>
        <v>84841</v>
      </c>
      <c r="E234" s="13">
        <f>Luchenza!D234+Luchenza!E234+Luchenza!F234</f>
        <v>10180.92</v>
      </c>
      <c r="F234" s="13">
        <f>Thyolo!D234+Thyolo!E234+Thyolo!F234</f>
        <v>0</v>
      </c>
      <c r="G234" s="13">
        <f>Muloza!D234+Muloza!E234+Muloza!F234</f>
        <v>0</v>
      </c>
      <c r="H234" s="13">
        <f>MUST!D234+MUST!E234+MUST!F234</f>
        <v>33936.400000000001</v>
      </c>
      <c r="I234" s="13">
        <f>Phalombe!D234+Phalombe!E234+Phalombe!F234</f>
        <v>0</v>
      </c>
      <c r="J234" s="13">
        <f>Mikolongwe!D234+Mikolongwe!E234+Mikolongwe!F234</f>
        <v>0</v>
      </c>
      <c r="K234" s="13">
        <f>Migowi!D234+Migowi!E234+Migowi!F234</f>
        <v>0</v>
      </c>
      <c r="L234" s="13">
        <f>Nkando!D234+Nkando!E234+Nkando!F234</f>
        <v>0</v>
      </c>
      <c r="M234" s="35">
        <f>SUM(D234:L234)</f>
        <v>128958.32</v>
      </c>
    </row>
    <row r="235" spans="1:13" ht="15.75" x14ac:dyDescent="0.25">
      <c r="A235" s="176" t="s">
        <v>26</v>
      </c>
      <c r="B235" s="177"/>
      <c r="C235" s="4" t="s">
        <v>18</v>
      </c>
      <c r="D235" s="13">
        <f>Mulanje!D235+Mulanje!E235+Mulanje!F235</f>
        <v>157669.56</v>
      </c>
      <c r="E235" s="13">
        <f>Luchenza!D235+Luchenza!E235+Luchenza!F235</f>
        <v>64922.76</v>
      </c>
      <c r="F235" s="13">
        <f>Thyolo!D235+Thyolo!E235+Thyolo!F235</f>
        <v>27824.04</v>
      </c>
      <c r="G235" s="13">
        <f>Muloza!D235+Muloza!E235+Muloza!F235</f>
        <v>32461.38</v>
      </c>
      <c r="H235" s="13">
        <f>MUST!D235+MUST!E235+MUST!F235</f>
        <v>0</v>
      </c>
      <c r="I235" s="13">
        <f>Phalombe!D235+Phalombe!E235+Phalombe!F235</f>
        <v>13912.02</v>
      </c>
      <c r="J235" s="13">
        <f>Mikolongwe!D235+Mikolongwe!E235+Mikolongwe!F235</f>
        <v>0</v>
      </c>
      <c r="K235" s="13">
        <f>Migowi!D235+Migowi!E235+Migowi!F235</f>
        <v>0</v>
      </c>
      <c r="L235" s="13">
        <f>Nkando!D235+Nkando!E235+Nkando!F235</f>
        <v>0</v>
      </c>
      <c r="M235" s="35">
        <f>SUM(D235:L235)</f>
        <v>296789.76000000001</v>
      </c>
    </row>
    <row r="236" spans="1:13" ht="15.75" x14ac:dyDescent="0.25">
      <c r="A236" s="225" t="s">
        <v>25</v>
      </c>
      <c r="B236" s="226"/>
      <c r="C236" s="4" t="s">
        <v>18</v>
      </c>
      <c r="D236" s="10">
        <f t="shared" ref="D236:K236" si="97">SUM(D232:D235)</f>
        <v>3529888.9499999997</v>
      </c>
      <c r="E236" s="10">
        <f t="shared" si="97"/>
        <v>1381311.02</v>
      </c>
      <c r="F236" s="10">
        <f t="shared" si="97"/>
        <v>1247841.4200000002</v>
      </c>
      <c r="G236" s="10">
        <f t="shared" si="97"/>
        <v>685278.57</v>
      </c>
      <c r="H236" s="10">
        <f t="shared" si="97"/>
        <v>133113.66</v>
      </c>
      <c r="I236" s="10">
        <f t="shared" si="97"/>
        <v>564324.24</v>
      </c>
      <c r="J236" s="10">
        <f t="shared" si="97"/>
        <v>0</v>
      </c>
      <c r="K236" s="10">
        <f t="shared" si="97"/>
        <v>0</v>
      </c>
      <c r="L236" s="10">
        <f t="shared" ref="L236" si="98">SUM(L232:L235)</f>
        <v>0</v>
      </c>
      <c r="M236" s="35">
        <f>SUM(M232:M235)</f>
        <v>7541757.8599999994</v>
      </c>
    </row>
    <row r="237" spans="1:13" x14ac:dyDescent="0.25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4"/>
    </row>
    <row r="238" spans="1:13" ht="15.75" x14ac:dyDescent="0.25">
      <c r="A238" s="176" t="s">
        <v>23</v>
      </c>
      <c r="B238" s="177"/>
      <c r="C238" s="4" t="s">
        <v>18</v>
      </c>
      <c r="D238" s="13">
        <f>Mulanje!D238+Mulanje!E238+Mulanje!F238</f>
        <v>5252626</v>
      </c>
      <c r="E238" s="13">
        <f>Luchenza!D238+Luchenza!E238+Luchenza!F238</f>
        <v>2076225</v>
      </c>
      <c r="F238" s="13">
        <f>Thyolo!D238+Thyolo!E238+Thyolo!F238</f>
        <v>2020859</v>
      </c>
      <c r="G238" s="13">
        <f>Muloza!D238+Muloza!E238+Muloza!F238</f>
        <v>1109106</v>
      </c>
      <c r="H238" s="13">
        <f>MUST!D238+MUST!E238+MUST!F238</f>
        <v>162526</v>
      </c>
      <c r="I238" s="13">
        <f>Phalombe!D238+Phalombe!E238+Phalombe!F238</f>
        <v>871568</v>
      </c>
      <c r="J238" s="13">
        <f>Mikolongwe!D238+Mikolongwe!E238+Mikolongwe!F238</f>
        <v>0</v>
      </c>
      <c r="K238" s="13">
        <f>Migowi!D238+Migowi!E238+Migowi!F238</f>
        <v>0</v>
      </c>
      <c r="L238" s="13">
        <f>Nkando!D238+Nkando!E238+Nkando!F238</f>
        <v>0</v>
      </c>
      <c r="M238" s="35">
        <f>SUM(D238:L238)</f>
        <v>11492910</v>
      </c>
    </row>
    <row r="239" spans="1:13" ht="15.75" x14ac:dyDescent="0.25">
      <c r="A239" s="176" t="s">
        <v>22</v>
      </c>
      <c r="B239" s="177"/>
      <c r="C239" s="4" t="s">
        <v>18</v>
      </c>
      <c r="D239" s="13">
        <f>Mulanje!D239+Mulanje!E239+Mulanje!F239</f>
        <v>34827</v>
      </c>
      <c r="E239" s="13">
        <f>Luchenza!D239+Luchenza!E239+Luchenza!F239</f>
        <v>5358</v>
      </c>
      <c r="F239" s="13">
        <f>Thyolo!D239+Thyolo!E239+Thyolo!F239</f>
        <v>2679</v>
      </c>
      <c r="G239" s="13">
        <f>Muloza!D239+Muloza!E239+Muloza!F239</f>
        <v>2679</v>
      </c>
      <c r="H239" s="13">
        <f>MUST!D239+MUST!E239+MUST!F239</f>
        <v>0</v>
      </c>
      <c r="I239" s="13">
        <f>Phalombe!D239+Phalombe!E239+Phalombe!F239</f>
        <v>0</v>
      </c>
      <c r="J239" s="13">
        <f>Mikolongwe!D239+Mikolongwe!E239+Mikolongwe!F239</f>
        <v>0</v>
      </c>
      <c r="K239" s="13">
        <f>Migowi!D239+Migowi!E239+Migowi!F239</f>
        <v>0</v>
      </c>
      <c r="L239" s="13">
        <f>Nkando!D239+Nkando!E239+Nkando!F239</f>
        <v>0</v>
      </c>
      <c r="M239" s="35">
        <f>SUM(D239:L239)</f>
        <v>45543</v>
      </c>
    </row>
    <row r="240" spans="1:13" ht="15.75" x14ac:dyDescent="0.25">
      <c r="A240" s="176" t="s">
        <v>21</v>
      </c>
      <c r="B240" s="177"/>
      <c r="C240" s="4" t="s">
        <v>18</v>
      </c>
      <c r="D240" s="13">
        <f>Mulanje!D240+Mulanje!E240+Mulanje!F240</f>
        <v>22325</v>
      </c>
      <c r="E240" s="13">
        <f>Luchenza!D240+Luchenza!E240+Luchenza!F240</f>
        <v>2679</v>
      </c>
      <c r="F240" s="13">
        <f>Thyolo!D240+Thyolo!E240+Thyolo!F240</f>
        <v>0</v>
      </c>
      <c r="G240" s="13">
        <f>Muloza!D240+Muloza!E240+Muloza!F240</f>
        <v>0</v>
      </c>
      <c r="H240" s="13">
        <f>MUST!D240+MUST!E240+MUST!F240</f>
        <v>8930</v>
      </c>
      <c r="I240" s="13">
        <f>Phalombe!D240+Phalombe!E240+Phalombe!F240</f>
        <v>0</v>
      </c>
      <c r="J240" s="13">
        <f>Mikolongwe!D240+Mikolongwe!E240+Mikolongwe!F240</f>
        <v>0</v>
      </c>
      <c r="K240" s="13">
        <f>Migowi!D240+Migowi!E240+Migowi!F240</f>
        <v>0</v>
      </c>
      <c r="L240" s="13">
        <f>Nkando!D240+Nkando!E240+Nkando!F240</f>
        <v>0</v>
      </c>
      <c r="M240" s="35">
        <f>SUM(D240:L240)</f>
        <v>33934</v>
      </c>
    </row>
    <row r="241" spans="1:13" ht="15.75" x14ac:dyDescent="0.25">
      <c r="A241" s="176" t="s">
        <v>20</v>
      </c>
      <c r="B241" s="177"/>
      <c r="C241" s="4" t="s">
        <v>18</v>
      </c>
      <c r="D241" s="13">
        <f>Mulanje!D241+Mulanje!E241+Mulanje!F241</f>
        <v>30362</v>
      </c>
      <c r="E241" s="13">
        <f>Luchenza!D241+Luchenza!E241+Luchenza!F241</f>
        <v>12502</v>
      </c>
      <c r="F241" s="13">
        <f>Thyolo!D241+Thyolo!E241+Thyolo!F241</f>
        <v>5358</v>
      </c>
      <c r="G241" s="13">
        <f>Muloza!D241+Muloza!E241+Muloza!F241</f>
        <v>6251</v>
      </c>
      <c r="H241" s="13">
        <f>MUST!D241+MUST!E241+MUST!F241</f>
        <v>0</v>
      </c>
      <c r="I241" s="13">
        <f>Phalombe!D241+Phalombe!E241+Phalombe!F241</f>
        <v>2679</v>
      </c>
      <c r="J241" s="13">
        <f>Mikolongwe!D241+Mikolongwe!E241+Mikolongwe!F241</f>
        <v>0</v>
      </c>
      <c r="K241" s="13">
        <f>Migowi!D241+Migowi!E241+Migowi!F241</f>
        <v>0</v>
      </c>
      <c r="L241" s="13">
        <f>Nkando!D241+Nkando!E241+Nkando!F241</f>
        <v>0</v>
      </c>
      <c r="M241" s="35">
        <f>SUM(D241:L241)</f>
        <v>57152</v>
      </c>
    </row>
    <row r="242" spans="1:13" ht="15.75" x14ac:dyDescent="0.25">
      <c r="A242" s="225" t="s">
        <v>19</v>
      </c>
      <c r="B242" s="226"/>
      <c r="C242" s="4" t="s">
        <v>18</v>
      </c>
      <c r="D242" s="10">
        <f t="shared" ref="D242:M242" si="99">SUM(D238:D241)</f>
        <v>5340140</v>
      </c>
      <c r="E242" s="10">
        <f t="shared" si="99"/>
        <v>2096764</v>
      </c>
      <c r="F242" s="10">
        <f t="shared" si="99"/>
        <v>2028896</v>
      </c>
      <c r="G242" s="10">
        <f t="shared" si="99"/>
        <v>1118036</v>
      </c>
      <c r="H242" s="10">
        <f t="shared" si="99"/>
        <v>171456</v>
      </c>
      <c r="I242" s="10">
        <f t="shared" si="99"/>
        <v>874247</v>
      </c>
      <c r="J242" s="10">
        <f t="shared" si="99"/>
        <v>0</v>
      </c>
      <c r="K242" s="10">
        <f t="shared" si="99"/>
        <v>0</v>
      </c>
      <c r="L242" s="10">
        <f t="shared" ref="L242" si="100">SUM(L238:L241)</f>
        <v>0</v>
      </c>
      <c r="M242" s="35">
        <f t="shared" si="99"/>
        <v>11629539</v>
      </c>
    </row>
    <row r="243" spans="1:13" ht="15.75" x14ac:dyDescent="0.25">
      <c r="A243" s="225" t="s">
        <v>216</v>
      </c>
      <c r="B243" s="226"/>
      <c r="C243" s="4" t="s">
        <v>18</v>
      </c>
      <c r="D243" s="9">
        <f>D230+D236+D242</f>
        <v>57679971.24000001</v>
      </c>
      <c r="E243" s="9">
        <f t="shared" ref="E243:K243" si="101">E230+E236+E242</f>
        <v>18230346.629999995</v>
      </c>
      <c r="F243" s="9">
        <f t="shared" si="101"/>
        <v>14651937.869999999</v>
      </c>
      <c r="G243" s="9">
        <f t="shared" si="101"/>
        <v>10993085.899999999</v>
      </c>
      <c r="H243" s="9">
        <f t="shared" si="101"/>
        <v>2730198.0300000003</v>
      </c>
      <c r="I243" s="9">
        <f t="shared" si="101"/>
        <v>8296560.29</v>
      </c>
      <c r="J243" s="9">
        <f t="shared" si="101"/>
        <v>0</v>
      </c>
      <c r="K243" s="9">
        <f t="shared" si="101"/>
        <v>0</v>
      </c>
      <c r="L243" s="9">
        <f t="shared" ref="L243" si="102">L230+L236+L242</f>
        <v>0</v>
      </c>
      <c r="M243" s="35">
        <f t="shared" ref="M243" si="103">M216+M223+M236+M242</f>
        <v>477090234.71000004</v>
      </c>
    </row>
    <row r="244" spans="1:13" x14ac:dyDescent="0.25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4"/>
    </row>
    <row r="245" spans="1:13" ht="15.75" x14ac:dyDescent="0.25">
      <c r="A245" s="246" t="s">
        <v>207</v>
      </c>
      <c r="B245" s="247"/>
      <c r="C245" s="4" t="s">
        <v>18</v>
      </c>
      <c r="D245" s="139">
        <f>Mulanje!F245</f>
        <v>146847162.28</v>
      </c>
      <c r="E245" s="139">
        <f>Luchenza!F245</f>
        <v>86372456.099999994</v>
      </c>
      <c r="F245" s="139">
        <f>Thyolo!F245</f>
        <v>44989405.200000003</v>
      </c>
      <c r="G245" s="139">
        <f>Muloza!F245</f>
        <v>43265257.140000001</v>
      </c>
      <c r="H245" s="139">
        <f>MUST!F245</f>
        <v>15784908.84</v>
      </c>
      <c r="I245" s="139">
        <f>Phalombe!F245</f>
        <v>25944706.829999998</v>
      </c>
      <c r="J245" s="139">
        <f>Mikolongwe!F245</f>
        <v>1817416.41</v>
      </c>
      <c r="K245" s="139">
        <f>Migowi!F245</f>
        <v>0</v>
      </c>
      <c r="L245" s="139">
        <f>Nkando!F245</f>
        <v>17241752.190000001</v>
      </c>
      <c r="M245" s="35">
        <f>SUM(D245:L245)</f>
        <v>382263064.98999995</v>
      </c>
    </row>
    <row r="246" spans="1:13" ht="15.75" x14ac:dyDescent="0.25">
      <c r="A246" s="246" t="s">
        <v>208</v>
      </c>
      <c r="B246" s="247"/>
      <c r="C246" s="4" t="s">
        <v>18</v>
      </c>
      <c r="D246" s="139">
        <f>Mulanje!F246</f>
        <v>684908.7</v>
      </c>
      <c r="E246" s="139">
        <f>Luchenza!F246</f>
        <v>27100935.77</v>
      </c>
      <c r="F246" s="139">
        <f>Thyolo!F246</f>
        <v>499854.76</v>
      </c>
      <c r="G246" s="139">
        <f>Muloza!F246</f>
        <v>0</v>
      </c>
      <c r="H246" s="139">
        <f>MUST!F246</f>
        <v>0</v>
      </c>
      <c r="I246" s="139">
        <f>Phalombe!F246</f>
        <v>458783.83</v>
      </c>
      <c r="J246" s="139">
        <f>Mikolongwe!F246</f>
        <v>0</v>
      </c>
      <c r="K246" s="139">
        <f>Migowi!F246</f>
        <v>0</v>
      </c>
      <c r="L246" s="139">
        <f>Nkando!F246</f>
        <v>6094751.9100000001</v>
      </c>
      <c r="M246" s="35">
        <f>SUM(D246:L246)</f>
        <v>34839234.969999999</v>
      </c>
    </row>
    <row r="247" spans="1:13" ht="15.75" x14ac:dyDescent="0.25">
      <c r="A247" s="248" t="s">
        <v>209</v>
      </c>
      <c r="B247" s="249"/>
      <c r="C247" s="4" t="s">
        <v>18</v>
      </c>
      <c r="D247" s="129">
        <f>D245+D246</f>
        <v>147532070.97999999</v>
      </c>
      <c r="E247" s="129">
        <f t="shared" ref="E247:M247" si="104">E245+E246</f>
        <v>113473391.86999999</v>
      </c>
      <c r="F247" s="129">
        <f t="shared" si="104"/>
        <v>45489259.960000001</v>
      </c>
      <c r="G247" s="129">
        <f t="shared" si="104"/>
        <v>43265257.140000001</v>
      </c>
      <c r="H247" s="129">
        <f t="shared" si="104"/>
        <v>15784908.84</v>
      </c>
      <c r="I247" s="129">
        <f t="shared" si="104"/>
        <v>26403490.659999996</v>
      </c>
      <c r="J247" s="129">
        <f t="shared" si="104"/>
        <v>1817416.41</v>
      </c>
      <c r="K247" s="129">
        <f t="shared" si="104"/>
        <v>0</v>
      </c>
      <c r="L247" s="129">
        <f t="shared" ref="L247" si="105">L245+L246</f>
        <v>23336504.100000001</v>
      </c>
      <c r="M247" s="147">
        <f t="shared" si="104"/>
        <v>417102299.95999992</v>
      </c>
    </row>
    <row r="248" spans="1:13" x14ac:dyDescent="0.25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4"/>
    </row>
    <row r="249" spans="1:13" ht="15.75" x14ac:dyDescent="0.25">
      <c r="A249" s="176" t="s">
        <v>16</v>
      </c>
      <c r="B249" s="177"/>
      <c r="C249" s="4" t="s">
        <v>6</v>
      </c>
      <c r="D249" s="7">
        <f>D58/D243%</f>
        <v>148.0743644282025</v>
      </c>
      <c r="E249" s="7">
        <f t="shared" ref="E249:M249" si="106">E58/E243%</f>
        <v>291.20704269132165</v>
      </c>
      <c r="F249" s="7">
        <f t="shared" si="106"/>
        <v>539.8427569977132</v>
      </c>
      <c r="G249" s="7">
        <f t="shared" si="106"/>
        <v>358.73835264491117</v>
      </c>
      <c r="H249" s="7">
        <f t="shared" si="106"/>
        <v>2319.8453707037506</v>
      </c>
      <c r="I249" s="7">
        <f t="shared" si="106"/>
        <v>312.55809726056964</v>
      </c>
      <c r="J249" s="7" t="e">
        <f t="shared" si="106"/>
        <v>#DIV/0!</v>
      </c>
      <c r="K249" s="7" t="e">
        <f t="shared" si="106"/>
        <v>#DIV/0!</v>
      </c>
      <c r="L249" s="7" t="e">
        <f t="shared" ref="L249" si="107">L58/L243%</f>
        <v>#DIV/0!</v>
      </c>
      <c r="M249" s="101">
        <f t="shared" si="106"/>
        <v>74.816125283001597</v>
      </c>
    </row>
    <row r="250" spans="1:13" ht="15.75" x14ac:dyDescent="0.25">
      <c r="A250" s="176" t="s">
        <v>210</v>
      </c>
      <c r="B250" s="177"/>
      <c r="C250" s="4" t="s">
        <v>6</v>
      </c>
      <c r="D250" s="25">
        <f>D210/(D223+D245)%</f>
        <v>26.942939529773088</v>
      </c>
      <c r="E250" s="25">
        <f t="shared" ref="E250:M250" si="108">E210/(E223+E245)%</f>
        <v>15.370177504530362</v>
      </c>
      <c r="F250" s="25">
        <f t="shared" si="108"/>
        <v>20.872652801040218</v>
      </c>
      <c r="G250" s="25">
        <f t="shared" si="108"/>
        <v>15.531291618036938</v>
      </c>
      <c r="H250" s="25">
        <f t="shared" si="108"/>
        <v>7.9962487279088901</v>
      </c>
      <c r="I250" s="25">
        <f t="shared" si="108"/>
        <v>31.956405316037706</v>
      </c>
      <c r="J250" s="25">
        <f t="shared" si="108"/>
        <v>0</v>
      </c>
      <c r="K250" s="25" t="e">
        <f t="shared" si="108"/>
        <v>#DIV/0!</v>
      </c>
      <c r="L250" s="25">
        <f t="shared" ref="L250" si="109">L210/(L223+L245)%</f>
        <v>0</v>
      </c>
      <c r="M250" s="98">
        <f t="shared" si="108"/>
        <v>21.04578082079102</v>
      </c>
    </row>
    <row r="251" spans="1:13" ht="16.5" thickBot="1" x14ac:dyDescent="0.3">
      <c r="A251" s="236" t="s">
        <v>15</v>
      </c>
      <c r="B251" s="237"/>
      <c r="C251" s="4" t="s">
        <v>6</v>
      </c>
      <c r="D251" s="6">
        <f>D210/D223%</f>
        <v>108.00212599472835</v>
      </c>
      <c r="E251" s="6">
        <f t="shared" ref="E251:M251" si="110">E210/E223%</f>
        <v>105.36038490142742</v>
      </c>
      <c r="F251" s="6">
        <f t="shared" si="110"/>
        <v>103.42488900931851</v>
      </c>
      <c r="G251" s="6">
        <f t="shared" si="110"/>
        <v>88.652297728065449</v>
      </c>
      <c r="H251" s="6">
        <f t="shared" si="110"/>
        <v>60.032273204324376</v>
      </c>
      <c r="I251" s="6">
        <f t="shared" si="110"/>
        <v>152.85184000111522</v>
      </c>
      <c r="J251" s="6" t="e">
        <f t="shared" si="110"/>
        <v>#DIV/0!</v>
      </c>
      <c r="K251" s="6" t="e">
        <f t="shared" si="110"/>
        <v>#DIV/0!</v>
      </c>
      <c r="L251" s="6" t="e">
        <f t="shared" ref="L251" si="111">L210/L223%</f>
        <v>#DIV/0!</v>
      </c>
      <c r="M251" s="102">
        <f t="shared" si="110"/>
        <v>107.1709870568493</v>
      </c>
    </row>
    <row r="252" spans="1:13" x14ac:dyDescent="0.25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40"/>
    </row>
    <row r="253" spans="1:13" ht="15" customHeight="1" x14ac:dyDescent="0.25">
      <c r="A253" s="176" t="s">
        <v>13</v>
      </c>
      <c r="B253" s="177"/>
      <c r="C253" s="4" t="s">
        <v>3</v>
      </c>
      <c r="D253" s="128">
        <f>Mulanje!D253+Mulanje!E253+Mulanje!F253</f>
        <v>70</v>
      </c>
      <c r="E253" s="128">
        <f>Luchenza!D253+Luchenza!E253+Luchenza!F253</f>
        <v>54</v>
      </c>
      <c r="F253" s="128">
        <f>Thyolo!D253+Thyolo!E253+Thyolo!F253</f>
        <v>44</v>
      </c>
      <c r="G253" s="128">
        <f>Muloza!D253+Muloza!E253+Muloza!F253</f>
        <v>30</v>
      </c>
      <c r="H253" s="128">
        <f>MUST!D253+MUST!E253+MUST!F253</f>
        <v>17</v>
      </c>
      <c r="I253" s="128">
        <f>Phalombe!D253+Phalombe!E253+Phalombe!F253</f>
        <v>16</v>
      </c>
      <c r="J253" s="128">
        <f>Mikolongwe!D253+Mikolongwe!E253+Mikolongwe!F253</f>
        <v>0</v>
      </c>
      <c r="K253" s="128">
        <f>Migowi!D253+Migowi!E253+Migowi!F253</f>
        <v>0</v>
      </c>
      <c r="L253" s="128">
        <f>Nkando!D253+Nkando!E253+Nkando!F253</f>
        <v>7</v>
      </c>
      <c r="M253" s="103">
        <f>SUM(D253:L253)</f>
        <v>238</v>
      </c>
    </row>
    <row r="254" spans="1:13" ht="26.25" x14ac:dyDescent="0.25">
      <c r="A254" s="176" t="s">
        <v>12</v>
      </c>
      <c r="B254" s="177"/>
      <c r="C254" s="4" t="s">
        <v>3</v>
      </c>
      <c r="D254" s="128">
        <f>Mulanje!D254+Mulanje!E254+Mulanje!F254</f>
        <v>15</v>
      </c>
      <c r="E254" s="128">
        <f>Luchenza!D254+Luchenza!E254+Luchenza!F254</f>
        <v>3</v>
      </c>
      <c r="F254" s="128">
        <f>Thyolo!D254+Thyolo!E254+Thyolo!F254</f>
        <v>15</v>
      </c>
      <c r="G254" s="128">
        <f>Muloza!D254+Muloza!E254+Muloza!F254</f>
        <v>15</v>
      </c>
      <c r="H254" s="128">
        <f>MUST!D254+MUST!E254+MUST!F254</f>
        <v>3</v>
      </c>
      <c r="I254" s="128">
        <f>Phalombe!D254+Phalombe!E254+Phalombe!F254</f>
        <v>3</v>
      </c>
      <c r="J254" s="128">
        <f>Mikolongwe!D254+Mikolongwe!E254+Mikolongwe!F254</f>
        <v>0</v>
      </c>
      <c r="K254" s="128">
        <f>Migowi!D254+Migowi!E254+Migowi!F254</f>
        <v>0</v>
      </c>
      <c r="L254" s="128">
        <f>Nkando!D254+Nkando!E254+Nkando!F254</f>
        <v>7</v>
      </c>
      <c r="M254" s="103">
        <f>SUM(D254:L254)</f>
        <v>61</v>
      </c>
    </row>
    <row r="255" spans="1:13" ht="15.75" customHeight="1" x14ac:dyDescent="0.25">
      <c r="A255" s="176" t="s">
        <v>11</v>
      </c>
      <c r="B255" s="177"/>
      <c r="C255" s="4" t="s">
        <v>3</v>
      </c>
      <c r="D255" s="3">
        <f>D95</f>
        <v>20</v>
      </c>
      <c r="E255" s="3">
        <f t="shared" ref="E255:K255" si="112">E95</f>
        <v>43</v>
      </c>
      <c r="F255" s="3">
        <f t="shared" si="112"/>
        <v>16</v>
      </c>
      <c r="G255" s="3">
        <f t="shared" si="112"/>
        <v>72</v>
      </c>
      <c r="H255" s="3">
        <f t="shared" si="112"/>
        <v>3</v>
      </c>
      <c r="I255" s="3">
        <f t="shared" si="112"/>
        <v>40</v>
      </c>
      <c r="J255" s="3">
        <f t="shared" si="112"/>
        <v>0</v>
      </c>
      <c r="K255" s="3">
        <f t="shared" si="112"/>
        <v>0</v>
      </c>
      <c r="L255" s="3">
        <f t="shared" ref="L255" si="113">L95</f>
        <v>4</v>
      </c>
      <c r="M255" s="103">
        <f>SUM(D255:L255)</f>
        <v>198</v>
      </c>
    </row>
    <row r="256" spans="1:13" ht="26.25" x14ac:dyDescent="0.25">
      <c r="A256" s="176" t="s">
        <v>10</v>
      </c>
      <c r="B256" s="177"/>
      <c r="C256" s="4" t="s">
        <v>3</v>
      </c>
      <c r="D256" s="3">
        <f>D91</f>
        <v>70</v>
      </c>
      <c r="E256" s="3">
        <f t="shared" ref="E256:K256" si="114">E91</f>
        <v>54</v>
      </c>
      <c r="F256" s="3">
        <f t="shared" si="114"/>
        <v>44</v>
      </c>
      <c r="G256" s="3">
        <f t="shared" si="114"/>
        <v>31</v>
      </c>
      <c r="H256" s="3">
        <f t="shared" si="114"/>
        <v>18</v>
      </c>
      <c r="I256" s="3">
        <f t="shared" si="114"/>
        <v>16</v>
      </c>
      <c r="J256" s="3">
        <f t="shared" si="114"/>
        <v>0</v>
      </c>
      <c r="K256" s="3">
        <f t="shared" si="114"/>
        <v>0</v>
      </c>
      <c r="L256" s="3">
        <f t="shared" ref="L256" si="115">L91</f>
        <v>7</v>
      </c>
      <c r="M256" s="103">
        <f>SUM(D256:L256)</f>
        <v>240</v>
      </c>
    </row>
    <row r="257" spans="1:13" ht="15.6" customHeight="1" x14ac:dyDescent="0.25">
      <c r="A257" s="176" t="s">
        <v>9</v>
      </c>
      <c r="B257" s="177"/>
      <c r="C257" s="4" t="s">
        <v>3</v>
      </c>
      <c r="D257" s="128">
        <f>Mulanje!D257+Mulanje!E257+Mulanje!F257</f>
        <v>90</v>
      </c>
      <c r="E257" s="128">
        <f>Luchenza!D257+Luchenza!E257+Luchenza!F257</f>
        <v>21</v>
      </c>
      <c r="F257" s="128">
        <f>Thyolo!D257+Thyolo!E257+Thyolo!F257</f>
        <v>90</v>
      </c>
      <c r="G257" s="128">
        <f>Muloza!D257+Muloza!E257+Muloza!F257</f>
        <v>44</v>
      </c>
      <c r="H257" s="128">
        <f>MUST!D257+MUST!E257+MUST!F257</f>
        <v>15</v>
      </c>
      <c r="I257" s="128">
        <f>Phalombe!D257+Phalombe!E257+Phalombe!F257</f>
        <v>90</v>
      </c>
      <c r="J257" s="128">
        <f>Mikolongwe!D257+Mikolongwe!E257+Mikolongwe!F257</f>
        <v>0</v>
      </c>
      <c r="K257" s="128">
        <f>Migowi!D257+Migowi!E257+Migowi!F257</f>
        <v>0</v>
      </c>
      <c r="L257" s="128">
        <f>Nkando!D257+Nkando!E257+Nkando!F257</f>
        <v>90</v>
      </c>
      <c r="M257" s="103">
        <f>SUM(D257:L257)</f>
        <v>440</v>
      </c>
    </row>
    <row r="258" spans="1:13" ht="15.75" x14ac:dyDescent="0.25">
      <c r="A258" s="225" t="s">
        <v>8</v>
      </c>
      <c r="B258" s="226"/>
      <c r="C258" s="4" t="s">
        <v>3</v>
      </c>
      <c r="D258" s="1">
        <f t="shared" ref="D258:M258" si="116">D257/D256</f>
        <v>1.2857142857142858</v>
      </c>
      <c r="E258" s="1">
        <f t="shared" si="116"/>
        <v>0.3888888888888889</v>
      </c>
      <c r="F258" s="1">
        <f t="shared" si="116"/>
        <v>2.0454545454545454</v>
      </c>
      <c r="G258" s="2">
        <f t="shared" si="116"/>
        <v>1.4193548387096775</v>
      </c>
      <c r="H258" s="2">
        <f t="shared" si="116"/>
        <v>0.83333333333333337</v>
      </c>
      <c r="I258" s="2">
        <f t="shared" si="116"/>
        <v>5.625</v>
      </c>
      <c r="J258" s="2" t="e">
        <f t="shared" si="116"/>
        <v>#DIV/0!</v>
      </c>
      <c r="K258" s="2" t="e">
        <f t="shared" si="116"/>
        <v>#DIV/0!</v>
      </c>
      <c r="L258" s="2">
        <f t="shared" ref="L258" si="117">L257/L256</f>
        <v>12.857142857142858</v>
      </c>
      <c r="M258" s="103">
        <f t="shared" si="116"/>
        <v>1.8333333333333333</v>
      </c>
    </row>
    <row r="259" spans="1:13" ht="15.75" x14ac:dyDescent="0.25">
      <c r="A259" s="225" t="s">
        <v>7</v>
      </c>
      <c r="B259" s="226"/>
      <c r="C259" s="4" t="s">
        <v>6</v>
      </c>
      <c r="D259" s="1">
        <f t="shared" ref="D259:M259" si="118">D92/D255*100</f>
        <v>0</v>
      </c>
      <c r="E259" s="1">
        <f t="shared" si="118"/>
        <v>11.627906976744185</v>
      </c>
      <c r="F259" s="1">
        <f t="shared" si="118"/>
        <v>12.5</v>
      </c>
      <c r="G259" s="5">
        <f t="shared" si="118"/>
        <v>1.3888888888888888</v>
      </c>
      <c r="H259" s="5">
        <f t="shared" si="118"/>
        <v>400</v>
      </c>
      <c r="I259" s="5">
        <f t="shared" si="118"/>
        <v>0</v>
      </c>
      <c r="J259" s="5" t="e">
        <f t="shared" si="118"/>
        <v>#DIV/0!</v>
      </c>
      <c r="K259" s="5" t="e">
        <f t="shared" si="118"/>
        <v>#DIV/0!</v>
      </c>
      <c r="L259" s="5">
        <f t="shared" ref="L259" si="119">L92/L255*100</f>
        <v>0</v>
      </c>
      <c r="M259" s="104">
        <f t="shared" si="118"/>
        <v>10.1010101010101</v>
      </c>
    </row>
    <row r="260" spans="1:13" x14ac:dyDescent="0.25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4"/>
    </row>
    <row r="261" spans="1:13" ht="15" customHeight="1" x14ac:dyDescent="0.25">
      <c r="A261" s="176" t="s">
        <v>4</v>
      </c>
      <c r="B261" s="177"/>
      <c r="C261" s="4" t="s">
        <v>3</v>
      </c>
      <c r="D261" s="128">
        <f>Mulanje!D261+Mulanje!E261+Mulanje!F261</f>
        <v>47</v>
      </c>
      <c r="E261" s="128">
        <f>Luchenza!D261+Luchenza!E261+Luchenza!F261</f>
        <v>39</v>
      </c>
      <c r="F261" s="128">
        <f>Thyolo!D261+Thyolo!E261+Thyolo!F261</f>
        <v>65</v>
      </c>
      <c r="G261" s="128">
        <f>Muloza!D261+Muloza!E261+Muloza!F261</f>
        <v>37</v>
      </c>
      <c r="H261" s="128">
        <f>MUST!D261+MUST!E261+MUST!F261</f>
        <v>13</v>
      </c>
      <c r="I261" s="128">
        <f>Phalombe!D261+Phalombe!E261+Phalombe!F261</f>
        <v>30</v>
      </c>
      <c r="J261" s="128">
        <f>Mikolongwe!D261+Mikolongwe!E261+Mikolongwe!F261</f>
        <v>3</v>
      </c>
      <c r="K261" s="128">
        <f>Migowi!D261+Migowi!E261+Migowi!F261</f>
        <v>16</v>
      </c>
      <c r="L261" s="128">
        <f>Nkando!D261+Nkando!E261+Nkando!F261</f>
        <v>12</v>
      </c>
      <c r="M261" s="103">
        <f>SUM(D261:L261)</f>
        <v>262</v>
      </c>
    </row>
    <row r="262" spans="1:13" ht="15.75" customHeight="1" x14ac:dyDescent="0.25">
      <c r="A262" s="176" t="s">
        <v>2</v>
      </c>
      <c r="B262" s="177"/>
      <c r="C262" s="4" t="s">
        <v>0</v>
      </c>
      <c r="D262" s="128">
        <f>Mulanje!D262+Mulanje!E262+Mulanje!F262</f>
        <v>90</v>
      </c>
      <c r="E262" s="128">
        <f>Luchenza!D262+Luchenza!E262+Luchenza!F262</f>
        <v>43</v>
      </c>
      <c r="F262" s="128">
        <f>Thyolo!D262+Thyolo!E262+Thyolo!F262</f>
        <v>17</v>
      </c>
      <c r="G262" s="128">
        <f>Muloza!D262+Muloza!E262+Muloza!F262</f>
        <v>10</v>
      </c>
      <c r="H262" s="128">
        <f>MUST!D262+MUST!E262+MUST!F262</f>
        <v>4</v>
      </c>
      <c r="I262" s="128">
        <f>Phalombe!D262+Phalombe!E262+Phalombe!F262</f>
        <v>7</v>
      </c>
      <c r="J262" s="128">
        <f>Mikolongwe!D262+Mikolongwe!E262+Mikolongwe!F262</f>
        <v>2</v>
      </c>
      <c r="K262" s="128">
        <f>Migowi!D262+Migowi!E262+Migowi!F262</f>
        <v>5</v>
      </c>
      <c r="L262" s="128">
        <f>Nkando!D262+Nkando!E262+Nkando!F262</f>
        <v>7</v>
      </c>
      <c r="M262" s="103">
        <f>SUM(D262:L262)</f>
        <v>185</v>
      </c>
    </row>
    <row r="263" spans="1:13" ht="16.5" thickBot="1" x14ac:dyDescent="0.3">
      <c r="A263" s="230" t="s">
        <v>1</v>
      </c>
      <c r="B263" s="231"/>
      <c r="C263" s="105" t="s">
        <v>0</v>
      </c>
      <c r="D263" s="136">
        <f>D261/D262</f>
        <v>0.52222222222222225</v>
      </c>
      <c r="E263" s="136">
        <f t="shared" ref="E263:M263" si="120">E261/E262</f>
        <v>0.90697674418604646</v>
      </c>
      <c r="F263" s="136">
        <f t="shared" si="120"/>
        <v>3.8235294117647061</v>
      </c>
      <c r="G263" s="136">
        <f t="shared" si="120"/>
        <v>3.7</v>
      </c>
      <c r="H263" s="136">
        <f t="shared" si="120"/>
        <v>3.25</v>
      </c>
      <c r="I263" s="136">
        <f t="shared" si="120"/>
        <v>4.2857142857142856</v>
      </c>
      <c r="J263" s="136">
        <f t="shared" si="120"/>
        <v>1.5</v>
      </c>
      <c r="K263" s="136">
        <f t="shared" si="120"/>
        <v>3.2</v>
      </c>
      <c r="L263" s="136">
        <f t="shared" ref="L263" si="121">L261/L262</f>
        <v>1.7142857142857142</v>
      </c>
      <c r="M263" s="148">
        <f t="shared" si="120"/>
        <v>1.4162162162162162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263"/>
  <sheetViews>
    <sheetView topLeftCell="C112" workbookViewId="0">
      <selection activeCell="J108" sqref="J108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42578125" bestFit="1" customWidth="1"/>
    <col min="5" max="10" width="19.140625" customWidth="1"/>
    <col min="11" max="11" width="23.140625" customWidth="1"/>
    <col min="12" max="12" width="20.140625" bestFit="1" customWidth="1"/>
  </cols>
  <sheetData>
    <row r="1" spans="1:12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5" thickBot="1" x14ac:dyDescent="0.3">
      <c r="A7" s="519" t="s">
        <v>176</v>
      </c>
      <c r="B7" s="520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.75" thickBot="1" x14ac:dyDescent="0.3">
      <c r="A8" s="521" t="s">
        <v>161</v>
      </c>
      <c r="B8" s="522"/>
      <c r="C8" s="522"/>
      <c r="D8" s="522"/>
      <c r="E8" s="522"/>
      <c r="F8" s="522"/>
      <c r="G8" s="522"/>
      <c r="H8" s="522"/>
      <c r="I8" s="522"/>
      <c r="J8" s="522"/>
      <c r="K8" s="522"/>
      <c r="L8" s="523"/>
    </row>
    <row r="9" spans="1:12" ht="15.75" x14ac:dyDescent="0.25">
      <c r="A9" s="524" t="s">
        <v>178</v>
      </c>
      <c r="B9" s="525"/>
      <c r="C9" s="53" t="s">
        <v>154</v>
      </c>
      <c r="D9" s="52">
        <f>Mulanje!G9+Mulanje!H9+Mulanje!I9</f>
        <v>0</v>
      </c>
      <c r="E9" s="52">
        <f>Luchenza!G9+Luchenza!H9+Luchenza!I9</f>
        <v>0</v>
      </c>
      <c r="F9" s="52">
        <f>Thyolo!G9+Thyolo!H9+Thyolo!I9</f>
        <v>0</v>
      </c>
      <c r="G9" s="52">
        <f>Muloza!G9+Muloza!H9+Muloza!I9</f>
        <v>0</v>
      </c>
      <c r="H9" s="52">
        <f>MUST!G9+MUST!H9+MUST!I9</f>
        <v>0</v>
      </c>
      <c r="I9" s="52">
        <f>Phalombe!G9+Phalombe!H9+Phalombe!I9</f>
        <v>0</v>
      </c>
      <c r="J9" s="52">
        <f>Mikolongwe!G9+Mikolongwe!H9+Mikolongwe!I9</f>
        <v>0</v>
      </c>
      <c r="K9" s="52">
        <f>Migowi!G9+Migowi!H9+Migowi!I9</f>
        <v>0</v>
      </c>
      <c r="L9" s="137">
        <f>SUM(D9:K9)</f>
        <v>0</v>
      </c>
    </row>
    <row r="10" spans="1:12" x14ac:dyDescent="0.25">
      <c r="A10" s="442" t="s">
        <v>179</v>
      </c>
      <c r="B10" s="443"/>
      <c r="C10" s="443"/>
      <c r="D10" s="526"/>
      <c r="E10" s="526"/>
      <c r="F10" s="526"/>
      <c r="G10" s="526"/>
      <c r="H10" s="526"/>
      <c r="I10" s="526"/>
      <c r="J10" s="526"/>
      <c r="K10" s="526"/>
      <c r="L10" s="444"/>
    </row>
    <row r="11" spans="1:12" ht="15.75" x14ac:dyDescent="0.25">
      <c r="A11" s="460" t="s">
        <v>159</v>
      </c>
      <c r="B11" s="461"/>
      <c r="C11" s="4" t="s">
        <v>154</v>
      </c>
      <c r="D11" s="22">
        <f>Mulanje!G11+Mulanje!H11+Mulanje!I11</f>
        <v>0</v>
      </c>
      <c r="E11" s="22">
        <f>Luchenza!G11+Luchenza!H11+Luchenza!I11</f>
        <v>0</v>
      </c>
      <c r="F11" s="22">
        <f>Thyolo!G11+Thyolo!H11+Thyolo!I11</f>
        <v>0</v>
      </c>
      <c r="G11" s="22">
        <f>Muloza!G11+Muloza!H11+Muloza!I11</f>
        <v>0</v>
      </c>
      <c r="H11" s="22">
        <f>MUST!G11+MUST!H11+MUST!I11</f>
        <v>0</v>
      </c>
      <c r="I11" s="22">
        <f>Phalombe!G11+Phalombe!H11+Phalombe!I11</f>
        <v>0</v>
      </c>
      <c r="J11" s="22">
        <f>Mikolongwe!G11+Mikolongwe!H11+Mikolongwe!I11</f>
        <v>0</v>
      </c>
      <c r="K11" s="22">
        <f>Migowi!G11+Migowi!H11+Migowi!I11</f>
        <v>0</v>
      </c>
      <c r="L11" s="50">
        <f>SUM(D11:K11)</f>
        <v>0</v>
      </c>
    </row>
    <row r="12" spans="1:12" ht="15.75" x14ac:dyDescent="0.25">
      <c r="A12" s="460" t="s">
        <v>158</v>
      </c>
      <c r="B12" s="461"/>
      <c r="C12" s="4" t="s">
        <v>154</v>
      </c>
      <c r="D12" s="22">
        <f>Mulanje!G12+Mulanje!H12+Mulanje!I12</f>
        <v>0</v>
      </c>
      <c r="E12" s="22">
        <f>Luchenza!G12+Luchenza!H12+Luchenza!I12</f>
        <v>0</v>
      </c>
      <c r="F12" s="22">
        <f>Thyolo!G12+Thyolo!H12+Thyolo!I12</f>
        <v>0</v>
      </c>
      <c r="G12" s="22">
        <f>Muloza!G12+Muloza!H12+Muloza!I12</f>
        <v>0</v>
      </c>
      <c r="H12" s="22">
        <f>MUST!G12+MUST!H12+MUST!I12</f>
        <v>0</v>
      </c>
      <c r="I12" s="22">
        <f>Phalombe!G12+Phalombe!H12+Phalombe!I12</f>
        <v>0</v>
      </c>
      <c r="J12" s="22">
        <f>Mikolongwe!G12+Mikolongwe!H12+Mikolongwe!I12</f>
        <v>0</v>
      </c>
      <c r="K12" s="22">
        <f>Migowi!G12+Migowi!H12+Migowi!I12</f>
        <v>0</v>
      </c>
      <c r="L12" s="50">
        <f>SUM(D12:K12)</f>
        <v>0</v>
      </c>
    </row>
    <row r="13" spans="1:12" ht="15.75" x14ac:dyDescent="0.25">
      <c r="A13" s="460" t="s">
        <v>157</v>
      </c>
      <c r="B13" s="461"/>
      <c r="C13" s="4" t="s">
        <v>154</v>
      </c>
      <c r="D13" s="22">
        <f>Mulanje!G13+Mulanje!H13+Mulanje!I13</f>
        <v>0</v>
      </c>
      <c r="E13" s="22">
        <f>Luchenza!G13+Luchenza!H13+Luchenza!I13</f>
        <v>0</v>
      </c>
      <c r="F13" s="22">
        <f>Thyolo!G13+Thyolo!H13+Thyolo!I13</f>
        <v>0</v>
      </c>
      <c r="G13" s="22">
        <f>Muloza!G13+Muloza!H13+Muloza!I13</f>
        <v>0</v>
      </c>
      <c r="H13" s="22">
        <f>MUST!G13+MUST!H13+MUST!I13</f>
        <v>0</v>
      </c>
      <c r="I13" s="22">
        <f>Phalombe!G13+Phalombe!H13+Phalombe!I13</f>
        <v>0</v>
      </c>
      <c r="J13" s="22">
        <f>Mikolongwe!G13+Mikolongwe!H13+Mikolongwe!I13</f>
        <v>0</v>
      </c>
      <c r="K13" s="22">
        <f>Migowi!G13+Migowi!H13+Migowi!I13</f>
        <v>0</v>
      </c>
      <c r="L13" s="50">
        <f>SUM(D13:K13)</f>
        <v>0</v>
      </c>
    </row>
    <row r="14" spans="1:12" ht="15.75" x14ac:dyDescent="0.25">
      <c r="A14" s="445" t="s">
        <v>156</v>
      </c>
      <c r="B14" s="446"/>
      <c r="C14" s="4" t="s">
        <v>154</v>
      </c>
      <c r="D14" s="22">
        <f>Mulanje!G14+Mulanje!H14+Mulanje!I14</f>
        <v>0</v>
      </c>
      <c r="E14" s="22">
        <f>Luchenza!G14+Luchenza!H14+Luchenza!I14</f>
        <v>0</v>
      </c>
      <c r="F14" s="22">
        <f>Thyolo!G14+Thyolo!H14+Thyolo!I14</f>
        <v>0</v>
      </c>
      <c r="G14" s="22">
        <f>Muloza!G14+Muloza!H14+Muloza!I14</f>
        <v>0</v>
      </c>
      <c r="H14" s="22">
        <f>MUST!G14+MUST!H14+MUST!I14</f>
        <v>0</v>
      </c>
      <c r="I14" s="22">
        <f>Phalombe!G14+Phalombe!H14+Phalombe!I14</f>
        <v>0</v>
      </c>
      <c r="J14" s="22">
        <f>Mikolongwe!G14+Mikolongwe!H14+Mikolongwe!I14</f>
        <v>0</v>
      </c>
      <c r="K14" s="22">
        <f>Migowi!G14+Migowi!H14+Migowi!I14</f>
        <v>0</v>
      </c>
      <c r="L14" s="50">
        <f>SUM(D14:K14)</f>
        <v>0</v>
      </c>
    </row>
    <row r="15" spans="1:12" s="58" customFormat="1" ht="15.75" x14ac:dyDescent="0.25">
      <c r="A15" s="478" t="s">
        <v>160</v>
      </c>
      <c r="B15" s="479"/>
      <c r="C15" s="57" t="s">
        <v>154</v>
      </c>
      <c r="D15" s="30">
        <f t="shared" ref="D15:L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50">
        <f t="shared" si="0"/>
        <v>0</v>
      </c>
    </row>
    <row r="16" spans="1:12" x14ac:dyDescent="0.25">
      <c r="A16" s="442" t="s">
        <v>180</v>
      </c>
      <c r="B16" s="443"/>
      <c r="C16" s="443"/>
      <c r="D16" s="443"/>
      <c r="E16" s="443"/>
      <c r="F16" s="443"/>
      <c r="G16" s="443"/>
      <c r="H16" s="443"/>
      <c r="I16" s="443"/>
      <c r="J16" s="443"/>
      <c r="K16" s="443"/>
      <c r="L16" s="444"/>
    </row>
    <row r="17" spans="1:12" ht="15.75" x14ac:dyDescent="0.25">
      <c r="A17" s="460" t="s">
        <v>182</v>
      </c>
      <c r="B17" s="461"/>
      <c r="C17" s="4" t="s">
        <v>154</v>
      </c>
      <c r="D17" s="22">
        <f>Mulanje!G17+Mulanje!H17+Mulanje!I17</f>
        <v>0</v>
      </c>
      <c r="E17" s="22">
        <f>Luchenza!G17+Luchenza!H17+Luchenza!I17</f>
        <v>0</v>
      </c>
      <c r="F17" s="22">
        <f>Thyolo!G17+Thyolo!H17+Thyolo!I17</f>
        <v>0</v>
      </c>
      <c r="G17" s="22">
        <f>Muloza!G17+Muloza!H17+Muloza!I17</f>
        <v>0</v>
      </c>
      <c r="H17" s="22">
        <f>MUST!G17+MUST!H17+MUST!I17</f>
        <v>0</v>
      </c>
      <c r="I17" s="22">
        <f>Phalombe!G17+Phalombe!H17+Phalombe!I17</f>
        <v>0</v>
      </c>
      <c r="J17" s="22">
        <f>Mikolongwe!G17+Mikolongwe!H17+Mikolongwe!I17</f>
        <v>0</v>
      </c>
      <c r="K17" s="22">
        <f>Migowi!G17+Migowi!H17+Migowi!I17</f>
        <v>0</v>
      </c>
      <c r="L17" s="50">
        <f>SUM(D17:K17)</f>
        <v>0</v>
      </c>
    </row>
    <row r="18" spans="1:12" ht="15.75" x14ac:dyDescent="0.25">
      <c r="A18" s="460" t="s">
        <v>183</v>
      </c>
      <c r="B18" s="461"/>
      <c r="C18" s="4" t="s">
        <v>154</v>
      </c>
      <c r="D18" s="22">
        <f>Mulanje!G18+Mulanje!H18+Mulanje!I18</f>
        <v>0</v>
      </c>
      <c r="E18" s="22">
        <f>Luchenza!G18+Luchenza!H18+Luchenza!I18</f>
        <v>0</v>
      </c>
      <c r="F18" s="22">
        <f>Thyolo!G18+Thyolo!H18+Thyolo!I18</f>
        <v>0</v>
      </c>
      <c r="G18" s="22">
        <f>Muloza!G18+Muloza!H18+Muloza!I18</f>
        <v>0</v>
      </c>
      <c r="H18" s="22">
        <f>MUST!G18+MUST!H18+MUST!I18</f>
        <v>0</v>
      </c>
      <c r="I18" s="22">
        <f>Phalombe!G18+Phalombe!H18+Phalombe!I18</f>
        <v>0</v>
      </c>
      <c r="J18" s="22">
        <f>Mikolongwe!G18+Mikolongwe!H18+Mikolongwe!I18</f>
        <v>0</v>
      </c>
      <c r="K18" s="22">
        <f>Migowi!G18+Migowi!H18+Migowi!I18</f>
        <v>0</v>
      </c>
      <c r="L18" s="50">
        <f>SUM(D18:K18)</f>
        <v>0</v>
      </c>
    </row>
    <row r="19" spans="1:12" ht="15.75" x14ac:dyDescent="0.25">
      <c r="A19" s="460" t="s">
        <v>184</v>
      </c>
      <c r="B19" s="461"/>
      <c r="C19" s="4" t="s">
        <v>154</v>
      </c>
      <c r="D19" s="22">
        <f>Mulanje!G19+Mulanje!H19+Mulanje!I19</f>
        <v>0</v>
      </c>
      <c r="E19" s="22">
        <f>Luchenza!G19+Luchenza!H19+Luchenza!I19</f>
        <v>0</v>
      </c>
      <c r="F19" s="22">
        <f>Thyolo!G19+Thyolo!H19+Thyolo!I19</f>
        <v>0</v>
      </c>
      <c r="G19" s="22">
        <f>Muloza!G19+Muloza!H19+Muloza!I19</f>
        <v>0</v>
      </c>
      <c r="H19" s="22">
        <f>MUST!G19+MUST!H19+MUST!I19</f>
        <v>0</v>
      </c>
      <c r="I19" s="22">
        <f>Phalombe!G19+Phalombe!H19+Phalombe!I19</f>
        <v>0</v>
      </c>
      <c r="J19" s="22">
        <f>Mikolongwe!G19+Mikolongwe!H19+Mikolongwe!I19</f>
        <v>0</v>
      </c>
      <c r="K19" s="22">
        <f>Migowi!G19+Migowi!H19+Migowi!I19</f>
        <v>0</v>
      </c>
      <c r="L19" s="50">
        <f>SUM(D19:K19)</f>
        <v>0</v>
      </c>
    </row>
    <row r="20" spans="1:12" ht="15.75" x14ac:dyDescent="0.25">
      <c r="A20" s="445" t="s">
        <v>185</v>
      </c>
      <c r="B20" s="446"/>
      <c r="C20" s="4" t="s">
        <v>154</v>
      </c>
      <c r="D20" s="22">
        <f>Mulanje!G20+Mulanje!H20+Mulanje!I20</f>
        <v>0</v>
      </c>
      <c r="E20" s="22">
        <f>Luchenza!G20+Luchenza!H20+Luchenza!I20</f>
        <v>0</v>
      </c>
      <c r="F20" s="22">
        <f>Thyolo!G20+Thyolo!H20+Thyolo!I20</f>
        <v>0</v>
      </c>
      <c r="G20" s="22">
        <f>Muloza!G20+Muloza!H20+Muloza!I20</f>
        <v>0</v>
      </c>
      <c r="H20" s="22">
        <f>MUST!G20+MUST!H20+MUST!I20</f>
        <v>0</v>
      </c>
      <c r="I20" s="22">
        <f>Phalombe!G20+Phalombe!H20+Phalombe!I20</f>
        <v>0</v>
      </c>
      <c r="J20" s="22">
        <f>Mikolongwe!G20+Mikolongwe!H20+Mikolongwe!I20</f>
        <v>0</v>
      </c>
      <c r="K20" s="22">
        <f>Migowi!G20+Migowi!H20+Migowi!I20</f>
        <v>0</v>
      </c>
      <c r="L20" s="50">
        <f>SUM(D20:K20)</f>
        <v>0</v>
      </c>
    </row>
    <row r="21" spans="1:12" s="58" customFormat="1" ht="15.75" x14ac:dyDescent="0.25">
      <c r="A21" s="478" t="s">
        <v>186</v>
      </c>
      <c r="B21" s="479"/>
      <c r="C21" s="57" t="s">
        <v>154</v>
      </c>
      <c r="D21" s="30">
        <f>SUM(D17:D20)</f>
        <v>0</v>
      </c>
      <c r="E21" s="30">
        <f t="shared" ref="E21:L21" si="1">SUM(E17:E20)</f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50">
        <f t="shared" si="1"/>
        <v>0</v>
      </c>
    </row>
    <row r="22" spans="1:12" ht="15.75" x14ac:dyDescent="0.25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L22" si="2">E21+E15</f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50">
        <f t="shared" si="2"/>
        <v>0</v>
      </c>
    </row>
    <row r="23" spans="1:12" x14ac:dyDescent="0.25">
      <c r="A23" s="442" t="s">
        <v>217</v>
      </c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4"/>
    </row>
    <row r="24" spans="1:12" ht="15.75" x14ac:dyDescent="0.25">
      <c r="A24" s="517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L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89">
        <f t="shared" si="3"/>
        <v>0</v>
      </c>
    </row>
    <row r="25" spans="1:12" ht="15.75" x14ac:dyDescent="0.25">
      <c r="A25" s="518"/>
      <c r="B25" s="48" t="s">
        <v>153</v>
      </c>
      <c r="C25" s="47" t="s">
        <v>6</v>
      </c>
      <c r="D25" s="46" t="e">
        <f t="shared" ref="D25:L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138" t="e">
        <f t="shared" si="4"/>
        <v>#DIV/0!</v>
      </c>
    </row>
    <row r="26" spans="1:12" x14ac:dyDescent="0.25">
      <c r="A26" s="442" t="s">
        <v>152</v>
      </c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44"/>
    </row>
    <row r="27" spans="1:12" x14ac:dyDescent="0.25">
      <c r="A27" s="512" t="s">
        <v>151</v>
      </c>
      <c r="B27" s="513"/>
      <c r="C27" s="513"/>
      <c r="D27" s="513"/>
      <c r="E27" s="513"/>
      <c r="F27" s="513"/>
      <c r="G27" s="513"/>
      <c r="H27" s="513"/>
      <c r="I27" s="513"/>
      <c r="J27" s="513"/>
      <c r="K27" s="513"/>
      <c r="L27" s="514"/>
    </row>
    <row r="28" spans="1:12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75" x14ac:dyDescent="0.25">
      <c r="A29" s="515" t="s">
        <v>148</v>
      </c>
      <c r="B29" s="441">
        <v>5111.67</v>
      </c>
      <c r="C29" s="4" t="s">
        <v>142</v>
      </c>
      <c r="D29" s="22">
        <f>Mulanje!G29+Mulanje!H29+Mulanje!I29</f>
        <v>0</v>
      </c>
      <c r="E29" s="22">
        <f>Luchenza!G29+Luchenza!H29+Luchenza!I29</f>
        <v>0</v>
      </c>
      <c r="F29" s="22">
        <f>Thyolo!G29+Thyolo!H29+Thyolo!I29</f>
        <v>0</v>
      </c>
      <c r="G29" s="22">
        <f>Muloza!G29+Muloza!H29+Muloza!I29</f>
        <v>0</v>
      </c>
      <c r="H29" s="22">
        <f>MUST!G29+MUST!H29+MUST!I29</f>
        <v>0</v>
      </c>
      <c r="I29" s="22">
        <f>Phalombe!G29+Phalombe!H29+Phalombe!I29</f>
        <v>0</v>
      </c>
      <c r="J29" s="22">
        <f>Mikolongwe!G29+Mikolongwe!H29+Mikolongwe!I29</f>
        <v>0</v>
      </c>
      <c r="K29" s="22">
        <f>Migowi!G29+Migowi!H29+Migowi!I29</f>
        <v>0</v>
      </c>
      <c r="L29" s="40">
        <f>SUM(D29:K29)</f>
        <v>0</v>
      </c>
    </row>
    <row r="30" spans="1:12" ht="15.75" x14ac:dyDescent="0.25">
      <c r="A30" s="516"/>
      <c r="B30" s="441"/>
      <c r="C30" s="37" t="s">
        <v>141</v>
      </c>
      <c r="D30" s="13" t="e">
        <f t="shared" ref="D30:L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92" t="e">
        <f t="shared" si="5"/>
        <v>#DIV/0!</v>
      </c>
    </row>
    <row r="31" spans="1:12" ht="15.75" x14ac:dyDescent="0.25">
      <c r="A31" s="475" t="s">
        <v>147</v>
      </c>
      <c r="B31" s="441">
        <v>1537</v>
      </c>
      <c r="C31" s="4" t="s">
        <v>142</v>
      </c>
      <c r="D31" s="22">
        <f>Mulanje!G31+Mulanje!H31+Mulanje!I31</f>
        <v>0</v>
      </c>
      <c r="E31" s="22">
        <f>Luchenza!G31+Luchenza!H31+Luchenza!I31</f>
        <v>0</v>
      </c>
      <c r="F31" s="22">
        <f>Thyolo!G31+Thyolo!H31+Thyolo!I31</f>
        <v>0</v>
      </c>
      <c r="G31" s="22">
        <f>Muloza!G31+Muloza!H31+Muloza!I31</f>
        <v>0</v>
      </c>
      <c r="H31" s="22">
        <f>MUST!G31+MUST!H31+MUST!I31</f>
        <v>0</v>
      </c>
      <c r="I31" s="22">
        <f>Phalombe!G31+Phalombe!H31+Phalombe!I31</f>
        <v>0</v>
      </c>
      <c r="J31" s="22">
        <f>Mikolongwe!G31+Mikolongwe!H31+Mikolongwe!I31</f>
        <v>0</v>
      </c>
      <c r="K31" s="22">
        <f>Migowi!G31+Migowi!H31+Migowi!I31</f>
        <v>0</v>
      </c>
      <c r="L31" s="40">
        <f>SUM(D31:K31)</f>
        <v>0</v>
      </c>
    </row>
    <row r="32" spans="1:12" ht="15.75" x14ac:dyDescent="0.25">
      <c r="A32" s="477"/>
      <c r="B32" s="441"/>
      <c r="C32" s="37" t="s">
        <v>141</v>
      </c>
      <c r="D32" s="13" t="e">
        <f t="shared" ref="D32:L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92" t="e">
        <f t="shared" si="6"/>
        <v>#DIV/0!</v>
      </c>
    </row>
    <row r="33" spans="1:12" ht="15.75" x14ac:dyDescent="0.25">
      <c r="A33" s="475" t="s">
        <v>146</v>
      </c>
      <c r="B33" s="441">
        <v>1781.02</v>
      </c>
      <c r="C33" s="4" t="s">
        <v>142</v>
      </c>
      <c r="D33" s="22">
        <f>Mulanje!G33+Mulanje!H33+Mulanje!I33</f>
        <v>0</v>
      </c>
      <c r="E33" s="22">
        <f>Luchenza!G33+Luchenza!H33+Luchenza!I33</f>
        <v>0</v>
      </c>
      <c r="F33" s="22">
        <f>Thyolo!G33+Thyolo!H33+Thyolo!I33</f>
        <v>0</v>
      </c>
      <c r="G33" s="22">
        <f>Muloza!G33+Muloza!H33+Muloza!I33</f>
        <v>0</v>
      </c>
      <c r="H33" s="22">
        <f>MUST!G33+MUST!H33+MUST!I33</f>
        <v>0</v>
      </c>
      <c r="I33" s="22">
        <f>Phalombe!G33+Phalombe!H33+Phalombe!I33</f>
        <v>0</v>
      </c>
      <c r="J33" s="22">
        <f>Mikolongwe!G33+Mikolongwe!H33+Mikolongwe!I33</f>
        <v>0</v>
      </c>
      <c r="K33" s="22">
        <f>Migowi!G33+Migowi!H33+Migowi!I33</f>
        <v>0</v>
      </c>
      <c r="L33" s="40">
        <f>SUM(D33:K33)</f>
        <v>0</v>
      </c>
    </row>
    <row r="34" spans="1:12" ht="15.75" x14ac:dyDescent="0.25">
      <c r="A34" s="477"/>
      <c r="B34" s="441"/>
      <c r="C34" s="37" t="s">
        <v>141</v>
      </c>
      <c r="D34" s="13" t="e">
        <f t="shared" ref="D34:L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92" t="e">
        <f t="shared" si="7"/>
        <v>#DIV/0!</v>
      </c>
    </row>
    <row r="35" spans="1:12" ht="15.75" x14ac:dyDescent="0.25">
      <c r="A35" s="475" t="s">
        <v>145</v>
      </c>
      <c r="B35" s="441">
        <v>5979.95</v>
      </c>
      <c r="C35" s="4" t="s">
        <v>128</v>
      </c>
      <c r="D35" s="22">
        <f>Mulanje!G35+Mulanje!H35+Mulanje!I35</f>
        <v>0</v>
      </c>
      <c r="E35" s="22">
        <f>Luchenza!G35+Luchenza!H35+Luchenza!I35</f>
        <v>0</v>
      </c>
      <c r="F35" s="22">
        <f>Thyolo!G35+Thyolo!H35+Thyolo!I35</f>
        <v>0</v>
      </c>
      <c r="G35" s="22">
        <f>Muloza!G35+Muloza!H35+Muloza!I35</f>
        <v>0</v>
      </c>
      <c r="H35" s="22">
        <f>MUST!G35+MUST!H35+MUST!I35</f>
        <v>0</v>
      </c>
      <c r="I35" s="22">
        <f>Phalombe!G35+Phalombe!H35+Phalombe!I35</f>
        <v>0</v>
      </c>
      <c r="J35" s="22">
        <f>Mikolongwe!G35+Mikolongwe!H35+Mikolongwe!I35</f>
        <v>0</v>
      </c>
      <c r="K35" s="22">
        <f>Migowi!G35+Migowi!H35+Migowi!I35</f>
        <v>0</v>
      </c>
      <c r="L35" s="92"/>
    </row>
    <row r="36" spans="1:12" ht="15.75" x14ac:dyDescent="0.25">
      <c r="A36" s="477"/>
      <c r="B36" s="441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92"/>
    </row>
    <row r="37" spans="1:12" ht="15.75" x14ac:dyDescent="0.25">
      <c r="A37" s="475" t="s">
        <v>188</v>
      </c>
      <c r="B37" s="441">
        <v>5403.75</v>
      </c>
      <c r="C37" s="4" t="s">
        <v>128</v>
      </c>
      <c r="D37" s="22">
        <f>Mulanje!G37+Mulanje!H37+Mulanje!I37</f>
        <v>0</v>
      </c>
      <c r="E37" s="22">
        <f>Luchenza!G37+Luchenza!H37+Luchenza!I37</f>
        <v>0</v>
      </c>
      <c r="F37" s="22">
        <f>Thyolo!G37+Thyolo!H37+Thyolo!I37</f>
        <v>0</v>
      </c>
      <c r="G37" s="22">
        <f>Muloza!G37+Muloza!H37+Muloza!I37</f>
        <v>0</v>
      </c>
      <c r="H37" s="22">
        <f>MUST!G37+MUST!H37+MUST!I37</f>
        <v>0</v>
      </c>
      <c r="I37" s="22">
        <f>Phalombe!G37+Phalombe!H37+Phalombe!I37</f>
        <v>0</v>
      </c>
      <c r="J37" s="22">
        <f>Mikolongwe!G37+Mikolongwe!H37+Mikolongwe!I37</f>
        <v>0</v>
      </c>
      <c r="K37" s="22">
        <f>Migowi!G37+Migowi!H37+Migowi!I37</f>
        <v>0</v>
      </c>
      <c r="L37" s="40">
        <f>SUM(D37:K37)</f>
        <v>0</v>
      </c>
    </row>
    <row r="38" spans="1:12" ht="15.75" x14ac:dyDescent="0.25">
      <c r="A38" s="477"/>
      <c r="B38" s="441"/>
      <c r="C38" s="4" t="s">
        <v>144</v>
      </c>
      <c r="D38" s="13" t="e">
        <f t="shared" ref="D38:L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92" t="e">
        <f t="shared" si="8"/>
        <v>#DIV/0!</v>
      </c>
    </row>
    <row r="39" spans="1:12" ht="15.75" x14ac:dyDescent="0.25">
      <c r="A39" s="475" t="s">
        <v>143</v>
      </c>
      <c r="B39" s="441">
        <v>1950</v>
      </c>
      <c r="C39" s="4" t="s">
        <v>142</v>
      </c>
      <c r="D39" s="22">
        <f>Mulanje!G39+Mulanje!H39+Mulanje!I39</f>
        <v>0</v>
      </c>
      <c r="E39" s="22">
        <f>Luchenza!G39+Luchenza!H39+Luchenza!I39</f>
        <v>0</v>
      </c>
      <c r="F39" s="22">
        <f>Thyolo!G39+Thyolo!H39+Thyolo!I39</f>
        <v>0</v>
      </c>
      <c r="G39" s="22">
        <f>Muloza!G39+Muloza!H39+Muloza!I39</f>
        <v>0</v>
      </c>
      <c r="H39" s="22">
        <f>MUST!G39+MUST!H39+MUST!I39</f>
        <v>0</v>
      </c>
      <c r="I39" s="22">
        <f>Phalombe!G39+Phalombe!H39+Phalombe!I39</f>
        <v>0</v>
      </c>
      <c r="J39" s="22">
        <f>Mikolongwe!G39+Mikolongwe!H39+Mikolongwe!I39</f>
        <v>0</v>
      </c>
      <c r="K39" s="22">
        <f>Migowi!G39+Migowi!H39+Migowi!I39</f>
        <v>0</v>
      </c>
      <c r="L39" s="40">
        <f>SUM(D39:K39)</f>
        <v>0</v>
      </c>
    </row>
    <row r="40" spans="1:12" ht="15.75" x14ac:dyDescent="0.25">
      <c r="A40" s="477"/>
      <c r="B40" s="441"/>
      <c r="C40" s="37" t="s">
        <v>141</v>
      </c>
      <c r="D40" s="13" t="e">
        <f t="shared" ref="D40:L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92" t="e">
        <f t="shared" si="9"/>
        <v>#DIV/0!</v>
      </c>
    </row>
    <row r="41" spans="1:12" ht="15.75" x14ac:dyDescent="0.25">
      <c r="A41" s="445" t="s">
        <v>140</v>
      </c>
      <c r="B41" s="446"/>
      <c r="C41" s="4" t="s">
        <v>31</v>
      </c>
      <c r="D41" s="36">
        <f>(D29*$B29)+(D31*$B31)+(D33*$B33)+(D35*$B35)+(D37*$B37)+(D39*$B39)</f>
        <v>0</v>
      </c>
      <c r="E41" s="36">
        <f t="shared" ref="E41:K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4">
        <f>SUM(D41:K41)</f>
        <v>0</v>
      </c>
    </row>
    <row r="42" spans="1:12" ht="15.75" x14ac:dyDescent="0.25">
      <c r="A42" s="510" t="s">
        <v>139</v>
      </c>
      <c r="B42" s="511"/>
      <c r="C42" s="37" t="s">
        <v>117</v>
      </c>
      <c r="D42" s="13" t="e">
        <f t="shared" ref="D42:L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39" t="e">
        <f t="shared" si="11"/>
        <v>#DIV/0!</v>
      </c>
    </row>
    <row r="43" spans="1:12" x14ac:dyDescent="0.25">
      <c r="A43" s="507" t="s">
        <v>138</v>
      </c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9"/>
    </row>
    <row r="44" spans="1:12" ht="15.75" x14ac:dyDescent="0.25">
      <c r="A44" s="445" t="s">
        <v>137</v>
      </c>
      <c r="B44" s="446"/>
      <c r="C44" s="4" t="s">
        <v>136</v>
      </c>
      <c r="D44" s="22">
        <f>Mulanje!G44+Mulanje!H44+Mulanje!I44</f>
        <v>0</v>
      </c>
      <c r="E44" s="22">
        <f>Luchenza!G44+Luchenza!H44+Luchenza!I44</f>
        <v>0</v>
      </c>
      <c r="F44" s="22">
        <f>Thyolo!G44+Thyolo!H44+Thyolo!I44</f>
        <v>0</v>
      </c>
      <c r="G44" s="22">
        <f>Muloza!G44+Muloza!H44+Muloza!I44</f>
        <v>0</v>
      </c>
      <c r="H44" s="22">
        <f>MUST!G44+MUST!H44+MUST!I44</f>
        <v>0</v>
      </c>
      <c r="I44" s="22">
        <f>Phalombe!G44+Phalombe!H44+Phalombe!I44</f>
        <v>0</v>
      </c>
      <c r="J44" s="22">
        <f>Mikolongwe!G44+Mikolongwe!H44+Mikolongwe!I44</f>
        <v>0</v>
      </c>
      <c r="K44" s="22">
        <f>Migowi!G44+Migowi!H44+Migowi!I44</f>
        <v>0</v>
      </c>
      <c r="L44" s="34">
        <f>SUM(D44:K44)</f>
        <v>0</v>
      </c>
    </row>
    <row r="45" spans="1:12" ht="15.75" x14ac:dyDescent="0.25">
      <c r="A45" s="510" t="s">
        <v>135</v>
      </c>
      <c r="B45" s="511"/>
      <c r="C45" s="37" t="s">
        <v>134</v>
      </c>
      <c r="D45" s="13" t="e">
        <f t="shared" ref="D45:L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92" t="e">
        <f t="shared" si="12"/>
        <v>#DIV/0!</v>
      </c>
    </row>
    <row r="46" spans="1:12" ht="15.75" x14ac:dyDescent="0.25">
      <c r="A46" s="445" t="s">
        <v>133</v>
      </c>
      <c r="B46" s="446"/>
      <c r="C46" s="4" t="s">
        <v>31</v>
      </c>
      <c r="D46" s="22">
        <f>Mulanje!G46+Mulanje!H46+Mulanje!I46</f>
        <v>0</v>
      </c>
      <c r="E46" s="22">
        <f>Luchenza!G46+Luchenza!H46+Luchenza!I46</f>
        <v>0</v>
      </c>
      <c r="F46" s="22">
        <f>Thyolo!G46+Thyolo!H46+Thyolo!I46</f>
        <v>49279.5</v>
      </c>
      <c r="G46" s="22">
        <f>Muloza!G46+Muloza!H46+Muloza!I46</f>
        <v>0</v>
      </c>
      <c r="H46" s="22">
        <f>MUST!G46+MUST!H46+MUST!I46</f>
        <v>0</v>
      </c>
      <c r="I46" s="22">
        <f>Phalombe!G46+Phalombe!H46+Phalombe!I46</f>
        <v>0</v>
      </c>
      <c r="J46" s="22">
        <f>Mikolongwe!G46+Mikolongwe!H46+Mikolongwe!I46</f>
        <v>0</v>
      </c>
      <c r="K46" s="22">
        <f>Migowi!G46+Migowi!H46+Migowi!I46</f>
        <v>0</v>
      </c>
      <c r="L46" s="34">
        <f>SUM(D46:K46)</f>
        <v>49279.5</v>
      </c>
    </row>
    <row r="47" spans="1:12" ht="15.75" x14ac:dyDescent="0.25">
      <c r="A47" s="445" t="s">
        <v>132</v>
      </c>
      <c r="B47" s="446"/>
      <c r="C47" s="4" t="s">
        <v>117</v>
      </c>
      <c r="D47" s="13" t="e">
        <f t="shared" ref="D47:L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92" t="e">
        <f t="shared" si="13"/>
        <v>#DIV/0!</v>
      </c>
    </row>
    <row r="48" spans="1:12" x14ac:dyDescent="0.25">
      <c r="A48" s="507" t="s">
        <v>131</v>
      </c>
      <c r="B48" s="508"/>
      <c r="C48" s="508"/>
      <c r="D48" s="508"/>
      <c r="E48" s="508"/>
      <c r="F48" s="508"/>
      <c r="G48" s="508"/>
      <c r="H48" s="508"/>
      <c r="I48" s="508"/>
      <c r="J48" s="508"/>
      <c r="K48" s="508"/>
      <c r="L48" s="509"/>
    </row>
    <row r="49" spans="1:12" ht="15.75" x14ac:dyDescent="0.25">
      <c r="A49" s="445" t="s">
        <v>130</v>
      </c>
      <c r="B49" s="446"/>
      <c r="C49" s="4" t="s">
        <v>129</v>
      </c>
      <c r="D49" s="22">
        <f>Mulanje!G49+Mulanje!H49+Mulanje!I49</f>
        <v>0</v>
      </c>
      <c r="E49" s="22">
        <f>Luchenza!G49+Luchenza!H49+Luchenza!I49</f>
        <v>0</v>
      </c>
      <c r="F49" s="22">
        <f>Thyolo!G49+Thyolo!H49+Thyolo!I49</f>
        <v>0</v>
      </c>
      <c r="G49" s="22">
        <f>Muloza!G49+Muloza!H49+Muloza!I49</f>
        <v>0</v>
      </c>
      <c r="H49" s="22">
        <f>MUST!G49+MUST!H49+MUST!I49</f>
        <v>0</v>
      </c>
      <c r="I49" s="22">
        <f>Phalombe!G49+Phalombe!H49+Phalombe!I49</f>
        <v>0</v>
      </c>
      <c r="J49" s="22">
        <f>Mikolongwe!G49+Mikolongwe!H49+Mikolongwe!I49</f>
        <v>0</v>
      </c>
      <c r="K49" s="22">
        <f>Migowi!G49+Migowi!H49+Migowi!I49</f>
        <v>0</v>
      </c>
      <c r="L49" s="34">
        <f>SUM(D49:K49)</f>
        <v>0</v>
      </c>
    </row>
    <row r="50" spans="1:12" ht="15.75" x14ac:dyDescent="0.25">
      <c r="A50" s="445" t="s">
        <v>189</v>
      </c>
      <c r="B50" s="446"/>
      <c r="C50" s="4" t="s">
        <v>128</v>
      </c>
      <c r="D50" s="22">
        <f>Mulanje!G50+Mulanje!H50+Mulanje!I50</f>
        <v>0</v>
      </c>
      <c r="E50" s="22">
        <f>Luchenza!G50+Luchenza!H50+Luchenza!I50</f>
        <v>0</v>
      </c>
      <c r="F50" s="22">
        <f>Thyolo!G50+Thyolo!H50+Thyolo!I50</f>
        <v>0</v>
      </c>
      <c r="G50" s="22">
        <f>Muloza!G50+Muloza!H50+Muloza!I50</f>
        <v>0</v>
      </c>
      <c r="H50" s="22">
        <f>MUST!G50+MUST!H50+MUST!I50</f>
        <v>0</v>
      </c>
      <c r="I50" s="22">
        <f>Phalombe!G50+Phalombe!H50+Phalombe!I50</f>
        <v>0</v>
      </c>
      <c r="J50" s="22">
        <f>Mikolongwe!G50+Mikolongwe!H50+Mikolongwe!I50</f>
        <v>0</v>
      </c>
      <c r="K50" s="22">
        <f>Migowi!G50+Migowi!H50+Migowi!I50</f>
        <v>0</v>
      </c>
      <c r="L50" s="34">
        <f>SUM(D50:K50)</f>
        <v>0</v>
      </c>
    </row>
    <row r="51" spans="1:12" ht="15.75" x14ac:dyDescent="0.25">
      <c r="A51" s="445" t="s">
        <v>127</v>
      </c>
      <c r="B51" s="446"/>
      <c r="C51" s="4" t="s">
        <v>31</v>
      </c>
      <c r="D51" s="22">
        <f>Mulanje!G51+Mulanje!H51+Mulanje!I51</f>
        <v>0</v>
      </c>
      <c r="E51" s="22">
        <f>Luchenza!G51+Luchenza!H51+Luchenza!I51</f>
        <v>0</v>
      </c>
      <c r="F51" s="22">
        <f>Thyolo!G51+Thyolo!H51+Thyolo!I51</f>
        <v>0</v>
      </c>
      <c r="G51" s="22">
        <f>Muloza!G51+Muloza!H51+Muloza!I51</f>
        <v>0</v>
      </c>
      <c r="H51" s="22">
        <f>MUST!G51+MUST!H51+MUST!I51</f>
        <v>0</v>
      </c>
      <c r="I51" s="22">
        <f>Phalombe!G51+Phalombe!H51+Phalombe!I51</f>
        <v>0</v>
      </c>
      <c r="J51" s="22">
        <f>Mikolongwe!G51+Mikolongwe!H51+Mikolongwe!I51</f>
        <v>0</v>
      </c>
      <c r="K51" s="22">
        <f>Migowi!G51+Migowi!H51+Migowi!I51</f>
        <v>0</v>
      </c>
      <c r="L51" s="35">
        <f>SUM(D51:K51)</f>
        <v>0</v>
      </c>
    </row>
    <row r="52" spans="1:12" ht="15.75" x14ac:dyDescent="0.25">
      <c r="A52" s="445" t="s">
        <v>126</v>
      </c>
      <c r="B52" s="446"/>
      <c r="C52" s="4" t="s">
        <v>31</v>
      </c>
      <c r="D52" s="22">
        <f>Mulanje!G52+Mulanje!H52+Mulanje!I52</f>
        <v>0</v>
      </c>
      <c r="E52" s="22">
        <f>Luchenza!G52+Luchenza!H52+Luchenza!I52</f>
        <v>0</v>
      </c>
      <c r="F52" s="22">
        <f>Thyolo!G52+Thyolo!H52+Thyolo!I52</f>
        <v>0</v>
      </c>
      <c r="G52" s="22">
        <f>Muloza!G52+Muloza!H52+Muloza!I52</f>
        <v>0</v>
      </c>
      <c r="H52" s="22">
        <f>MUST!G52+MUST!H52+MUST!I52</f>
        <v>0</v>
      </c>
      <c r="I52" s="22">
        <f>Phalombe!G52+Phalombe!H52+Phalombe!I52</f>
        <v>0</v>
      </c>
      <c r="J52" s="22">
        <f>Mikolongwe!G52+Mikolongwe!H52+Mikolongwe!I52</f>
        <v>0</v>
      </c>
      <c r="K52" s="22">
        <f>Migowi!G52+Migowi!H52+Migowi!I52</f>
        <v>0</v>
      </c>
      <c r="L52" s="35">
        <f>SUM(D52:K52)</f>
        <v>0</v>
      </c>
    </row>
    <row r="53" spans="1:12" x14ac:dyDescent="0.25">
      <c r="A53" s="507" t="s">
        <v>125</v>
      </c>
      <c r="B53" s="508"/>
      <c r="C53" s="508"/>
      <c r="D53" s="508"/>
      <c r="E53" s="508"/>
      <c r="F53" s="508"/>
      <c r="G53" s="508"/>
      <c r="H53" s="508"/>
      <c r="I53" s="508"/>
      <c r="J53" s="508"/>
      <c r="K53" s="508"/>
      <c r="L53" s="509"/>
    </row>
    <row r="54" spans="1:12" ht="15.75" x14ac:dyDescent="0.25">
      <c r="A54" s="445" t="s">
        <v>124</v>
      </c>
      <c r="B54" s="446"/>
      <c r="C54" s="4" t="s">
        <v>18</v>
      </c>
      <c r="D54" s="22">
        <f>Mulanje!G54+Mulanje!H54+Mulanje!I54</f>
        <v>0</v>
      </c>
      <c r="E54" s="22">
        <f>Luchenza!G54+Luchenza!H54+Luchenza!I54</f>
        <v>0</v>
      </c>
      <c r="F54" s="22">
        <f>Thyolo!G54+Thyolo!H54+Thyolo!I54</f>
        <v>0</v>
      </c>
      <c r="G54" s="22">
        <f>Muloza!G54+Muloza!H54+Muloza!I54</f>
        <v>0</v>
      </c>
      <c r="H54" s="22">
        <f>MUST!G54+MUST!H54+MUST!I54</f>
        <v>0</v>
      </c>
      <c r="I54" s="22">
        <f>Phalombe!G54+Phalombe!H54+Phalombe!I54</f>
        <v>0</v>
      </c>
      <c r="J54" s="22">
        <f>Mikolongwe!G54+Mikolongwe!H54+Mikolongwe!I54</f>
        <v>0</v>
      </c>
      <c r="K54" s="22">
        <f>Migowi!G54+Migowi!H54+Migowi!I54</f>
        <v>0</v>
      </c>
      <c r="L54" s="34">
        <f>SUM(D54:K54)</f>
        <v>0</v>
      </c>
    </row>
    <row r="55" spans="1:12" ht="15.75" x14ac:dyDescent="0.25">
      <c r="A55" s="68" t="s">
        <v>123</v>
      </c>
      <c r="B55" s="69"/>
      <c r="C55" s="4" t="s">
        <v>18</v>
      </c>
      <c r="D55" s="22">
        <f>Mulanje!G55+Mulanje!H55+Mulanje!I55</f>
        <v>0</v>
      </c>
      <c r="E55" s="22">
        <f>Luchenza!G55+Luchenza!H55+Luchenza!I55</f>
        <v>0</v>
      </c>
      <c r="F55" s="22">
        <f>Thyolo!G55+Thyolo!H55+Thyolo!I55</f>
        <v>0</v>
      </c>
      <c r="G55" s="22">
        <f>Muloza!G55+Muloza!H55+Muloza!I55</f>
        <v>0</v>
      </c>
      <c r="H55" s="22">
        <f>MUST!G55+MUST!H55+MUST!I55</f>
        <v>0</v>
      </c>
      <c r="I55" s="22">
        <f>Phalombe!G55+Phalombe!H55+Phalombe!I55</f>
        <v>0</v>
      </c>
      <c r="J55" s="22">
        <f>Mikolongwe!G55+Mikolongwe!H55+Mikolongwe!I55</f>
        <v>0</v>
      </c>
      <c r="K55" s="22">
        <f>Migowi!G55+Migowi!H55+Migowi!I55</f>
        <v>0</v>
      </c>
      <c r="L55" s="34">
        <f>SUM(D55:K55)</f>
        <v>0</v>
      </c>
    </row>
    <row r="56" spans="1:12" ht="15.75" x14ac:dyDescent="0.25">
      <c r="A56" s="445" t="s">
        <v>122</v>
      </c>
      <c r="B56" s="446"/>
      <c r="C56" s="4" t="s">
        <v>18</v>
      </c>
      <c r="D56" s="22">
        <f>Mulanje!G56+Mulanje!H56+Mulanje!I56</f>
        <v>0</v>
      </c>
      <c r="E56" s="22">
        <f>Luchenza!G56+Luchenza!H56+Luchenza!I56</f>
        <v>0</v>
      </c>
      <c r="F56" s="22">
        <f>Thyolo!G56+Thyolo!H56+Thyolo!I56</f>
        <v>0</v>
      </c>
      <c r="G56" s="22">
        <f>Muloza!G56+Muloza!H56+Muloza!I56</f>
        <v>0</v>
      </c>
      <c r="H56" s="22">
        <f>MUST!G56+MUST!H56+MUST!I56</f>
        <v>0</v>
      </c>
      <c r="I56" s="22">
        <f>Phalombe!G56+Phalombe!H56+Phalombe!I56</f>
        <v>0</v>
      </c>
      <c r="J56" s="22">
        <f>Mikolongwe!G56+Mikolongwe!H56+Mikolongwe!I56</f>
        <v>0</v>
      </c>
      <c r="K56" s="22">
        <f>Migowi!G56+Migowi!H56+Migowi!I56</f>
        <v>0</v>
      </c>
      <c r="L56" s="34">
        <f>SUM(D56:K56)</f>
        <v>0</v>
      </c>
    </row>
    <row r="57" spans="1:12" x14ac:dyDescent="0.25">
      <c r="A57" s="507" t="s">
        <v>121</v>
      </c>
      <c r="B57" s="508"/>
      <c r="C57" s="508"/>
      <c r="D57" s="508"/>
      <c r="E57" s="508"/>
      <c r="F57" s="508"/>
      <c r="G57" s="508"/>
      <c r="H57" s="508"/>
      <c r="I57" s="508"/>
      <c r="J57" s="508"/>
      <c r="K57" s="508"/>
      <c r="L57" s="509"/>
    </row>
    <row r="58" spans="1:12" ht="15.75" x14ac:dyDescent="0.25">
      <c r="A58" s="445" t="s">
        <v>120</v>
      </c>
      <c r="B58" s="446"/>
      <c r="C58" s="4" t="s">
        <v>18</v>
      </c>
      <c r="D58" s="11">
        <f>D41+D46+D51+D52+D54+D55+D56</f>
        <v>0</v>
      </c>
      <c r="E58" s="11">
        <f t="shared" ref="E58:K58" si="14">E41+E46+E51+E52+E54+E55+E56</f>
        <v>0</v>
      </c>
      <c r="F58" s="11">
        <f t="shared" si="14"/>
        <v>49279.5</v>
      </c>
      <c r="G58" s="11">
        <f t="shared" si="14"/>
        <v>0</v>
      </c>
      <c r="H58" s="11">
        <f t="shared" si="14"/>
        <v>0</v>
      </c>
      <c r="I58" s="11">
        <f t="shared" si="14"/>
        <v>0</v>
      </c>
      <c r="J58" s="11">
        <f t="shared" si="14"/>
        <v>0</v>
      </c>
      <c r="K58" s="11">
        <f t="shared" si="14"/>
        <v>0</v>
      </c>
      <c r="L58" s="34">
        <f>SUM(D58:K58)</f>
        <v>49279.5</v>
      </c>
    </row>
    <row r="59" spans="1:12" ht="15.75" x14ac:dyDescent="0.25">
      <c r="A59" s="445" t="s">
        <v>119</v>
      </c>
      <c r="B59" s="446"/>
      <c r="C59" s="4" t="s">
        <v>117</v>
      </c>
      <c r="D59" s="13" t="e">
        <f t="shared" ref="D59:L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35" t="e">
        <f t="shared" si="15"/>
        <v>#DIV/0!</v>
      </c>
    </row>
    <row r="60" spans="1:12" ht="15.75" x14ac:dyDescent="0.25">
      <c r="A60" s="445" t="s">
        <v>118</v>
      </c>
      <c r="B60" s="446"/>
      <c r="C60" s="4" t="s">
        <v>117</v>
      </c>
      <c r="D60" s="13" t="e">
        <f>D58/D22</f>
        <v>#DIV/0!</v>
      </c>
      <c r="E60" s="13" t="e">
        <f t="shared" ref="E60:K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54" t="e">
        <f>L58/L22</f>
        <v>#DIV/0!</v>
      </c>
    </row>
    <row r="61" spans="1:12" ht="15.75" x14ac:dyDescent="0.25">
      <c r="A61" s="445" t="s">
        <v>116</v>
      </c>
      <c r="B61" s="446"/>
      <c r="C61" s="4" t="s">
        <v>3</v>
      </c>
      <c r="D61" s="22">
        <f>Mulanje!I61</f>
        <v>0</v>
      </c>
      <c r="E61" s="22">
        <f>Luchenza!I61</f>
        <v>0</v>
      </c>
      <c r="F61" s="22">
        <f>Thyolo!I61</f>
        <v>0</v>
      </c>
      <c r="G61" s="22">
        <f>Muloza!I61</f>
        <v>0</v>
      </c>
      <c r="H61" s="22">
        <f>MUST!I61</f>
        <v>0</v>
      </c>
      <c r="I61" s="22">
        <f>Phalombe!I61</f>
        <v>0</v>
      </c>
      <c r="J61" s="22">
        <f>Mikolongwe!I61</f>
        <v>0</v>
      </c>
      <c r="K61" s="22">
        <f>Migowi!I61</f>
        <v>0</v>
      </c>
      <c r="L61" s="149">
        <f>SUM(D61:K61)</f>
        <v>0</v>
      </c>
    </row>
    <row r="62" spans="1:12" ht="15.6" customHeight="1" x14ac:dyDescent="0.25">
      <c r="A62" s="445" t="s">
        <v>115</v>
      </c>
      <c r="B62" s="446"/>
      <c r="C62" s="4" t="s">
        <v>114</v>
      </c>
      <c r="D62" s="13" t="e">
        <f t="shared" ref="D62:L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35" t="e">
        <f t="shared" si="17"/>
        <v>#DIV/0!</v>
      </c>
    </row>
    <row r="63" spans="1:12" ht="15.75" x14ac:dyDescent="0.25">
      <c r="A63" s="502" t="s">
        <v>113</v>
      </c>
      <c r="B63" s="503"/>
      <c r="C63" s="33" t="s">
        <v>3</v>
      </c>
      <c r="D63" s="22">
        <f>Mulanje!G63+Mulanje!H63+Mulanje!I63</f>
        <v>0</v>
      </c>
      <c r="E63" s="22">
        <f>Luchenza!G63+Luchenza!H63+Luchenza!I63</f>
        <v>0</v>
      </c>
      <c r="F63" s="22">
        <f>Thyolo!G63+Thyolo!H63+Thyolo!I63</f>
        <v>0</v>
      </c>
      <c r="G63" s="22">
        <f>Muloza!G63+Muloza!H63+Muloza!I63</f>
        <v>0</v>
      </c>
      <c r="H63" s="22">
        <f>MUST!G63+MUST!H63+MUST!I63</f>
        <v>0</v>
      </c>
      <c r="I63" s="22">
        <f>Phalombe!G63+Phalombe!H63+Phalombe!I63</f>
        <v>0</v>
      </c>
      <c r="J63" s="22">
        <f>Mikolongwe!G63+Mikolongwe!H63+Mikolongwe!I63</f>
        <v>0</v>
      </c>
      <c r="K63" s="22">
        <f>Migowi!G63+Migowi!H63+Migowi!I63</f>
        <v>0</v>
      </c>
      <c r="L63" s="149">
        <f>SUM(D63:K63)</f>
        <v>0</v>
      </c>
    </row>
    <row r="64" spans="1:12" x14ac:dyDescent="0.25">
      <c r="A64" s="504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6"/>
    </row>
    <row r="65" spans="1:12" ht="14.45" customHeight="1" x14ac:dyDescent="0.25">
      <c r="A65" s="507" t="s">
        <v>112</v>
      </c>
      <c r="B65" s="508"/>
      <c r="C65" s="508"/>
      <c r="D65" s="508"/>
      <c r="E65" s="508"/>
      <c r="F65" s="508"/>
      <c r="G65" s="508"/>
      <c r="H65" s="508"/>
      <c r="I65" s="508"/>
      <c r="J65" s="508"/>
      <c r="K65" s="508"/>
      <c r="L65" s="509"/>
    </row>
    <row r="66" spans="1:12" ht="15.75" x14ac:dyDescent="0.25">
      <c r="A66" s="493" t="s">
        <v>111</v>
      </c>
      <c r="B66" s="21" t="s">
        <v>85</v>
      </c>
      <c r="C66" s="4" t="s">
        <v>3</v>
      </c>
      <c r="D66" s="22">
        <f>Mulanje!G66</f>
        <v>20</v>
      </c>
      <c r="E66" s="22">
        <f>Luchenza!G66</f>
        <v>43</v>
      </c>
      <c r="F66" s="22">
        <f>Thyolo!G66</f>
        <v>16</v>
      </c>
      <c r="G66" s="22">
        <f>Muloza!G66</f>
        <v>65</v>
      </c>
      <c r="H66" s="22">
        <f>MUST!G66</f>
        <v>3</v>
      </c>
      <c r="I66" s="22">
        <f>Phalombe!G66</f>
        <v>40</v>
      </c>
      <c r="J66" s="22">
        <f>Mikolongwe!G66</f>
        <v>0</v>
      </c>
      <c r="K66" s="22">
        <f>Migowi!G66</f>
        <v>0</v>
      </c>
      <c r="L66" s="31">
        <f>SUM(D66:K66)</f>
        <v>187</v>
      </c>
    </row>
    <row r="67" spans="1:12" ht="15.75" x14ac:dyDescent="0.25">
      <c r="A67" s="494"/>
      <c r="B67" s="21" t="s">
        <v>106</v>
      </c>
      <c r="C67" s="4" t="s">
        <v>3</v>
      </c>
      <c r="D67" s="22">
        <f>Mulanje!G67+Mulanje!H67+Mulanje!I67</f>
        <v>0</v>
      </c>
      <c r="E67" s="22">
        <f>Luchenza!G67+Luchenza!H67+Luchenza!I67</f>
        <v>0</v>
      </c>
      <c r="F67" s="22">
        <f>Thyolo!G67+Thyolo!H67+Thyolo!I67</f>
        <v>0</v>
      </c>
      <c r="G67" s="22">
        <f>Muloza!G67+Muloza!H67+Muloza!I67</f>
        <v>0</v>
      </c>
      <c r="H67" s="22">
        <f>MUST!G67+MUST!H67+MUST!I67</f>
        <v>0</v>
      </c>
      <c r="I67" s="22">
        <f>Phalombe!G67+Phalombe!H67+Phalombe!I67</f>
        <v>0</v>
      </c>
      <c r="J67" s="22">
        <f>Mikolongwe!G67+Mikolongwe!H67+Mikolongwe!I67</f>
        <v>0</v>
      </c>
      <c r="K67" s="22">
        <f>Migowi!G67+Migowi!H67+Migowi!I67</f>
        <v>0</v>
      </c>
      <c r="L67" s="31">
        <f>SUM(D67:K67)</f>
        <v>0</v>
      </c>
    </row>
    <row r="68" spans="1:12" ht="26.25" x14ac:dyDescent="0.25">
      <c r="A68" s="494"/>
      <c r="B68" s="21" t="s">
        <v>105</v>
      </c>
      <c r="C68" s="4" t="s">
        <v>3</v>
      </c>
      <c r="D68" s="22">
        <f>Mulanje!G68+Mulanje!H68+Mulanje!I68</f>
        <v>0</v>
      </c>
      <c r="E68" s="22">
        <f>Luchenza!G68+Luchenza!H68+Luchenza!I68</f>
        <v>0</v>
      </c>
      <c r="F68" s="22">
        <f>Thyolo!G68+Thyolo!H68+Thyolo!I68</f>
        <v>0</v>
      </c>
      <c r="G68" s="22">
        <f>Muloza!G68+Muloza!H68+Muloza!I68</f>
        <v>0</v>
      </c>
      <c r="H68" s="22">
        <f>MUST!G68+MUST!H68+MUST!I68</f>
        <v>0</v>
      </c>
      <c r="I68" s="22">
        <f>Phalombe!G68+Phalombe!H68+Phalombe!I68</f>
        <v>0</v>
      </c>
      <c r="J68" s="22">
        <f>Mikolongwe!G68+Mikolongwe!H68+Mikolongwe!I68</f>
        <v>0</v>
      </c>
      <c r="K68" s="22">
        <f>Migowi!G68+Migowi!H68+Migowi!I68</f>
        <v>0</v>
      </c>
      <c r="L68" s="31">
        <f>SUM(D68:K68)</f>
        <v>0</v>
      </c>
    </row>
    <row r="69" spans="1:12" ht="26.25" x14ac:dyDescent="0.25">
      <c r="A69" s="494"/>
      <c r="B69" s="21" t="s">
        <v>104</v>
      </c>
      <c r="C69" s="4" t="s">
        <v>3</v>
      </c>
      <c r="D69" s="22">
        <f>Mulanje!G69+Mulanje!H69+Mulanje!I69</f>
        <v>0</v>
      </c>
      <c r="E69" s="22">
        <f>Luchenza!G69+Luchenza!H69+Luchenza!I69</f>
        <v>0</v>
      </c>
      <c r="F69" s="22">
        <f>Thyolo!G69+Thyolo!H69+Thyolo!I69</f>
        <v>0</v>
      </c>
      <c r="G69" s="22">
        <f>Muloza!G69+Muloza!H69+Muloza!I69</f>
        <v>0</v>
      </c>
      <c r="H69" s="22">
        <f>MUST!G69+MUST!H69+MUST!I69</f>
        <v>0</v>
      </c>
      <c r="I69" s="22">
        <f>Phalombe!G69+Phalombe!H69+Phalombe!I69</f>
        <v>0</v>
      </c>
      <c r="J69" s="22">
        <f>Mikolongwe!G69+Mikolongwe!H69+Mikolongwe!I69</f>
        <v>0</v>
      </c>
      <c r="K69" s="22">
        <f>Migowi!G69+Migowi!H69+Migowi!I69</f>
        <v>0</v>
      </c>
      <c r="L69" s="31">
        <f>SUM(D69:K69)</f>
        <v>0</v>
      </c>
    </row>
    <row r="70" spans="1:12" ht="15.75" x14ac:dyDescent="0.25">
      <c r="A70" s="494"/>
      <c r="B70" s="21" t="s">
        <v>190</v>
      </c>
      <c r="C70" s="4" t="s">
        <v>3</v>
      </c>
      <c r="D70" s="3">
        <f>D68+D69</f>
        <v>0</v>
      </c>
      <c r="E70" s="3">
        <f t="shared" ref="E70:L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151">
        <f t="shared" si="18"/>
        <v>0</v>
      </c>
    </row>
    <row r="71" spans="1:12" ht="15.75" x14ac:dyDescent="0.25">
      <c r="A71" s="495"/>
      <c r="B71" s="21" t="s">
        <v>81</v>
      </c>
      <c r="C71" s="4" t="s">
        <v>3</v>
      </c>
      <c r="D71" s="22">
        <f>D66+D67-D70</f>
        <v>20</v>
      </c>
      <c r="E71" s="22">
        <f t="shared" ref="E71:K71" si="19">E66+E67-E70</f>
        <v>43</v>
      </c>
      <c r="F71" s="22">
        <f t="shared" si="19"/>
        <v>16</v>
      </c>
      <c r="G71" s="22">
        <f t="shared" si="19"/>
        <v>65</v>
      </c>
      <c r="H71" s="22">
        <f t="shared" si="19"/>
        <v>3</v>
      </c>
      <c r="I71" s="22">
        <f t="shared" si="19"/>
        <v>40</v>
      </c>
      <c r="J71" s="22">
        <f t="shared" si="19"/>
        <v>0</v>
      </c>
      <c r="K71" s="22">
        <f t="shared" si="19"/>
        <v>0</v>
      </c>
      <c r="L71" s="50">
        <f>L66+L67-L70</f>
        <v>187</v>
      </c>
    </row>
    <row r="72" spans="1:12" ht="15.75" x14ac:dyDescent="0.25">
      <c r="A72" s="493" t="s">
        <v>110</v>
      </c>
      <c r="B72" s="21" t="s">
        <v>85</v>
      </c>
      <c r="C72" s="4" t="s">
        <v>3</v>
      </c>
      <c r="D72" s="22">
        <f>Mulanje!G72</f>
        <v>0</v>
      </c>
      <c r="E72" s="22">
        <f>Luchenza!G72</f>
        <v>0</v>
      </c>
      <c r="F72" s="22">
        <f>Thyolo!G72</f>
        <v>0</v>
      </c>
      <c r="G72" s="22">
        <f>Muloza!G72</f>
        <v>0</v>
      </c>
      <c r="H72" s="22">
        <f>MUST!G72</f>
        <v>0</v>
      </c>
      <c r="I72" s="22">
        <f>Phalombe!G72</f>
        <v>0</v>
      </c>
      <c r="J72" s="22">
        <f>Mikolongwe!G72</f>
        <v>0</v>
      </c>
      <c r="K72" s="22">
        <f>Migowi!G72</f>
        <v>0</v>
      </c>
      <c r="L72" s="31">
        <f>SUM(D72:K72)</f>
        <v>0</v>
      </c>
    </row>
    <row r="73" spans="1:12" ht="15.75" x14ac:dyDescent="0.25">
      <c r="A73" s="494"/>
      <c r="B73" s="21" t="s">
        <v>106</v>
      </c>
      <c r="C73" s="4" t="s">
        <v>3</v>
      </c>
      <c r="D73" s="22">
        <f>Mulanje!G73+Mulanje!H73+Mulanje!I73</f>
        <v>0</v>
      </c>
      <c r="E73" s="22">
        <f>Luchenza!G73+Luchenza!H73+Luchenza!I73</f>
        <v>0</v>
      </c>
      <c r="F73" s="22">
        <f>Thyolo!G73+Thyolo!H73+Thyolo!I73</f>
        <v>0</v>
      </c>
      <c r="G73" s="22">
        <f>Muloza!G73+Muloza!H73+Muloza!I73</f>
        <v>0</v>
      </c>
      <c r="H73" s="22">
        <f>MUST!G73+MUST!H73+MUST!I73</f>
        <v>0</v>
      </c>
      <c r="I73" s="22">
        <f>Phalombe!G73+Phalombe!H73+Phalombe!I73</f>
        <v>0</v>
      </c>
      <c r="J73" s="22">
        <f>Mikolongwe!G73+Mikolongwe!H73+Mikolongwe!I73</f>
        <v>0</v>
      </c>
      <c r="K73" s="22">
        <f>Migowi!G73+Migowi!H73+Migowi!I73</f>
        <v>0</v>
      </c>
      <c r="L73" s="31">
        <f>SUM(D73:K73)</f>
        <v>0</v>
      </c>
    </row>
    <row r="74" spans="1:12" ht="26.25" x14ac:dyDescent="0.25">
      <c r="A74" s="494"/>
      <c r="B74" s="21" t="s">
        <v>105</v>
      </c>
      <c r="C74" s="4" t="s">
        <v>3</v>
      </c>
      <c r="D74" s="22">
        <f>Mulanje!G74+Mulanje!H74+Mulanje!I74</f>
        <v>0</v>
      </c>
      <c r="E74" s="22">
        <f>Luchenza!G74+Luchenza!H74+Luchenza!I74</f>
        <v>0</v>
      </c>
      <c r="F74" s="22">
        <f>Thyolo!G74+Thyolo!H74+Thyolo!I74</f>
        <v>0</v>
      </c>
      <c r="G74" s="22">
        <f>Muloza!G74+Muloza!H74+Muloza!I74</f>
        <v>0</v>
      </c>
      <c r="H74" s="22">
        <f>MUST!G74+MUST!H74+MUST!I74</f>
        <v>0</v>
      </c>
      <c r="I74" s="22">
        <f>Phalombe!G74+Phalombe!H74+Phalombe!I74</f>
        <v>0</v>
      </c>
      <c r="J74" s="22">
        <f>Mikolongwe!G74+Mikolongwe!H74+Mikolongwe!I74</f>
        <v>0</v>
      </c>
      <c r="K74" s="22">
        <f>Migowi!G74+Migowi!H74+Migowi!I74</f>
        <v>0</v>
      </c>
      <c r="L74" s="31">
        <f>SUM(D74:K74)</f>
        <v>0</v>
      </c>
    </row>
    <row r="75" spans="1:12" ht="26.25" x14ac:dyDescent="0.25">
      <c r="A75" s="494"/>
      <c r="B75" s="21" t="s">
        <v>104</v>
      </c>
      <c r="C75" s="4" t="s">
        <v>3</v>
      </c>
      <c r="D75" s="22">
        <f>Mulanje!G75+Mulanje!H75+Mulanje!I75</f>
        <v>0</v>
      </c>
      <c r="E75" s="22">
        <f>Luchenza!G75+Luchenza!H75+Luchenza!I75</f>
        <v>0</v>
      </c>
      <c r="F75" s="22">
        <f>Thyolo!G75+Thyolo!H75+Thyolo!I75</f>
        <v>0</v>
      </c>
      <c r="G75" s="22">
        <f>Muloza!G75+Muloza!H75+Muloza!I75</f>
        <v>0</v>
      </c>
      <c r="H75" s="22">
        <f>MUST!G75+MUST!H75+MUST!I75</f>
        <v>0</v>
      </c>
      <c r="I75" s="22">
        <f>Phalombe!G75+Phalombe!H75+Phalombe!I75</f>
        <v>0</v>
      </c>
      <c r="J75" s="22">
        <f>Mikolongwe!G75+Mikolongwe!H75+Mikolongwe!I75</f>
        <v>0</v>
      </c>
      <c r="K75" s="22">
        <f>Migowi!G75+Migowi!H75+Migowi!I75</f>
        <v>0</v>
      </c>
      <c r="L75" s="31">
        <f>SUM(D75:K75)</f>
        <v>0</v>
      </c>
    </row>
    <row r="76" spans="1:12" ht="15.75" x14ac:dyDescent="0.25">
      <c r="A76" s="494"/>
      <c r="B76" s="21" t="s">
        <v>190</v>
      </c>
      <c r="C76" s="4" t="s">
        <v>3</v>
      </c>
      <c r="D76" s="3">
        <f>D74+D75</f>
        <v>0</v>
      </c>
      <c r="E76" s="3">
        <f t="shared" ref="E76:L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151">
        <f t="shared" si="20"/>
        <v>0</v>
      </c>
    </row>
    <row r="77" spans="1:12" ht="15.75" x14ac:dyDescent="0.25">
      <c r="A77" s="495"/>
      <c r="B77" s="21" t="s">
        <v>81</v>
      </c>
      <c r="C77" s="4" t="s">
        <v>3</v>
      </c>
      <c r="D77" s="22">
        <f>D73+D74-D76</f>
        <v>0</v>
      </c>
      <c r="E77" s="22">
        <f t="shared" ref="E77:L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 t="shared" si="21"/>
        <v>0</v>
      </c>
    </row>
    <row r="78" spans="1:12" ht="15.6" customHeight="1" x14ac:dyDescent="0.25">
      <c r="A78" s="493" t="s">
        <v>109</v>
      </c>
      <c r="B78" s="21" t="s">
        <v>85</v>
      </c>
      <c r="C78" s="4" t="s">
        <v>3</v>
      </c>
      <c r="D78" s="22">
        <f>Mulanje!G78</f>
        <v>0</v>
      </c>
      <c r="E78" s="22">
        <f>Luchenza!G78</f>
        <v>0</v>
      </c>
      <c r="F78" s="22">
        <f>Thyolo!G78</f>
        <v>0</v>
      </c>
      <c r="G78" s="22">
        <f>Muloza!G78</f>
        <v>0</v>
      </c>
      <c r="H78" s="22">
        <f>MUST!G78</f>
        <v>0</v>
      </c>
      <c r="I78" s="22">
        <f>Phalombe!G78</f>
        <v>0</v>
      </c>
      <c r="J78" s="22">
        <f>Mikolongwe!G78</f>
        <v>0</v>
      </c>
      <c r="K78" s="22">
        <f>Migowi!G78</f>
        <v>0</v>
      </c>
      <c r="L78" s="31">
        <f>SUM(D78:K78)</f>
        <v>0</v>
      </c>
    </row>
    <row r="79" spans="1:12" ht="15.75" x14ac:dyDescent="0.25">
      <c r="A79" s="494"/>
      <c r="B79" s="21" t="s">
        <v>106</v>
      </c>
      <c r="C79" s="4" t="s">
        <v>3</v>
      </c>
      <c r="D79" s="22">
        <f>Mulanje!G79+Mulanje!H79+Mulanje!I79</f>
        <v>0</v>
      </c>
      <c r="E79" s="22">
        <f>Luchenza!G79+Luchenza!H79+Luchenza!I79</f>
        <v>0</v>
      </c>
      <c r="F79" s="22">
        <f>Thyolo!G79+Thyolo!H79+Thyolo!I79</f>
        <v>0</v>
      </c>
      <c r="G79" s="22">
        <f>Muloza!G79+Muloza!H79+Muloza!I79</f>
        <v>0</v>
      </c>
      <c r="H79" s="22">
        <f>MUST!G79+MUST!H79+MUST!I79</f>
        <v>0</v>
      </c>
      <c r="I79" s="22">
        <f>Phalombe!G79+Phalombe!H79+Phalombe!I79</f>
        <v>0</v>
      </c>
      <c r="J79" s="22">
        <f>Mikolongwe!G79+Mikolongwe!H79+Mikolongwe!I79</f>
        <v>0</v>
      </c>
      <c r="K79" s="22">
        <f>Migowi!G79+Migowi!H79+Migowi!I79</f>
        <v>0</v>
      </c>
      <c r="L79" s="31">
        <f>SUM(D79:K79)</f>
        <v>0</v>
      </c>
    </row>
    <row r="80" spans="1:12" ht="26.25" x14ac:dyDescent="0.25">
      <c r="A80" s="494"/>
      <c r="B80" s="21" t="s">
        <v>105</v>
      </c>
      <c r="C80" s="4" t="s">
        <v>3</v>
      </c>
      <c r="D80" s="22">
        <f>Mulanje!G80+Mulanje!H80+Mulanje!I80</f>
        <v>0</v>
      </c>
      <c r="E80" s="22">
        <f>Luchenza!G80+Luchenza!H80+Luchenza!I80</f>
        <v>0</v>
      </c>
      <c r="F80" s="22">
        <f>Thyolo!G80+Thyolo!H80+Thyolo!I80</f>
        <v>0</v>
      </c>
      <c r="G80" s="22">
        <f>Muloza!G80+Muloza!H80+Muloza!I80</f>
        <v>0</v>
      </c>
      <c r="H80" s="22">
        <f>MUST!G80+MUST!H80+MUST!I80</f>
        <v>0</v>
      </c>
      <c r="I80" s="22">
        <f>Phalombe!G80+Phalombe!H80+Phalombe!I80</f>
        <v>0</v>
      </c>
      <c r="J80" s="22">
        <f>Mikolongwe!G80+Mikolongwe!H80+Mikolongwe!I80</f>
        <v>0</v>
      </c>
      <c r="K80" s="22">
        <f>Migowi!G80+Migowi!H80+Migowi!I80</f>
        <v>0</v>
      </c>
      <c r="L80" s="31">
        <f>SUM(D80:K80)</f>
        <v>0</v>
      </c>
    </row>
    <row r="81" spans="1:12" ht="26.25" x14ac:dyDescent="0.25">
      <c r="A81" s="494"/>
      <c r="B81" s="21" t="s">
        <v>104</v>
      </c>
      <c r="C81" s="4" t="s">
        <v>3</v>
      </c>
      <c r="D81" s="22">
        <f>Mulanje!G81+Mulanje!H81+Mulanje!I81</f>
        <v>0</v>
      </c>
      <c r="E81" s="22">
        <f>Luchenza!G81+Luchenza!H81+Luchenza!I81</f>
        <v>0</v>
      </c>
      <c r="F81" s="22">
        <f>Thyolo!G81+Thyolo!H81+Thyolo!I81</f>
        <v>0</v>
      </c>
      <c r="G81" s="22">
        <f>Muloza!G81+Muloza!H81+Muloza!I81</f>
        <v>0</v>
      </c>
      <c r="H81" s="22">
        <f>MUST!G81+MUST!H81+MUST!I81</f>
        <v>0</v>
      </c>
      <c r="I81" s="22">
        <f>Phalombe!G81+Phalombe!H81+Phalombe!I81</f>
        <v>0</v>
      </c>
      <c r="J81" s="22">
        <f>Mikolongwe!G81+Mikolongwe!H81+Mikolongwe!I81</f>
        <v>0</v>
      </c>
      <c r="K81" s="22">
        <f>Migowi!G81+Migowi!H81+Migowi!I81</f>
        <v>0</v>
      </c>
      <c r="L81" s="31">
        <f>SUM(D81:K81)</f>
        <v>0</v>
      </c>
    </row>
    <row r="82" spans="1:12" ht="15.75" x14ac:dyDescent="0.25">
      <c r="A82" s="494"/>
      <c r="B82" s="21" t="s">
        <v>190</v>
      </c>
      <c r="C82" s="4" t="s">
        <v>3</v>
      </c>
      <c r="D82" s="3">
        <f>D81+D80</f>
        <v>0</v>
      </c>
      <c r="E82" s="3">
        <f t="shared" ref="E82:L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151">
        <f t="shared" si="22"/>
        <v>0</v>
      </c>
    </row>
    <row r="83" spans="1:12" ht="15.75" x14ac:dyDescent="0.25">
      <c r="A83" s="495"/>
      <c r="B83" s="21" t="s">
        <v>81</v>
      </c>
      <c r="C83" s="4" t="s">
        <v>3</v>
      </c>
      <c r="D83" s="22">
        <f>D78+D79-D82</f>
        <v>0</v>
      </c>
      <c r="E83" s="22">
        <f t="shared" ref="E83:L83" si="23">E78+E79-E82</f>
        <v>0</v>
      </c>
      <c r="F83" s="22">
        <f t="shared" si="23"/>
        <v>0</v>
      </c>
      <c r="G83" s="22">
        <f t="shared" si="23"/>
        <v>0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 t="shared" si="23"/>
        <v>0</v>
      </c>
    </row>
    <row r="84" spans="1:12" ht="15.75" x14ac:dyDescent="0.25">
      <c r="A84" s="496" t="s">
        <v>108</v>
      </c>
      <c r="B84" s="21" t="s">
        <v>85</v>
      </c>
      <c r="C84" s="4" t="s">
        <v>3</v>
      </c>
      <c r="D84" s="22">
        <f>Mulanje!G84</f>
        <v>0</v>
      </c>
      <c r="E84" s="22">
        <f>Luchenza!G84</f>
        <v>0</v>
      </c>
      <c r="F84" s="22">
        <f>Thyolo!G84</f>
        <v>0</v>
      </c>
      <c r="G84" s="22">
        <f>Muloza!G84</f>
        <v>0</v>
      </c>
      <c r="H84" s="22">
        <f>MUST!G84</f>
        <v>0</v>
      </c>
      <c r="I84" s="22">
        <f>Phalombe!G84</f>
        <v>0</v>
      </c>
      <c r="J84" s="22">
        <f>Mikolongwe!G84</f>
        <v>0</v>
      </c>
      <c r="K84" s="22">
        <f>Migowi!G84</f>
        <v>0</v>
      </c>
      <c r="L84" s="31">
        <f>SUM(D84:K84)</f>
        <v>0</v>
      </c>
    </row>
    <row r="85" spans="1:12" ht="15.75" x14ac:dyDescent="0.25">
      <c r="A85" s="497"/>
      <c r="B85" s="21" t="s">
        <v>106</v>
      </c>
      <c r="C85" s="4" t="s">
        <v>3</v>
      </c>
      <c r="D85" s="22">
        <f>Mulanje!G85+Mulanje!H85+Mulanje!I85</f>
        <v>0</v>
      </c>
      <c r="E85" s="22">
        <f>Luchenza!G85+Luchenza!H85+Luchenza!I85</f>
        <v>0</v>
      </c>
      <c r="F85" s="22">
        <f>Thyolo!G85+Thyolo!H85+Thyolo!I85</f>
        <v>0</v>
      </c>
      <c r="G85" s="22">
        <f>Muloza!G85+Muloza!H85+Muloza!I85</f>
        <v>0</v>
      </c>
      <c r="H85" s="22">
        <f>MUST!G85+MUST!H85+MUST!I85</f>
        <v>0</v>
      </c>
      <c r="I85" s="22">
        <f>Phalombe!G85+Phalombe!H85+Phalombe!I85</f>
        <v>0</v>
      </c>
      <c r="J85" s="22">
        <f>Mikolongwe!G85+Mikolongwe!H85+Mikolongwe!I85</f>
        <v>0</v>
      </c>
      <c r="K85" s="22">
        <f>Migowi!G85+Migowi!H85+Migowi!I85</f>
        <v>0</v>
      </c>
      <c r="L85" s="31">
        <f>SUM(D85:K85)</f>
        <v>0</v>
      </c>
    </row>
    <row r="86" spans="1:12" ht="26.25" x14ac:dyDescent="0.25">
      <c r="A86" s="497"/>
      <c r="B86" s="21" t="s">
        <v>105</v>
      </c>
      <c r="C86" s="4" t="s">
        <v>3</v>
      </c>
      <c r="D86" s="22">
        <f>Mulanje!G86+Mulanje!H86+Mulanje!I86</f>
        <v>0</v>
      </c>
      <c r="E86" s="22">
        <f>Luchenza!G86+Luchenza!H86+Luchenza!I86</f>
        <v>0</v>
      </c>
      <c r="F86" s="22">
        <f>Thyolo!G86+Thyolo!H86+Thyolo!I86</f>
        <v>0</v>
      </c>
      <c r="G86" s="22">
        <f>Muloza!G86+Muloza!H86+Muloza!I86</f>
        <v>0</v>
      </c>
      <c r="H86" s="22">
        <f>MUST!G86+MUST!H86+MUST!I86</f>
        <v>0</v>
      </c>
      <c r="I86" s="22">
        <f>Phalombe!G86+Phalombe!H86+Phalombe!I86</f>
        <v>0</v>
      </c>
      <c r="J86" s="22">
        <f>Mikolongwe!G86+Mikolongwe!H86+Mikolongwe!I86</f>
        <v>0</v>
      </c>
      <c r="K86" s="22">
        <f>Migowi!G86+Migowi!H86+Migowi!I86</f>
        <v>0</v>
      </c>
      <c r="L86" s="31">
        <f>SUM(D86:K86)</f>
        <v>0</v>
      </c>
    </row>
    <row r="87" spans="1:12" ht="26.25" x14ac:dyDescent="0.25">
      <c r="A87" s="497"/>
      <c r="B87" s="21" t="s">
        <v>104</v>
      </c>
      <c r="C87" s="4" t="s">
        <v>3</v>
      </c>
      <c r="D87" s="22">
        <f>Mulanje!G87+Mulanje!H87+Mulanje!I87</f>
        <v>0</v>
      </c>
      <c r="E87" s="22">
        <f>Luchenza!G87+Luchenza!H87+Luchenza!I87</f>
        <v>0</v>
      </c>
      <c r="F87" s="22">
        <f>Thyolo!G87+Thyolo!H87+Thyolo!I87</f>
        <v>0</v>
      </c>
      <c r="G87" s="22">
        <f>Muloza!G87+Muloza!H87+Muloza!I87</f>
        <v>0</v>
      </c>
      <c r="H87" s="22">
        <f>MUST!G87+MUST!H87+MUST!I87</f>
        <v>0</v>
      </c>
      <c r="I87" s="22">
        <f>Phalombe!G87+Phalombe!H87+Phalombe!I87</f>
        <v>0</v>
      </c>
      <c r="J87" s="22">
        <f>Mikolongwe!G87+Mikolongwe!H87+Mikolongwe!I87</f>
        <v>0</v>
      </c>
      <c r="K87" s="22">
        <f>Migowi!G87+Migowi!H87+Migowi!I87</f>
        <v>0</v>
      </c>
      <c r="L87" s="31">
        <f>SUM(D87:K87)</f>
        <v>0</v>
      </c>
    </row>
    <row r="88" spans="1:12" ht="15.75" x14ac:dyDescent="0.25">
      <c r="A88" s="497"/>
      <c r="B88" s="21" t="s">
        <v>190</v>
      </c>
      <c r="C88" s="4" t="s">
        <v>3</v>
      </c>
      <c r="D88" s="3">
        <f>D87+D86</f>
        <v>0</v>
      </c>
      <c r="E88" s="3">
        <f t="shared" ref="E88:K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1"/>
    </row>
    <row r="89" spans="1:12" ht="15.75" x14ac:dyDescent="0.25">
      <c r="A89" s="498"/>
      <c r="B89" s="32" t="s">
        <v>81</v>
      </c>
      <c r="C89" s="4" t="s">
        <v>3</v>
      </c>
      <c r="D89" s="22">
        <f>D84+D85-D88</f>
        <v>0</v>
      </c>
      <c r="E89" s="22">
        <f t="shared" ref="E89:K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50">
        <f t="shared" ref="L89" si="26">L84+L85-L86-L87</f>
        <v>0</v>
      </c>
    </row>
    <row r="90" spans="1:12" ht="15.75" x14ac:dyDescent="0.25">
      <c r="A90" s="496" t="s">
        <v>107</v>
      </c>
      <c r="B90" s="21" t="s">
        <v>85</v>
      </c>
      <c r="C90" s="4" t="s">
        <v>3</v>
      </c>
      <c r="D90" s="122">
        <f>D66+D72+D78+D84</f>
        <v>20</v>
      </c>
      <c r="E90" s="122">
        <f t="shared" ref="E90:K90" si="27">E66+E72+E78+E84</f>
        <v>43</v>
      </c>
      <c r="F90" s="122">
        <f t="shared" si="27"/>
        <v>16</v>
      </c>
      <c r="G90" s="122">
        <f t="shared" si="27"/>
        <v>65</v>
      </c>
      <c r="H90" s="122">
        <f t="shared" si="27"/>
        <v>3</v>
      </c>
      <c r="I90" s="122">
        <f t="shared" si="27"/>
        <v>40</v>
      </c>
      <c r="J90" s="122">
        <f t="shared" si="27"/>
        <v>0</v>
      </c>
      <c r="K90" s="122">
        <f t="shared" si="27"/>
        <v>0</v>
      </c>
      <c r="L90" s="31">
        <f>SUM(D90:K90)</f>
        <v>187</v>
      </c>
    </row>
    <row r="91" spans="1:12" ht="15.75" x14ac:dyDescent="0.25">
      <c r="A91" s="497"/>
      <c r="B91" s="21" t="s">
        <v>106</v>
      </c>
      <c r="C91" s="4" t="s">
        <v>3</v>
      </c>
      <c r="D91" s="122">
        <f t="shared" ref="D91:K93" si="28">D67+D73+D79+D85</f>
        <v>0</v>
      </c>
      <c r="E91" s="122">
        <f t="shared" si="28"/>
        <v>0</v>
      </c>
      <c r="F91" s="122">
        <f t="shared" si="28"/>
        <v>0</v>
      </c>
      <c r="G91" s="122">
        <f t="shared" si="28"/>
        <v>0</v>
      </c>
      <c r="H91" s="122">
        <f t="shared" si="28"/>
        <v>0</v>
      </c>
      <c r="I91" s="122">
        <f t="shared" si="28"/>
        <v>0</v>
      </c>
      <c r="J91" s="122">
        <f t="shared" si="28"/>
        <v>0</v>
      </c>
      <c r="K91" s="122">
        <f t="shared" si="28"/>
        <v>0</v>
      </c>
      <c r="L91" s="31">
        <f>SUM(D91:K91)</f>
        <v>0</v>
      </c>
    </row>
    <row r="92" spans="1:12" ht="26.25" x14ac:dyDescent="0.25">
      <c r="A92" s="497"/>
      <c r="B92" s="21" t="s">
        <v>105</v>
      </c>
      <c r="C92" s="4" t="s">
        <v>3</v>
      </c>
      <c r="D92" s="122">
        <f t="shared" si="28"/>
        <v>0</v>
      </c>
      <c r="E92" s="122">
        <f t="shared" si="28"/>
        <v>0</v>
      </c>
      <c r="F92" s="122">
        <f t="shared" si="28"/>
        <v>0</v>
      </c>
      <c r="G92" s="122">
        <f t="shared" si="28"/>
        <v>0</v>
      </c>
      <c r="H92" s="122">
        <f t="shared" si="28"/>
        <v>0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31">
        <f>SUM(D92:K92)</f>
        <v>0</v>
      </c>
    </row>
    <row r="93" spans="1:12" ht="26.25" x14ac:dyDescent="0.25">
      <c r="A93" s="497"/>
      <c r="B93" s="21" t="s">
        <v>104</v>
      </c>
      <c r="C93" s="4"/>
      <c r="D93" s="122">
        <f t="shared" si="28"/>
        <v>0</v>
      </c>
      <c r="E93" s="122">
        <f t="shared" si="28"/>
        <v>0</v>
      </c>
      <c r="F93" s="122">
        <f t="shared" si="28"/>
        <v>0</v>
      </c>
      <c r="G93" s="122">
        <f t="shared" si="28"/>
        <v>0</v>
      </c>
      <c r="H93" s="122">
        <f t="shared" si="28"/>
        <v>0</v>
      </c>
      <c r="I93" s="122">
        <f t="shared" si="28"/>
        <v>0</v>
      </c>
      <c r="J93" s="122">
        <f t="shared" si="28"/>
        <v>0</v>
      </c>
      <c r="K93" s="122">
        <f t="shared" si="28"/>
        <v>0</v>
      </c>
      <c r="L93" s="31">
        <f>SUM(D93:K93)</f>
        <v>0</v>
      </c>
    </row>
    <row r="94" spans="1:12" ht="15.75" x14ac:dyDescent="0.25">
      <c r="A94" s="497"/>
      <c r="B94" s="21" t="s">
        <v>190</v>
      </c>
      <c r="C94" s="4" t="s">
        <v>3</v>
      </c>
      <c r="D94" s="123">
        <f>D93+D92</f>
        <v>0</v>
      </c>
      <c r="E94" s="123">
        <f t="shared" ref="E94:K94" si="29">E93+E92</f>
        <v>0</v>
      </c>
      <c r="F94" s="123">
        <f t="shared" si="29"/>
        <v>0</v>
      </c>
      <c r="G94" s="123">
        <f t="shared" si="29"/>
        <v>0</v>
      </c>
      <c r="H94" s="123">
        <f t="shared" si="29"/>
        <v>0</v>
      </c>
      <c r="I94" s="123">
        <f t="shared" si="29"/>
        <v>0</v>
      </c>
      <c r="J94" s="123">
        <f t="shared" si="29"/>
        <v>0</v>
      </c>
      <c r="K94" s="123">
        <f t="shared" si="29"/>
        <v>0</v>
      </c>
      <c r="L94" s="130">
        <f t="shared" ref="L94" si="30">L93+L92</f>
        <v>0</v>
      </c>
    </row>
    <row r="95" spans="1:12" ht="16.5" thickBot="1" x14ac:dyDescent="0.3">
      <c r="A95" s="498"/>
      <c r="B95" s="21" t="s">
        <v>81</v>
      </c>
      <c r="C95" s="4" t="s">
        <v>3</v>
      </c>
      <c r="D95" s="124">
        <f>D90+D91-D94</f>
        <v>20</v>
      </c>
      <c r="E95" s="124">
        <f t="shared" ref="E95:K95" si="31">E90+E91-E94</f>
        <v>43</v>
      </c>
      <c r="F95" s="124">
        <f t="shared" si="31"/>
        <v>16</v>
      </c>
      <c r="G95" s="124">
        <f t="shared" si="31"/>
        <v>65</v>
      </c>
      <c r="H95" s="124">
        <f t="shared" si="31"/>
        <v>3</v>
      </c>
      <c r="I95" s="124">
        <f t="shared" si="31"/>
        <v>40</v>
      </c>
      <c r="J95" s="124">
        <f t="shared" si="31"/>
        <v>0</v>
      </c>
      <c r="K95" s="124">
        <f t="shared" si="31"/>
        <v>0</v>
      </c>
      <c r="L95" s="131">
        <f t="shared" ref="L95" si="32">L90+L91-L94</f>
        <v>187</v>
      </c>
    </row>
    <row r="96" spans="1:12" ht="16.149999999999999" customHeight="1" thickBot="1" x14ac:dyDescent="0.3">
      <c r="A96" s="499"/>
      <c r="B96" s="500"/>
      <c r="C96" s="500"/>
      <c r="D96" s="500"/>
      <c r="E96" s="500"/>
      <c r="F96" s="500"/>
      <c r="G96" s="500"/>
      <c r="H96" s="500"/>
      <c r="I96" s="500"/>
      <c r="J96" s="500"/>
      <c r="K96" s="500"/>
      <c r="L96" s="501"/>
    </row>
    <row r="97" spans="1:12" ht="15.75" customHeight="1" thickBot="1" x14ac:dyDescent="0.3">
      <c r="A97" s="490" t="s">
        <v>191</v>
      </c>
      <c r="B97" s="491"/>
      <c r="C97" s="491"/>
      <c r="D97" s="491"/>
      <c r="E97" s="491"/>
      <c r="F97" s="491"/>
      <c r="G97" s="491"/>
      <c r="H97" s="491"/>
      <c r="I97" s="491"/>
      <c r="J97" s="491"/>
      <c r="K97" s="491"/>
      <c r="L97" s="492"/>
    </row>
    <row r="98" spans="1:12" ht="15.75" x14ac:dyDescent="0.25">
      <c r="A98" s="73" t="s">
        <v>192</v>
      </c>
      <c r="B98" s="63"/>
      <c r="C98" s="4" t="s">
        <v>3</v>
      </c>
      <c r="D98" s="22">
        <f>Mulanje!G98+Mulanje!H98+Mulanje!I98</f>
        <v>0</v>
      </c>
      <c r="E98" s="22">
        <f>Luchenza!G98+Luchenza!H98+Luchenza!I98</f>
        <v>0</v>
      </c>
      <c r="F98" s="22">
        <f>Thyolo!G98+Thyolo!H98+Thyolo!I98</f>
        <v>0</v>
      </c>
      <c r="G98" s="22">
        <f>Muloza!G98+Muloza!H98+Muloza!I98</f>
        <v>0</v>
      </c>
      <c r="H98" s="22">
        <f>MUST!G98+MUST!H98+MUST!I98</f>
        <v>0</v>
      </c>
      <c r="I98" s="22">
        <f>Phalombe!G98+Phalombe!H98+Phalombe!I98</f>
        <v>0</v>
      </c>
      <c r="J98" s="22">
        <f>Mikolongwe!G98+Mikolongwe!H98+Mikolongwe!I98</f>
        <v>0</v>
      </c>
      <c r="K98" s="22">
        <f>Migowi!G98+Migowi!H98+Migowi!I98</f>
        <v>0</v>
      </c>
      <c r="L98" s="152">
        <f>SUM(D98:K98)</f>
        <v>0</v>
      </c>
    </row>
    <row r="99" spans="1:12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x14ac:dyDescent="0.25">
      <c r="A100" s="482" t="s">
        <v>103</v>
      </c>
      <c r="B100" s="483"/>
      <c r="C100" s="483"/>
      <c r="D100" s="483"/>
      <c r="E100" s="483"/>
      <c r="F100" s="483"/>
      <c r="G100" s="483"/>
      <c r="H100" s="483"/>
      <c r="I100" s="483"/>
      <c r="J100" s="483"/>
      <c r="K100" s="483"/>
      <c r="L100" s="484"/>
    </row>
    <row r="101" spans="1:12" ht="15.75" x14ac:dyDescent="0.25">
      <c r="A101" s="445" t="s">
        <v>102</v>
      </c>
      <c r="B101" s="446"/>
      <c r="C101" s="4" t="s">
        <v>3</v>
      </c>
      <c r="D101" s="22">
        <f>Mulanje!I101</f>
        <v>0</v>
      </c>
      <c r="E101" s="22">
        <f>Luchenza!I101</f>
        <v>0</v>
      </c>
      <c r="F101" s="22">
        <f>Thyolo!I101</f>
        <v>0</v>
      </c>
      <c r="G101" s="22">
        <f>Muloza!I101</f>
        <v>0</v>
      </c>
      <c r="H101" s="22">
        <f>MUST!I101</f>
        <v>0</v>
      </c>
      <c r="I101" s="22">
        <f>Phalombe!I101</f>
        <v>0</v>
      </c>
      <c r="J101" s="22">
        <f>Mikolongwe!I101</f>
        <v>0</v>
      </c>
      <c r="K101" s="22">
        <f>Migowi!I101</f>
        <v>0</v>
      </c>
      <c r="L101" s="31">
        <f>SUM(D101:K101)</f>
        <v>0</v>
      </c>
    </row>
    <row r="102" spans="1:12" ht="15.75" x14ac:dyDescent="0.25">
      <c r="A102" s="445" t="s">
        <v>101</v>
      </c>
      <c r="B102" s="446"/>
      <c r="C102" s="4" t="s">
        <v>3</v>
      </c>
      <c r="D102" s="22">
        <f>Mulanje!I102</f>
        <v>0</v>
      </c>
      <c r="E102" s="22">
        <f>Luchenza!I102</f>
        <v>0</v>
      </c>
      <c r="F102" s="22">
        <f>Thyolo!I102</f>
        <v>0</v>
      </c>
      <c r="G102" s="22">
        <f>Muloza!I102</f>
        <v>0</v>
      </c>
      <c r="H102" s="22">
        <f>MUST!I102</f>
        <v>0</v>
      </c>
      <c r="I102" s="22">
        <f>Phalombe!I102</f>
        <v>0</v>
      </c>
      <c r="J102" s="22">
        <f>Mikolongwe!I102</f>
        <v>0</v>
      </c>
      <c r="K102" s="22">
        <f>Migowi!I102</f>
        <v>0</v>
      </c>
      <c r="L102" s="31">
        <f>SUM(D102:K102)</f>
        <v>0</v>
      </c>
    </row>
    <row r="103" spans="1:12" ht="15.6" customHeight="1" x14ac:dyDescent="0.25">
      <c r="A103" s="460" t="s">
        <v>100</v>
      </c>
      <c r="B103" s="461"/>
      <c r="C103" s="4" t="s">
        <v>3</v>
      </c>
      <c r="D103" s="22">
        <f>Mulanje!I103</f>
        <v>0</v>
      </c>
      <c r="E103" s="22">
        <f>Luchenza!I103</f>
        <v>0</v>
      </c>
      <c r="F103" s="22">
        <f>Thyolo!I103</f>
        <v>0</v>
      </c>
      <c r="G103" s="22">
        <f>Muloza!I103</f>
        <v>0</v>
      </c>
      <c r="H103" s="22">
        <f>MUST!I103</f>
        <v>0</v>
      </c>
      <c r="I103" s="22">
        <f>Phalombe!I103</f>
        <v>0</v>
      </c>
      <c r="J103" s="22">
        <f>Mikolongwe!I103</f>
        <v>0</v>
      </c>
      <c r="K103" s="22">
        <f>Migowi!I103</f>
        <v>0</v>
      </c>
      <c r="L103" s="31">
        <f>SUM(D103:K103)</f>
        <v>0</v>
      </c>
    </row>
    <row r="104" spans="1:12" ht="15.75" x14ac:dyDescent="0.25">
      <c r="A104" s="460" t="s">
        <v>99</v>
      </c>
      <c r="B104" s="461"/>
      <c r="C104" s="4" t="s">
        <v>3</v>
      </c>
      <c r="D104" s="22">
        <f>Mulanje!I104</f>
        <v>0</v>
      </c>
      <c r="E104" s="22">
        <f>Luchenza!I104</f>
        <v>0</v>
      </c>
      <c r="F104" s="22">
        <f>Thyolo!I104</f>
        <v>0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31">
        <f>SUM(D104:K104)</f>
        <v>0</v>
      </c>
    </row>
    <row r="105" spans="1:12" ht="15.75" x14ac:dyDescent="0.25">
      <c r="A105" s="485" t="s">
        <v>98</v>
      </c>
      <c r="B105" s="486"/>
      <c r="C105" s="4" t="s">
        <v>3</v>
      </c>
      <c r="D105" s="29">
        <f>SUM(D101:D104)</f>
        <v>0</v>
      </c>
      <c r="E105" s="29">
        <f t="shared" ref="E105:K105" si="33">SUM(E101:E104)</f>
        <v>0</v>
      </c>
      <c r="F105" s="29">
        <f t="shared" si="33"/>
        <v>0</v>
      </c>
      <c r="G105" s="29">
        <f t="shared" si="33"/>
        <v>0</v>
      </c>
      <c r="H105" s="29">
        <f t="shared" si="33"/>
        <v>0</v>
      </c>
      <c r="I105" s="29">
        <f t="shared" si="33"/>
        <v>0</v>
      </c>
      <c r="J105" s="29">
        <f t="shared" si="33"/>
        <v>0</v>
      </c>
      <c r="K105" s="29">
        <f t="shared" si="33"/>
        <v>0</v>
      </c>
      <c r="L105" s="31">
        <f>SUM(D105:K105)</f>
        <v>0</v>
      </c>
    </row>
    <row r="106" spans="1:12" ht="15.6" customHeight="1" x14ac:dyDescent="0.25">
      <c r="A106" s="487" t="s">
        <v>212</v>
      </c>
      <c r="B106" s="488"/>
      <c r="C106" s="488"/>
      <c r="D106" s="488"/>
      <c r="E106" s="488"/>
      <c r="F106" s="488"/>
      <c r="G106" s="488"/>
      <c r="H106" s="488"/>
      <c r="I106" s="488"/>
      <c r="J106" s="488"/>
      <c r="K106" s="488"/>
      <c r="L106" s="489"/>
    </row>
    <row r="107" spans="1:12" ht="15.75" x14ac:dyDescent="0.25">
      <c r="A107" s="445" t="s">
        <v>195</v>
      </c>
      <c r="B107" s="446"/>
      <c r="C107" s="4" t="s">
        <v>3</v>
      </c>
      <c r="D107" s="22">
        <f>Mulanje!I107</f>
        <v>0</v>
      </c>
      <c r="E107" s="22">
        <f>Luchenza!I107</f>
        <v>0</v>
      </c>
      <c r="F107" s="22">
        <f>Thyolo!I107</f>
        <v>0</v>
      </c>
      <c r="G107" s="22">
        <f>Muloza!I107</f>
        <v>0</v>
      </c>
      <c r="H107" s="22">
        <f>MUST!I107</f>
        <v>0</v>
      </c>
      <c r="I107" s="22">
        <f>Phalombe!I107</f>
        <v>0</v>
      </c>
      <c r="J107" s="22">
        <f>Mikolongwe!I107</f>
        <v>0</v>
      </c>
      <c r="K107" s="22">
        <f>Migowi!I107</f>
        <v>0</v>
      </c>
      <c r="L107" s="31">
        <f>SUM(D107:K107)</f>
        <v>0</v>
      </c>
    </row>
    <row r="108" spans="1:12" ht="15.75" x14ac:dyDescent="0.25">
      <c r="A108" s="445" t="s">
        <v>196</v>
      </c>
      <c r="B108" s="446"/>
      <c r="C108" s="4" t="s">
        <v>3</v>
      </c>
      <c r="D108" s="22">
        <f>Mulanje!I108</f>
        <v>0</v>
      </c>
      <c r="E108" s="22">
        <f>Luchenza!I108</f>
        <v>0</v>
      </c>
      <c r="F108" s="22">
        <f>Thyolo!I108</f>
        <v>0</v>
      </c>
      <c r="G108" s="22">
        <f>Muloza!I108</f>
        <v>0</v>
      </c>
      <c r="H108" s="22">
        <f>MUST!I108</f>
        <v>0</v>
      </c>
      <c r="I108" s="22">
        <f>Phalombe!I108</f>
        <v>0</v>
      </c>
      <c r="J108" s="22">
        <f>Mikolongwe!I108</f>
        <v>0</v>
      </c>
      <c r="K108" s="22">
        <f>Migowi!I108</f>
        <v>0</v>
      </c>
      <c r="L108" s="31">
        <f>SUM(D108:K108)</f>
        <v>0</v>
      </c>
    </row>
    <row r="109" spans="1:12" ht="15.75" x14ac:dyDescent="0.25">
      <c r="A109" s="445" t="s">
        <v>197</v>
      </c>
      <c r="B109" s="446"/>
      <c r="C109" s="4" t="s">
        <v>3</v>
      </c>
      <c r="D109" s="22">
        <f>Mulanje!I109</f>
        <v>0</v>
      </c>
      <c r="E109" s="22">
        <f>Luchenza!I109</f>
        <v>0</v>
      </c>
      <c r="F109" s="22">
        <f>Thyolo!I109</f>
        <v>0</v>
      </c>
      <c r="G109" s="22">
        <f>Muloza!I109</f>
        <v>0</v>
      </c>
      <c r="H109" s="22">
        <f>MUST!I109</f>
        <v>0</v>
      </c>
      <c r="I109" s="22">
        <f>Phalombe!I109</f>
        <v>0</v>
      </c>
      <c r="J109" s="22">
        <f>Mikolongwe!I109</f>
        <v>0</v>
      </c>
      <c r="K109" s="22">
        <f>Migowi!I109</f>
        <v>0</v>
      </c>
      <c r="L109" s="31">
        <f>SUM(D109:K109)</f>
        <v>0</v>
      </c>
    </row>
    <row r="110" spans="1:12" ht="15.75" x14ac:dyDescent="0.25">
      <c r="A110" s="445" t="s">
        <v>198</v>
      </c>
      <c r="B110" s="446"/>
      <c r="C110" s="4" t="s">
        <v>3</v>
      </c>
      <c r="D110" s="22">
        <f>Mulanje!I110</f>
        <v>0</v>
      </c>
      <c r="E110" s="22">
        <f>Luchenza!I110</f>
        <v>0</v>
      </c>
      <c r="F110" s="22">
        <f>Thyolo!I110</f>
        <v>0</v>
      </c>
      <c r="G110" s="22">
        <f>Muloza!I110</f>
        <v>0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31">
        <f>SUM(D110:K110)</f>
        <v>0</v>
      </c>
    </row>
    <row r="111" spans="1:12" ht="15.75" x14ac:dyDescent="0.25">
      <c r="A111" s="478" t="s">
        <v>97</v>
      </c>
      <c r="B111" s="479"/>
      <c r="C111" s="4" t="s">
        <v>3</v>
      </c>
      <c r="D111" s="29">
        <f>SUM(D107:D110)</f>
        <v>0</v>
      </c>
      <c r="E111" s="29">
        <f t="shared" ref="E111:K111" si="34">SUM(E107:E110)</f>
        <v>0</v>
      </c>
      <c r="F111" s="29">
        <f t="shared" si="34"/>
        <v>0</v>
      </c>
      <c r="G111" s="29">
        <f t="shared" si="34"/>
        <v>0</v>
      </c>
      <c r="H111" s="29">
        <f t="shared" si="34"/>
        <v>0</v>
      </c>
      <c r="I111" s="29">
        <f t="shared" si="34"/>
        <v>0</v>
      </c>
      <c r="J111" s="29">
        <f t="shared" si="34"/>
        <v>0</v>
      </c>
      <c r="K111" s="29">
        <f t="shared" si="34"/>
        <v>0</v>
      </c>
      <c r="L111" s="31">
        <f>SUM(D111:K111)</f>
        <v>0</v>
      </c>
    </row>
    <row r="112" spans="1:12" ht="15.6" customHeight="1" x14ac:dyDescent="0.25">
      <c r="A112" s="482" t="s">
        <v>212</v>
      </c>
      <c r="B112" s="483"/>
      <c r="C112" s="483"/>
      <c r="D112" s="483"/>
      <c r="E112" s="483"/>
      <c r="F112" s="483"/>
      <c r="G112" s="483"/>
      <c r="H112" s="483"/>
      <c r="I112" s="483"/>
      <c r="J112" s="483"/>
      <c r="K112" s="483"/>
      <c r="L112" s="484"/>
    </row>
    <row r="113" spans="1:12" ht="15.75" x14ac:dyDescent="0.25">
      <c r="A113" s="445" t="s">
        <v>199</v>
      </c>
      <c r="B113" s="446"/>
      <c r="C113" s="4" t="s">
        <v>3</v>
      </c>
      <c r="D113" s="22">
        <f>Mulanje!I113</f>
        <v>0</v>
      </c>
      <c r="E113" s="22">
        <f>Luchenza!I113</f>
        <v>0</v>
      </c>
      <c r="F113" s="22">
        <f>Thyolo!I113</f>
        <v>0</v>
      </c>
      <c r="G113" s="22">
        <f>Muloza!I113</f>
        <v>0</v>
      </c>
      <c r="H113" s="22">
        <f>MUST!I113</f>
        <v>0</v>
      </c>
      <c r="I113" s="22">
        <f>Phalombe!I113</f>
        <v>0</v>
      </c>
      <c r="J113" s="22">
        <f>Mikolongwe!I113</f>
        <v>0</v>
      </c>
      <c r="K113" s="22">
        <f>Migowi!I113</f>
        <v>0</v>
      </c>
      <c r="L113" s="31">
        <f t="shared" ref="L113:L118" si="35">SUM(D113:K113)</f>
        <v>0</v>
      </c>
    </row>
    <row r="114" spans="1:12" ht="15.75" x14ac:dyDescent="0.25">
      <c r="A114" s="445" t="s">
        <v>200</v>
      </c>
      <c r="B114" s="446"/>
      <c r="C114" s="4" t="s">
        <v>3</v>
      </c>
      <c r="D114" s="22">
        <f>Mulanje!I114</f>
        <v>0</v>
      </c>
      <c r="E114" s="22">
        <f>Luchenza!I114</f>
        <v>0</v>
      </c>
      <c r="F114" s="22">
        <f>Thyolo!I114</f>
        <v>0</v>
      </c>
      <c r="G114" s="22">
        <f>Muloza!I114</f>
        <v>0</v>
      </c>
      <c r="H114" s="22">
        <f>MUST!I114</f>
        <v>0</v>
      </c>
      <c r="I114" s="22">
        <f>Phalombe!I114</f>
        <v>0</v>
      </c>
      <c r="J114" s="22">
        <f>Mikolongwe!I114</f>
        <v>0</v>
      </c>
      <c r="K114" s="22">
        <f>Migowi!I114</f>
        <v>0</v>
      </c>
      <c r="L114" s="31">
        <f t="shared" si="35"/>
        <v>0</v>
      </c>
    </row>
    <row r="115" spans="1:12" ht="15.75" x14ac:dyDescent="0.25">
      <c r="A115" s="445" t="s">
        <v>201</v>
      </c>
      <c r="B115" s="446"/>
      <c r="C115" s="4" t="s">
        <v>3</v>
      </c>
      <c r="D115" s="22">
        <f>Mulanje!I115</f>
        <v>0</v>
      </c>
      <c r="E115" s="22">
        <f>Luchenza!I115</f>
        <v>0</v>
      </c>
      <c r="F115" s="22">
        <f>Thyolo!I115</f>
        <v>0</v>
      </c>
      <c r="G115" s="22">
        <f>Muloza!I115</f>
        <v>0</v>
      </c>
      <c r="H115" s="22">
        <f>MUST!I115</f>
        <v>0</v>
      </c>
      <c r="I115" s="22">
        <f>Phalombe!I115</f>
        <v>0</v>
      </c>
      <c r="J115" s="22">
        <f>Mikolongwe!I115</f>
        <v>0</v>
      </c>
      <c r="K115" s="22">
        <f>Migowi!I115</f>
        <v>0</v>
      </c>
      <c r="L115" s="31">
        <f t="shared" si="35"/>
        <v>0</v>
      </c>
    </row>
    <row r="116" spans="1:12" ht="15.75" x14ac:dyDescent="0.25">
      <c r="A116" s="445" t="s">
        <v>202</v>
      </c>
      <c r="B116" s="446"/>
      <c r="C116" s="4" t="s">
        <v>3</v>
      </c>
      <c r="D116" s="22">
        <f>Mulanje!I116</f>
        <v>0</v>
      </c>
      <c r="E116" s="22">
        <f>Luchenza!I116</f>
        <v>0</v>
      </c>
      <c r="F116" s="22">
        <f>Thyolo!I116</f>
        <v>0</v>
      </c>
      <c r="G116" s="22">
        <f>Muloza!I116</f>
        <v>0</v>
      </c>
      <c r="H116" s="22">
        <f>MUST!I116</f>
        <v>0</v>
      </c>
      <c r="I116" s="22">
        <f>Phalombe!I116</f>
        <v>0</v>
      </c>
      <c r="J116" s="22">
        <f>Mikolongwe!I116</f>
        <v>0</v>
      </c>
      <c r="K116" s="22">
        <f>Migowi!I116</f>
        <v>0</v>
      </c>
      <c r="L116" s="31">
        <f t="shared" si="35"/>
        <v>0</v>
      </c>
    </row>
    <row r="117" spans="1:12" ht="15.75" x14ac:dyDescent="0.25">
      <c r="A117" s="478" t="s">
        <v>96</v>
      </c>
      <c r="B117" s="479"/>
      <c r="C117" s="4" t="s">
        <v>3</v>
      </c>
      <c r="D117" s="29">
        <f>SUM(D113:D116)</f>
        <v>0</v>
      </c>
      <c r="E117" s="29">
        <f t="shared" ref="E117:K117" si="36">SUM(E113:E116)</f>
        <v>0</v>
      </c>
      <c r="F117" s="29">
        <f t="shared" si="36"/>
        <v>0</v>
      </c>
      <c r="G117" s="29">
        <f t="shared" si="36"/>
        <v>0</v>
      </c>
      <c r="H117" s="29">
        <f t="shared" si="36"/>
        <v>0</v>
      </c>
      <c r="I117" s="29">
        <f t="shared" si="36"/>
        <v>0</v>
      </c>
      <c r="J117" s="29">
        <f t="shared" si="36"/>
        <v>0</v>
      </c>
      <c r="K117" s="29">
        <f t="shared" si="36"/>
        <v>0</v>
      </c>
      <c r="L117" s="31">
        <f t="shared" si="35"/>
        <v>0</v>
      </c>
    </row>
    <row r="118" spans="1:12" ht="15.75" x14ac:dyDescent="0.25">
      <c r="A118" s="70" t="s">
        <v>193</v>
      </c>
      <c r="B118" s="71"/>
      <c r="C118" s="4" t="s">
        <v>3</v>
      </c>
      <c r="D118" s="29">
        <f>D117+D111</f>
        <v>0</v>
      </c>
      <c r="E118" s="29">
        <f t="shared" ref="E118:K118" si="37">E117+E112</f>
        <v>0</v>
      </c>
      <c r="F118" s="29">
        <f t="shared" si="37"/>
        <v>0</v>
      </c>
      <c r="G118" s="29">
        <f t="shared" si="37"/>
        <v>0</v>
      </c>
      <c r="H118" s="29">
        <f t="shared" si="37"/>
        <v>0</v>
      </c>
      <c r="I118" s="29">
        <f t="shared" si="37"/>
        <v>0</v>
      </c>
      <c r="J118" s="29">
        <f t="shared" si="37"/>
        <v>0</v>
      </c>
      <c r="K118" s="29">
        <f t="shared" si="37"/>
        <v>0</v>
      </c>
      <c r="L118" s="31">
        <f t="shared" si="35"/>
        <v>0</v>
      </c>
    </row>
    <row r="119" spans="1:12" ht="15.75" x14ac:dyDescent="0.25">
      <c r="A119" s="478" t="s">
        <v>194</v>
      </c>
      <c r="B119" s="479"/>
      <c r="C119" s="4" t="s">
        <v>3</v>
      </c>
      <c r="D119" s="29">
        <f>D118+D105</f>
        <v>0</v>
      </c>
      <c r="E119" s="29">
        <f t="shared" ref="E119:G119" si="38">E118+E105</f>
        <v>0</v>
      </c>
      <c r="F119" s="29">
        <f t="shared" si="38"/>
        <v>0</v>
      </c>
      <c r="G119" s="29">
        <f t="shared" si="38"/>
        <v>0</v>
      </c>
      <c r="H119" s="29">
        <f t="shared" ref="H119" si="39">H118+H105</f>
        <v>0</v>
      </c>
      <c r="I119" s="29">
        <f t="shared" ref="I119" si="40">I118+I105</f>
        <v>0</v>
      </c>
      <c r="J119" s="29">
        <f t="shared" ref="J119" si="41">J118+J105</f>
        <v>0</v>
      </c>
      <c r="K119" s="29">
        <f t="shared" ref="K119" si="42">K118+K105</f>
        <v>0</v>
      </c>
      <c r="L119" s="29">
        <f t="shared" ref="L119" si="43">L118+L105</f>
        <v>0</v>
      </c>
    </row>
    <row r="120" spans="1:12" x14ac:dyDescent="0.25">
      <c r="A120" s="442" t="s">
        <v>203</v>
      </c>
      <c r="B120" s="443"/>
      <c r="C120" s="443"/>
      <c r="D120" s="443"/>
      <c r="E120" s="443"/>
      <c r="F120" s="443"/>
      <c r="G120" s="443"/>
      <c r="H120" s="443"/>
      <c r="I120" s="443"/>
      <c r="J120" s="443"/>
      <c r="K120" s="443"/>
      <c r="L120" s="444"/>
    </row>
    <row r="121" spans="1:12" ht="15.75" x14ac:dyDescent="0.25">
      <c r="A121" s="445" t="s">
        <v>95</v>
      </c>
      <c r="B121" s="446"/>
      <c r="C121" s="4" t="s">
        <v>3</v>
      </c>
      <c r="D121" s="22">
        <f>Mulanje!I121</f>
        <v>0</v>
      </c>
      <c r="E121" s="22">
        <f>Luchenza!I121</f>
        <v>0</v>
      </c>
      <c r="F121" s="22">
        <f>Thyolo!I121</f>
        <v>0</v>
      </c>
      <c r="G121" s="22">
        <f>Muloza!I121</f>
        <v>0</v>
      </c>
      <c r="H121" s="22">
        <f>MUST!I121</f>
        <v>0</v>
      </c>
      <c r="I121" s="22">
        <f>Phalombe!I121</f>
        <v>0</v>
      </c>
      <c r="J121" s="22">
        <f>Mikolongwe!I121</f>
        <v>0</v>
      </c>
      <c r="K121" s="22">
        <f>Migowi!I121</f>
        <v>0</v>
      </c>
      <c r="L121" s="31">
        <f>SUM(D121:K121)</f>
        <v>0</v>
      </c>
    </row>
    <row r="122" spans="1:12" ht="15.75" x14ac:dyDescent="0.25">
      <c r="A122" s="445" t="s">
        <v>94</v>
      </c>
      <c r="B122" s="446"/>
      <c r="C122" s="4" t="s">
        <v>3</v>
      </c>
      <c r="D122" s="22">
        <f>Mulanje!I122</f>
        <v>0</v>
      </c>
      <c r="E122" s="22">
        <f>Luchenza!I122</f>
        <v>0</v>
      </c>
      <c r="F122" s="22">
        <f>Thyolo!I122</f>
        <v>0</v>
      </c>
      <c r="G122" s="22">
        <f>Muloza!I122</f>
        <v>0</v>
      </c>
      <c r="H122" s="22">
        <f>MUST!I122</f>
        <v>0</v>
      </c>
      <c r="I122" s="22">
        <f>Phalombe!I122</f>
        <v>0</v>
      </c>
      <c r="J122" s="22">
        <f>Mikolongwe!I122</f>
        <v>0</v>
      </c>
      <c r="K122" s="22">
        <f>Migowi!I122</f>
        <v>0</v>
      </c>
      <c r="L122" s="31">
        <f>SUM(D122:K122)</f>
        <v>0</v>
      </c>
    </row>
    <row r="123" spans="1:12" ht="15.75" x14ac:dyDescent="0.25">
      <c r="A123" s="480" t="s">
        <v>93</v>
      </c>
      <c r="B123" s="481"/>
      <c r="C123" s="26" t="s">
        <v>6</v>
      </c>
      <c r="D123" s="25" t="e">
        <f t="shared" ref="D123:L123" si="44">D122/D121</f>
        <v>#DIV/0!</v>
      </c>
      <c r="E123" s="25" t="e">
        <f t="shared" si="44"/>
        <v>#DIV/0!</v>
      </c>
      <c r="F123" s="25" t="e">
        <f t="shared" si="44"/>
        <v>#DIV/0!</v>
      </c>
      <c r="G123" s="25" t="e">
        <f t="shared" si="44"/>
        <v>#DIV/0!</v>
      </c>
      <c r="H123" s="25" t="e">
        <f t="shared" si="44"/>
        <v>#DIV/0!</v>
      </c>
      <c r="I123" s="25" t="e">
        <f t="shared" si="44"/>
        <v>#DIV/0!</v>
      </c>
      <c r="J123" s="25" t="e">
        <f t="shared" si="44"/>
        <v>#DIV/0!</v>
      </c>
      <c r="K123" s="25" t="e">
        <f t="shared" si="44"/>
        <v>#DIV/0!</v>
      </c>
      <c r="L123" s="98" t="e">
        <f t="shared" si="44"/>
        <v>#DIV/0!</v>
      </c>
    </row>
    <row r="124" spans="1:12" x14ac:dyDescent="0.25">
      <c r="A124" s="453" t="s">
        <v>92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5"/>
    </row>
    <row r="125" spans="1:12" ht="15.75" x14ac:dyDescent="0.25">
      <c r="A125" s="475" t="s">
        <v>91</v>
      </c>
      <c r="B125" s="21" t="s">
        <v>85</v>
      </c>
      <c r="C125" s="4" t="s">
        <v>3</v>
      </c>
      <c r="D125" s="22">
        <f>Mulanje!G125</f>
        <v>0</v>
      </c>
      <c r="E125" s="22">
        <f>Luchenza!G125</f>
        <v>0</v>
      </c>
      <c r="F125" s="22">
        <f>Thyolo!G125</f>
        <v>0</v>
      </c>
      <c r="G125" s="22">
        <f>Muloza!G125</f>
        <v>0</v>
      </c>
      <c r="H125" s="22">
        <f>MUST!G125</f>
        <v>0</v>
      </c>
      <c r="I125" s="22">
        <f>Phalombe!G125</f>
        <v>0</v>
      </c>
      <c r="J125" s="22">
        <f>Mikolongwe!G125</f>
        <v>0</v>
      </c>
      <c r="K125" s="22">
        <f>Migowi!G125</f>
        <v>0</v>
      </c>
      <c r="L125" s="31">
        <f>SUM(D125:K125)</f>
        <v>0</v>
      </c>
    </row>
    <row r="126" spans="1:12" ht="15.75" x14ac:dyDescent="0.25">
      <c r="A126" s="476"/>
      <c r="B126" s="21" t="s">
        <v>84</v>
      </c>
      <c r="C126" s="4" t="s">
        <v>3</v>
      </c>
      <c r="D126" s="22">
        <f>Mulanje!G126+Mulanje!H126+Mulanje!I126</f>
        <v>0</v>
      </c>
      <c r="E126" s="22">
        <f>Luchenza!G126+Luchenza!H126+Luchenza!I126</f>
        <v>0</v>
      </c>
      <c r="F126" s="22">
        <f>Thyolo!G126+Thyolo!H126+Thyolo!I126</f>
        <v>0</v>
      </c>
      <c r="G126" s="22">
        <f>Muloza!G126+Muloza!H126+Muloza!I126</f>
        <v>0</v>
      </c>
      <c r="H126" s="22">
        <f>MUST!G126+MUST!H126+MUST!I126</f>
        <v>0</v>
      </c>
      <c r="I126" s="22">
        <f>Phalombe!G126+Phalombe!H126+Phalombe!I126</f>
        <v>0</v>
      </c>
      <c r="J126" s="22">
        <f>Mikolongwe!G126+Mikolongwe!H126+Mikolongwe!I126</f>
        <v>0</v>
      </c>
      <c r="K126" s="22">
        <f>Migowi!G126+Migowi!H126+Migowi!I126</f>
        <v>0</v>
      </c>
      <c r="L126" s="31">
        <f>SUM(D126:K126)</f>
        <v>0</v>
      </c>
    </row>
    <row r="127" spans="1:12" ht="15.75" x14ac:dyDescent="0.25">
      <c r="A127" s="476"/>
      <c r="B127" s="72" t="s">
        <v>88</v>
      </c>
      <c r="C127" s="4" t="s">
        <v>3</v>
      </c>
      <c r="D127" s="22">
        <f>Mulanje!G127+Mulanje!H127+Mulanje!I127</f>
        <v>0</v>
      </c>
      <c r="E127" s="22">
        <f>Luchenza!G127+Luchenza!H127+Luchenza!I127</f>
        <v>0</v>
      </c>
      <c r="F127" s="22">
        <f>Thyolo!G127+Thyolo!H127+Thyolo!I127</f>
        <v>0</v>
      </c>
      <c r="G127" s="22">
        <f>Muloza!G127+Muloza!H127+Muloza!I127</f>
        <v>0</v>
      </c>
      <c r="H127" s="22">
        <f>MUST!G127+MUST!H127+MUST!I127</f>
        <v>0</v>
      </c>
      <c r="I127" s="22">
        <f>Phalombe!G127+Phalombe!H127+Phalombe!I127</f>
        <v>0</v>
      </c>
      <c r="J127" s="22">
        <f>Mikolongwe!G127+Mikolongwe!H127+Mikolongwe!I127</f>
        <v>0</v>
      </c>
      <c r="K127" s="22">
        <f>Migowi!G127+Migowi!H127+Migowi!I127</f>
        <v>0</v>
      </c>
      <c r="L127" s="31">
        <f>SUM(D127:K127)</f>
        <v>0</v>
      </c>
    </row>
    <row r="128" spans="1:12" ht="15.75" x14ac:dyDescent="0.25">
      <c r="A128" s="476"/>
      <c r="B128" s="21" t="s">
        <v>82</v>
      </c>
      <c r="C128" s="4" t="s">
        <v>3</v>
      </c>
      <c r="D128" s="22">
        <f>Mulanje!G128+Mulanje!H128+Mulanje!I128</f>
        <v>0</v>
      </c>
      <c r="E128" s="22">
        <f>Luchenza!G128+Luchenza!H128+Luchenza!I128</f>
        <v>0</v>
      </c>
      <c r="F128" s="22">
        <f>Thyolo!G128+Thyolo!H128+Thyolo!I128</f>
        <v>0</v>
      </c>
      <c r="G128" s="22">
        <f>Muloza!G128+Muloza!H128+Muloza!I128</f>
        <v>0</v>
      </c>
      <c r="H128" s="22">
        <f>MUST!G128+MUST!H128+MUST!I128</f>
        <v>0</v>
      </c>
      <c r="I128" s="22">
        <f>Phalombe!G128+Phalombe!H128+Phalombe!I128</f>
        <v>0</v>
      </c>
      <c r="J128" s="22">
        <f>Mikolongwe!G128+Mikolongwe!H128+Mikolongwe!I128</f>
        <v>0</v>
      </c>
      <c r="K128" s="22">
        <f>Migowi!G128+Migowi!H128+Migowi!I128</f>
        <v>0</v>
      </c>
      <c r="L128" s="31">
        <f>SUM(D128:K128)</f>
        <v>0</v>
      </c>
    </row>
    <row r="129" spans="1:12" ht="15.75" x14ac:dyDescent="0.25">
      <c r="A129" s="477"/>
      <c r="B129" s="21" t="s">
        <v>81</v>
      </c>
      <c r="C129" s="4" t="s">
        <v>3</v>
      </c>
      <c r="D129" s="126">
        <f t="shared" ref="D129:L129" si="45">D125+D126-D127-D128</f>
        <v>0</v>
      </c>
      <c r="E129" s="126">
        <f t="shared" si="45"/>
        <v>0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28">
        <f t="shared" si="45"/>
        <v>0</v>
      </c>
    </row>
    <row r="130" spans="1:12" ht="15.75" x14ac:dyDescent="0.25">
      <c r="A130" s="475" t="s">
        <v>90</v>
      </c>
      <c r="B130" s="24" t="s">
        <v>85</v>
      </c>
      <c r="C130" s="23" t="s">
        <v>3</v>
      </c>
      <c r="D130" s="22">
        <f>Mulanje!G130</f>
        <v>0</v>
      </c>
      <c r="E130" s="22">
        <f>Luchenza!G130</f>
        <v>0</v>
      </c>
      <c r="F130" s="22">
        <f>Thyolo!G130</f>
        <v>0</v>
      </c>
      <c r="G130" s="22">
        <f>Muloza!G130</f>
        <v>0</v>
      </c>
      <c r="H130" s="22">
        <f>MUST!G130</f>
        <v>0</v>
      </c>
      <c r="I130" s="22">
        <f>Phalombe!G130</f>
        <v>0</v>
      </c>
      <c r="J130" s="22">
        <f>Mikolongwe!G130</f>
        <v>0</v>
      </c>
      <c r="K130" s="22">
        <f>Migowi!G130</f>
        <v>0</v>
      </c>
      <c r="L130" s="31">
        <f>SUM(D130:K130)</f>
        <v>0</v>
      </c>
    </row>
    <row r="131" spans="1:12" ht="15.75" x14ac:dyDescent="0.25">
      <c r="A131" s="476"/>
      <c r="B131" s="21" t="s">
        <v>84</v>
      </c>
      <c r="C131" s="4" t="s">
        <v>3</v>
      </c>
      <c r="D131" s="22">
        <f>Mulanje!G131+Mulanje!H131+Mulanje!I131</f>
        <v>0</v>
      </c>
      <c r="E131" s="22">
        <f>Luchenza!G131+Luchenza!H131+Luchenza!I131</f>
        <v>0</v>
      </c>
      <c r="F131" s="22">
        <f>Thyolo!G131+Thyolo!H131+Thyolo!I131</f>
        <v>0</v>
      </c>
      <c r="G131" s="22">
        <f>Muloza!G131+Muloza!H131+Muloza!I131</f>
        <v>0</v>
      </c>
      <c r="H131" s="22">
        <f>MUST!G131+MUST!H131+MUST!I131</f>
        <v>0</v>
      </c>
      <c r="I131" s="22">
        <f>Phalombe!G131+Phalombe!H131+Phalombe!I131</f>
        <v>0</v>
      </c>
      <c r="J131" s="22">
        <f>Mikolongwe!G131+Mikolongwe!H131+Mikolongwe!I131</f>
        <v>0</v>
      </c>
      <c r="K131" s="22">
        <f>Migowi!G131+Migowi!H131+Migowi!I131</f>
        <v>0</v>
      </c>
      <c r="L131" s="31">
        <f>SUM(D131:K131)</f>
        <v>0</v>
      </c>
    </row>
    <row r="132" spans="1:12" ht="15.75" x14ac:dyDescent="0.25">
      <c r="A132" s="476"/>
      <c r="B132" s="72" t="s">
        <v>88</v>
      </c>
      <c r="C132" s="4" t="s">
        <v>3</v>
      </c>
      <c r="D132" s="22">
        <f>Mulanje!G132+Mulanje!H132+Mulanje!I132</f>
        <v>0</v>
      </c>
      <c r="E132" s="22">
        <f>Luchenza!G132+Luchenza!H132+Luchenza!I132</f>
        <v>0</v>
      </c>
      <c r="F132" s="22">
        <f>Thyolo!G132+Thyolo!H132+Thyolo!I132</f>
        <v>0</v>
      </c>
      <c r="G132" s="22">
        <f>Muloza!G132+Muloza!H132+Muloza!I132</f>
        <v>0</v>
      </c>
      <c r="H132" s="22">
        <f>MUST!G132+MUST!H132+MUST!I132</f>
        <v>0</v>
      </c>
      <c r="I132" s="22">
        <f>Phalombe!G132+Phalombe!H132+Phalombe!I132</f>
        <v>0</v>
      </c>
      <c r="J132" s="22">
        <f>Mikolongwe!G132+Mikolongwe!H132+Mikolongwe!I132</f>
        <v>0</v>
      </c>
      <c r="K132" s="22">
        <f>Migowi!G132+Migowi!H132+Migowi!I132</f>
        <v>0</v>
      </c>
      <c r="L132" s="31">
        <f>SUM(D132:K132)</f>
        <v>0</v>
      </c>
    </row>
    <row r="133" spans="1:12" ht="15.75" x14ac:dyDescent="0.25">
      <c r="A133" s="476"/>
      <c r="B133" s="21" t="s">
        <v>82</v>
      </c>
      <c r="C133" s="4" t="s">
        <v>3</v>
      </c>
      <c r="D133" s="22">
        <f>Mulanje!G133+Mulanje!H133+Mulanje!I133</f>
        <v>0</v>
      </c>
      <c r="E133" s="22">
        <f>Luchenza!G133+Luchenza!H133+Luchenza!I133</f>
        <v>0</v>
      </c>
      <c r="F133" s="22">
        <f>Thyolo!G133+Thyolo!H133+Thyolo!I133</f>
        <v>0</v>
      </c>
      <c r="G133" s="22">
        <f>Muloza!G133+Muloza!H133+Muloza!I133</f>
        <v>0</v>
      </c>
      <c r="H133" s="22">
        <f>MUST!G133+MUST!H133+MUST!I133</f>
        <v>0</v>
      </c>
      <c r="I133" s="22">
        <f>Phalombe!G133+Phalombe!H133+Phalombe!I133</f>
        <v>0</v>
      </c>
      <c r="J133" s="22">
        <f>Mikolongwe!G133+Mikolongwe!H133+Mikolongwe!I133</f>
        <v>0</v>
      </c>
      <c r="K133" s="22">
        <f>Migowi!G133+Migowi!H133+Migowi!I133</f>
        <v>0</v>
      </c>
      <c r="L133" s="31">
        <f>SUM(D133:K133)</f>
        <v>0</v>
      </c>
    </row>
    <row r="134" spans="1:12" ht="15.75" x14ac:dyDescent="0.25">
      <c r="A134" s="477"/>
      <c r="B134" s="21" t="s">
        <v>81</v>
      </c>
      <c r="C134" s="4" t="s">
        <v>3</v>
      </c>
      <c r="D134" s="126">
        <f t="shared" ref="D134:L134" si="46">D130+D131-D132-D133</f>
        <v>0</v>
      </c>
      <c r="E134" s="126">
        <f t="shared" si="46"/>
        <v>0</v>
      </c>
      <c r="F134" s="126">
        <f t="shared" si="46"/>
        <v>0</v>
      </c>
      <c r="G134" s="126">
        <f t="shared" si="46"/>
        <v>0</v>
      </c>
      <c r="H134" s="126">
        <f t="shared" si="46"/>
        <v>0</v>
      </c>
      <c r="I134" s="126">
        <f t="shared" si="46"/>
        <v>0</v>
      </c>
      <c r="J134" s="126">
        <f t="shared" si="46"/>
        <v>0</v>
      </c>
      <c r="K134" s="126">
        <f t="shared" si="46"/>
        <v>0</v>
      </c>
      <c r="L134" s="28">
        <f t="shared" si="46"/>
        <v>0</v>
      </c>
    </row>
    <row r="135" spans="1:12" ht="15.75" x14ac:dyDescent="0.25">
      <c r="A135" s="475" t="s">
        <v>89</v>
      </c>
      <c r="B135" s="21" t="s">
        <v>85</v>
      </c>
      <c r="C135" s="4" t="s">
        <v>3</v>
      </c>
      <c r="D135" s="22">
        <f>Mulanje!G135</f>
        <v>0</v>
      </c>
      <c r="E135" s="22">
        <f>Luchenza!G135</f>
        <v>0</v>
      </c>
      <c r="F135" s="22">
        <f>Thyolo!G135</f>
        <v>0</v>
      </c>
      <c r="G135" s="22">
        <f>Muloza!G135</f>
        <v>0</v>
      </c>
      <c r="H135" s="22">
        <f>MUST!G135</f>
        <v>0</v>
      </c>
      <c r="I135" s="22">
        <f>Phalombe!G135</f>
        <v>0</v>
      </c>
      <c r="J135" s="22">
        <f>Mikolongwe!G135</f>
        <v>0</v>
      </c>
      <c r="K135" s="22">
        <f>Migowi!G135</f>
        <v>0</v>
      </c>
      <c r="L135" s="31">
        <f>SUM(D135:K135)</f>
        <v>0</v>
      </c>
    </row>
    <row r="136" spans="1:12" ht="15.75" x14ac:dyDescent="0.25">
      <c r="A136" s="476"/>
      <c r="B136" s="21" t="s">
        <v>84</v>
      </c>
      <c r="C136" s="4" t="s">
        <v>3</v>
      </c>
      <c r="D136" s="22">
        <f>Mulanje!G136+Mulanje!H136+Mulanje!I136</f>
        <v>0</v>
      </c>
      <c r="E136" s="22">
        <f>Luchenza!G136+Luchenza!H136+Luchenza!I136</f>
        <v>0</v>
      </c>
      <c r="F136" s="22">
        <f>Thyolo!G136+Thyolo!H136+Thyolo!I136</f>
        <v>0</v>
      </c>
      <c r="G136" s="22">
        <f>Muloza!G136+Muloza!H136+Muloza!I136</f>
        <v>0</v>
      </c>
      <c r="H136" s="22">
        <f>MUST!G136+MUST!H136+MUST!I136</f>
        <v>0</v>
      </c>
      <c r="I136" s="22">
        <f>Phalombe!G136+Phalombe!H136+Phalombe!I136</f>
        <v>0</v>
      </c>
      <c r="J136" s="22">
        <f>Mikolongwe!G136+Mikolongwe!H136+Mikolongwe!I136</f>
        <v>0</v>
      </c>
      <c r="K136" s="22">
        <f>Migowi!G136+Migowi!H136+Migowi!I136</f>
        <v>0</v>
      </c>
      <c r="L136" s="31">
        <f>SUM(D136:K136)</f>
        <v>0</v>
      </c>
    </row>
    <row r="137" spans="1:12" ht="15.75" x14ac:dyDescent="0.25">
      <c r="A137" s="476"/>
      <c r="B137" s="72" t="s">
        <v>88</v>
      </c>
      <c r="C137" s="4" t="s">
        <v>3</v>
      </c>
      <c r="D137" s="22">
        <f>Mulanje!G137+Mulanje!H137+Mulanje!I137</f>
        <v>0</v>
      </c>
      <c r="E137" s="22">
        <f>Luchenza!G137+Luchenza!H137+Luchenza!I137</f>
        <v>0</v>
      </c>
      <c r="F137" s="22">
        <f>Thyolo!G137+Thyolo!H137+Thyolo!I137</f>
        <v>0</v>
      </c>
      <c r="G137" s="22">
        <f>Muloza!G137+Muloza!H137+Muloza!I137</f>
        <v>0</v>
      </c>
      <c r="H137" s="22">
        <f>MUST!G137+MUST!H137+MUST!I137</f>
        <v>0</v>
      </c>
      <c r="I137" s="22">
        <f>Phalombe!G137+Phalombe!H137+Phalombe!I137</f>
        <v>0</v>
      </c>
      <c r="J137" s="22">
        <f>Mikolongwe!G137+Mikolongwe!H137+Mikolongwe!I137</f>
        <v>0</v>
      </c>
      <c r="K137" s="22">
        <f>Migowi!G137+Migowi!H137+Migowi!I137</f>
        <v>0</v>
      </c>
      <c r="L137" s="31">
        <f>SUM(D137:K137)</f>
        <v>0</v>
      </c>
    </row>
    <row r="138" spans="1:12" ht="15.75" x14ac:dyDescent="0.25">
      <c r="A138" s="476"/>
      <c r="B138" s="21" t="s">
        <v>82</v>
      </c>
      <c r="C138" s="4" t="s">
        <v>3</v>
      </c>
      <c r="D138" s="22">
        <f>Mulanje!G138+Mulanje!H138+Mulanje!I138</f>
        <v>0</v>
      </c>
      <c r="E138" s="22">
        <f>Luchenza!G138+Luchenza!H138+Luchenza!I138</f>
        <v>0</v>
      </c>
      <c r="F138" s="22">
        <f>Thyolo!G138+Thyolo!H138+Thyolo!I138</f>
        <v>0</v>
      </c>
      <c r="G138" s="22">
        <f>Muloza!G138+Muloza!H138+Muloza!I138</f>
        <v>0</v>
      </c>
      <c r="H138" s="22">
        <f>MUST!G138+MUST!H138+MUST!I138</f>
        <v>0</v>
      </c>
      <c r="I138" s="22">
        <f>Phalombe!G138+Phalombe!H138+Phalombe!I138</f>
        <v>0</v>
      </c>
      <c r="J138" s="22">
        <f>Mikolongwe!G138+Mikolongwe!H138+Mikolongwe!I138</f>
        <v>0</v>
      </c>
      <c r="K138" s="22">
        <f>Migowi!G138+Migowi!H138+Migowi!I138</f>
        <v>0</v>
      </c>
      <c r="L138" s="31">
        <f>SUM(D138:K138)</f>
        <v>0</v>
      </c>
    </row>
    <row r="139" spans="1:12" ht="15.75" x14ac:dyDescent="0.25">
      <c r="A139" s="477"/>
      <c r="B139" s="21" t="s">
        <v>81</v>
      </c>
      <c r="C139" s="4" t="s">
        <v>3</v>
      </c>
      <c r="D139" s="126">
        <f t="shared" ref="D139:L139" si="47">D135+D136-D137-D138</f>
        <v>0</v>
      </c>
      <c r="E139" s="126">
        <f t="shared" si="47"/>
        <v>0</v>
      </c>
      <c r="F139" s="126">
        <f t="shared" si="47"/>
        <v>0</v>
      </c>
      <c r="G139" s="126">
        <f t="shared" si="47"/>
        <v>0</v>
      </c>
      <c r="H139" s="126">
        <f t="shared" si="47"/>
        <v>0</v>
      </c>
      <c r="I139" s="126">
        <f t="shared" si="47"/>
        <v>0</v>
      </c>
      <c r="J139" s="126">
        <f t="shared" si="47"/>
        <v>0</v>
      </c>
      <c r="K139" s="126">
        <f t="shared" si="47"/>
        <v>0</v>
      </c>
      <c r="L139" s="28">
        <f t="shared" si="47"/>
        <v>0</v>
      </c>
    </row>
    <row r="140" spans="1:12" ht="15.75" x14ac:dyDescent="0.25">
      <c r="A140" s="475" t="s">
        <v>87</v>
      </c>
      <c r="B140" s="21" t="s">
        <v>85</v>
      </c>
      <c r="C140" s="4" t="s">
        <v>3</v>
      </c>
      <c r="D140" s="22">
        <f>Mulanje!G140</f>
        <v>28</v>
      </c>
      <c r="E140" s="22">
        <f>Luchenza!G140</f>
        <v>0</v>
      </c>
      <c r="F140" s="22">
        <f>Thyolo!G140</f>
        <v>0</v>
      </c>
      <c r="G140" s="22">
        <f>Muloza!G140</f>
        <v>0</v>
      </c>
      <c r="H140" s="22">
        <f>MUST!G140</f>
        <v>0</v>
      </c>
      <c r="I140" s="22">
        <f>Phalombe!G140</f>
        <v>26</v>
      </c>
      <c r="J140" s="22">
        <f>Mikolongwe!G140</f>
        <v>0</v>
      </c>
      <c r="K140" s="22">
        <f>Migowi!G140</f>
        <v>0</v>
      </c>
      <c r="L140" s="31">
        <f>SUM(D140:K140)</f>
        <v>54</v>
      </c>
    </row>
    <row r="141" spans="1:12" ht="15.75" x14ac:dyDescent="0.25">
      <c r="A141" s="476"/>
      <c r="B141" s="21" t="s">
        <v>84</v>
      </c>
      <c r="C141" s="4" t="s">
        <v>3</v>
      </c>
      <c r="D141" s="22">
        <f>Mulanje!G141+Mulanje!H141+Mulanje!I141</f>
        <v>0</v>
      </c>
      <c r="E141" s="22">
        <f>Luchenza!G141+Luchenza!H141+Luchenza!I141</f>
        <v>0</v>
      </c>
      <c r="F141" s="22">
        <f>Thyolo!G141+Thyolo!H141+Thyolo!I141</f>
        <v>0</v>
      </c>
      <c r="G141" s="22">
        <f>Muloza!G141+Muloza!H141+Muloza!I141</f>
        <v>0</v>
      </c>
      <c r="H141" s="22">
        <f>MUST!G141+MUST!H141+MUST!I141</f>
        <v>0</v>
      </c>
      <c r="I141" s="22">
        <f>Phalombe!G141+Phalombe!H141+Phalombe!I141</f>
        <v>0</v>
      </c>
      <c r="J141" s="22">
        <f>Mikolongwe!G141+Mikolongwe!H141+Mikolongwe!I141</f>
        <v>0</v>
      </c>
      <c r="K141" s="22">
        <f>Migowi!G141+Migowi!H141+Migowi!I141</f>
        <v>0</v>
      </c>
      <c r="L141" s="31">
        <f>SUM(D141:K141)</f>
        <v>0</v>
      </c>
    </row>
    <row r="142" spans="1:12" ht="15.75" x14ac:dyDescent="0.25">
      <c r="A142" s="476"/>
      <c r="B142" s="21" t="s">
        <v>83</v>
      </c>
      <c r="C142" s="4" t="s">
        <v>3</v>
      </c>
      <c r="D142" s="22">
        <f>Mulanje!G142+Mulanje!H142+Mulanje!I142</f>
        <v>0</v>
      </c>
      <c r="E142" s="22">
        <f>Luchenza!G142+Luchenza!H142+Luchenza!I142</f>
        <v>0</v>
      </c>
      <c r="F142" s="22">
        <f>Thyolo!G142+Thyolo!H142+Thyolo!I142</f>
        <v>0</v>
      </c>
      <c r="G142" s="22">
        <f>Muloza!G142+Muloza!H142+Muloza!I142</f>
        <v>0</v>
      </c>
      <c r="H142" s="22">
        <f>MUST!G142+MUST!H142+MUST!I142</f>
        <v>0</v>
      </c>
      <c r="I142" s="22">
        <f>Phalombe!G142+Phalombe!H142+Phalombe!I142</f>
        <v>0</v>
      </c>
      <c r="J142" s="22">
        <f>Mikolongwe!G142+Mikolongwe!H142+Mikolongwe!I142</f>
        <v>0</v>
      </c>
      <c r="K142" s="22">
        <f>Migowi!G142+Migowi!H142+Migowi!I142</f>
        <v>0</v>
      </c>
      <c r="L142" s="31">
        <f>SUM(D142:K142)</f>
        <v>0</v>
      </c>
    </row>
    <row r="143" spans="1:12" ht="15.75" x14ac:dyDescent="0.25">
      <c r="A143" s="476"/>
      <c r="B143" s="21" t="s">
        <v>82</v>
      </c>
      <c r="C143" s="4" t="s">
        <v>3</v>
      </c>
      <c r="D143" s="22">
        <f>Mulanje!G143+Mulanje!H143+Mulanje!I143</f>
        <v>0</v>
      </c>
      <c r="E143" s="22">
        <f>Luchenza!G143+Luchenza!H143+Luchenza!I143</f>
        <v>0</v>
      </c>
      <c r="F143" s="22">
        <f>Thyolo!G143+Thyolo!H143+Thyolo!I143</f>
        <v>0</v>
      </c>
      <c r="G143" s="22">
        <f>Muloza!G143+Muloza!H143+Muloza!I143</f>
        <v>0</v>
      </c>
      <c r="H143" s="22">
        <f>MUST!G143+MUST!H143+MUST!I143</f>
        <v>0</v>
      </c>
      <c r="I143" s="22">
        <f>Phalombe!G143+Phalombe!H143+Phalombe!I143</f>
        <v>0</v>
      </c>
      <c r="J143" s="22">
        <f>Mikolongwe!G143+Mikolongwe!H143+Mikolongwe!I143</f>
        <v>0</v>
      </c>
      <c r="K143" s="22">
        <f>Migowi!G143+Migowi!H143+Migowi!I143</f>
        <v>0</v>
      </c>
      <c r="L143" s="31">
        <f>SUM(D143:K143)</f>
        <v>0</v>
      </c>
    </row>
    <row r="144" spans="1:12" ht="15.75" x14ac:dyDescent="0.25">
      <c r="A144" s="477"/>
      <c r="B144" s="21" t="s">
        <v>81</v>
      </c>
      <c r="C144" s="4" t="s">
        <v>3</v>
      </c>
      <c r="D144" s="126">
        <f t="shared" ref="D144:L144" si="48">D140+D141-D142-D143</f>
        <v>28</v>
      </c>
      <c r="E144" s="126">
        <f t="shared" si="48"/>
        <v>0</v>
      </c>
      <c r="F144" s="126">
        <f t="shared" si="48"/>
        <v>0</v>
      </c>
      <c r="G144" s="126">
        <f t="shared" si="48"/>
        <v>0</v>
      </c>
      <c r="H144" s="126">
        <f t="shared" si="48"/>
        <v>0</v>
      </c>
      <c r="I144" s="126">
        <f t="shared" si="48"/>
        <v>26</v>
      </c>
      <c r="J144" s="126">
        <f t="shared" si="48"/>
        <v>0</v>
      </c>
      <c r="K144" s="126">
        <f t="shared" si="48"/>
        <v>0</v>
      </c>
      <c r="L144" s="28">
        <f t="shared" si="48"/>
        <v>54</v>
      </c>
    </row>
    <row r="145" spans="1:12" ht="15.75" x14ac:dyDescent="0.25">
      <c r="A145" s="475" t="s">
        <v>86</v>
      </c>
      <c r="B145" s="21" t="s">
        <v>85</v>
      </c>
      <c r="C145" s="4" t="s">
        <v>3</v>
      </c>
      <c r="D145" s="127">
        <f>D125+D130+D135+D140</f>
        <v>28</v>
      </c>
      <c r="E145" s="127">
        <f t="shared" ref="E145:L149" si="49">E125+E130+E135+E140</f>
        <v>0</v>
      </c>
      <c r="F145" s="127">
        <f t="shared" si="49"/>
        <v>0</v>
      </c>
      <c r="G145" s="127">
        <f t="shared" si="49"/>
        <v>0</v>
      </c>
      <c r="H145" s="127">
        <f t="shared" si="49"/>
        <v>0</v>
      </c>
      <c r="I145" s="127">
        <f t="shared" si="49"/>
        <v>26</v>
      </c>
      <c r="J145" s="127">
        <f t="shared" si="49"/>
        <v>0</v>
      </c>
      <c r="K145" s="127">
        <f t="shared" si="49"/>
        <v>0</v>
      </c>
      <c r="L145" s="50">
        <f t="shared" si="49"/>
        <v>54</v>
      </c>
    </row>
    <row r="146" spans="1:12" ht="15.75" x14ac:dyDescent="0.25">
      <c r="A146" s="476"/>
      <c r="B146" s="21" t="s">
        <v>84</v>
      </c>
      <c r="C146" s="4" t="s">
        <v>3</v>
      </c>
      <c r="D146" s="127">
        <f t="shared" ref="D146:K148" si="50">D126+D131+D136+D141</f>
        <v>0</v>
      </c>
      <c r="E146" s="127">
        <f t="shared" si="50"/>
        <v>0</v>
      </c>
      <c r="F146" s="127">
        <f t="shared" si="50"/>
        <v>0</v>
      </c>
      <c r="G146" s="127">
        <f t="shared" si="50"/>
        <v>0</v>
      </c>
      <c r="H146" s="127">
        <f t="shared" si="50"/>
        <v>0</v>
      </c>
      <c r="I146" s="127">
        <f t="shared" si="50"/>
        <v>0</v>
      </c>
      <c r="J146" s="127">
        <f t="shared" si="50"/>
        <v>0</v>
      </c>
      <c r="K146" s="127">
        <f t="shared" si="50"/>
        <v>0</v>
      </c>
      <c r="L146" s="50">
        <f t="shared" si="49"/>
        <v>0</v>
      </c>
    </row>
    <row r="147" spans="1:12" ht="15.75" x14ac:dyDescent="0.25">
      <c r="A147" s="476"/>
      <c r="B147" s="21" t="s">
        <v>83</v>
      </c>
      <c r="C147" s="4" t="s">
        <v>3</v>
      </c>
      <c r="D147" s="127">
        <f t="shared" si="50"/>
        <v>0</v>
      </c>
      <c r="E147" s="127">
        <f t="shared" si="50"/>
        <v>0</v>
      </c>
      <c r="F147" s="127">
        <f t="shared" si="50"/>
        <v>0</v>
      </c>
      <c r="G147" s="127">
        <f t="shared" si="50"/>
        <v>0</v>
      </c>
      <c r="H147" s="127">
        <f t="shared" si="50"/>
        <v>0</v>
      </c>
      <c r="I147" s="127">
        <f t="shared" si="50"/>
        <v>0</v>
      </c>
      <c r="J147" s="127">
        <f t="shared" si="50"/>
        <v>0</v>
      </c>
      <c r="K147" s="127">
        <f t="shared" si="50"/>
        <v>0</v>
      </c>
      <c r="L147" s="50">
        <f t="shared" si="49"/>
        <v>0</v>
      </c>
    </row>
    <row r="148" spans="1:12" ht="15.75" x14ac:dyDescent="0.25">
      <c r="A148" s="476"/>
      <c r="B148" s="21" t="s">
        <v>82</v>
      </c>
      <c r="C148" s="4" t="s">
        <v>3</v>
      </c>
      <c r="D148" s="127">
        <f t="shared" si="50"/>
        <v>0</v>
      </c>
      <c r="E148" s="127">
        <f t="shared" si="50"/>
        <v>0</v>
      </c>
      <c r="F148" s="127">
        <f t="shared" si="50"/>
        <v>0</v>
      </c>
      <c r="G148" s="127">
        <f t="shared" si="50"/>
        <v>0</v>
      </c>
      <c r="H148" s="127">
        <f t="shared" si="50"/>
        <v>0</v>
      </c>
      <c r="I148" s="127">
        <f t="shared" si="50"/>
        <v>0</v>
      </c>
      <c r="J148" s="127">
        <f t="shared" si="50"/>
        <v>0</v>
      </c>
      <c r="K148" s="127">
        <f t="shared" si="50"/>
        <v>0</v>
      </c>
      <c r="L148" s="50">
        <f t="shared" si="49"/>
        <v>0</v>
      </c>
    </row>
    <row r="149" spans="1:12" ht="15.75" x14ac:dyDescent="0.25">
      <c r="A149" s="477"/>
      <c r="B149" s="21" t="s">
        <v>81</v>
      </c>
      <c r="C149" s="4" t="s">
        <v>3</v>
      </c>
      <c r="D149" s="126">
        <f>D145+D146-D147-D148</f>
        <v>28</v>
      </c>
      <c r="E149" s="126">
        <f t="shared" ref="E149:K149" si="51">E145+E146-E147-E148</f>
        <v>0</v>
      </c>
      <c r="F149" s="126">
        <f t="shared" si="51"/>
        <v>0</v>
      </c>
      <c r="G149" s="126">
        <f t="shared" si="51"/>
        <v>0</v>
      </c>
      <c r="H149" s="126">
        <f t="shared" si="51"/>
        <v>0</v>
      </c>
      <c r="I149" s="126">
        <f t="shared" si="51"/>
        <v>26</v>
      </c>
      <c r="J149" s="126">
        <f t="shared" si="51"/>
        <v>0</v>
      </c>
      <c r="K149" s="126">
        <f t="shared" si="51"/>
        <v>0</v>
      </c>
      <c r="L149" s="50">
        <f t="shared" si="49"/>
        <v>54</v>
      </c>
    </row>
    <row r="150" spans="1:12" x14ac:dyDescent="0.25">
      <c r="A150" s="442" t="s">
        <v>80</v>
      </c>
      <c r="B150" s="443"/>
      <c r="C150" s="443"/>
      <c r="D150" s="443"/>
      <c r="E150" s="443"/>
      <c r="F150" s="443"/>
      <c r="G150" s="443"/>
      <c r="H150" s="443"/>
      <c r="I150" s="443"/>
      <c r="J150" s="443"/>
      <c r="K150" s="443"/>
      <c r="L150" s="444"/>
    </row>
    <row r="151" spans="1:12" ht="15.6" customHeight="1" x14ac:dyDescent="0.25">
      <c r="A151" s="472" t="s">
        <v>79</v>
      </c>
      <c r="B151" s="473"/>
      <c r="C151" s="473"/>
      <c r="D151" s="473"/>
      <c r="E151" s="473"/>
      <c r="F151" s="473"/>
      <c r="G151" s="473"/>
      <c r="H151" s="473"/>
      <c r="I151" s="473"/>
      <c r="J151" s="473"/>
      <c r="K151" s="473"/>
      <c r="L151" s="474"/>
    </row>
    <row r="152" spans="1:12" ht="15.75" x14ac:dyDescent="0.25">
      <c r="A152" s="46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8"/>
    </row>
    <row r="153" spans="1:12" ht="15.75" x14ac:dyDescent="0.25">
      <c r="A153" s="463"/>
      <c r="B153" s="17" t="s">
        <v>73</v>
      </c>
      <c r="C153" s="4" t="s">
        <v>57</v>
      </c>
      <c r="D153" s="22">
        <f>Mulanje!G153+Mulanje!H153+Mulanje!I153</f>
        <v>0</v>
      </c>
      <c r="E153" s="22">
        <f>Luchenza!G153+Luchenza!H153+Luchenza!I153</f>
        <v>0</v>
      </c>
      <c r="F153" s="22">
        <f>Thyolo!G153+Thyolo!H153+Thyolo!I153</f>
        <v>0</v>
      </c>
      <c r="G153" s="22">
        <f>Muloza!G153+Muloza!H153+Muloza!I153</f>
        <v>0</v>
      </c>
      <c r="H153" s="22">
        <f>MUST!G153+MUST!H153+MUST!I153</f>
        <v>0</v>
      </c>
      <c r="I153" s="22">
        <f>Phalombe!G153+Phalombe!H153+Phalombe!I153</f>
        <v>0</v>
      </c>
      <c r="J153" s="22">
        <f>Mikolongwe!G153+Mikolongwe!H153+Mikolongwe!I153</f>
        <v>0</v>
      </c>
      <c r="K153" s="22">
        <f>Migowi!G153+Migowi!H153+Migowi!I153</f>
        <v>0</v>
      </c>
      <c r="L153" s="16">
        <f t="shared" ref="L153:L165" si="52">SUM(D153:K153)</f>
        <v>0</v>
      </c>
    </row>
    <row r="154" spans="1:12" ht="15.75" x14ac:dyDescent="0.25">
      <c r="A154" s="463"/>
      <c r="B154" s="17" t="s">
        <v>72</v>
      </c>
      <c r="C154" s="4" t="s">
        <v>57</v>
      </c>
      <c r="D154" s="22">
        <f>Mulanje!G154+Mulanje!H154+Mulanje!I154</f>
        <v>0</v>
      </c>
      <c r="E154" s="22">
        <f>Luchenza!G154+Luchenza!H154+Luchenza!I154</f>
        <v>0</v>
      </c>
      <c r="F154" s="22">
        <f>Thyolo!G154+Thyolo!H154+Thyolo!I154</f>
        <v>0</v>
      </c>
      <c r="G154" s="22">
        <f>Muloza!G154+Muloza!H154+Muloza!I154</f>
        <v>0</v>
      </c>
      <c r="H154" s="22">
        <f>MUST!G154+MUST!H154+MUST!I154</f>
        <v>0</v>
      </c>
      <c r="I154" s="22">
        <f>Phalombe!G154+Phalombe!H154+Phalombe!I154</f>
        <v>0</v>
      </c>
      <c r="J154" s="22">
        <f>Mikolongwe!G154+Mikolongwe!H154+Mikolongwe!I154</f>
        <v>0</v>
      </c>
      <c r="K154" s="22">
        <f>Migowi!G154+Migowi!H154+Migowi!I154</f>
        <v>0</v>
      </c>
      <c r="L154" s="16">
        <f t="shared" si="52"/>
        <v>0</v>
      </c>
    </row>
    <row r="155" spans="1:12" ht="15.75" x14ac:dyDescent="0.25">
      <c r="A155" s="463"/>
      <c r="B155" s="17" t="s">
        <v>53</v>
      </c>
      <c r="C155" s="4" t="s">
        <v>57</v>
      </c>
      <c r="D155" s="22">
        <f>Mulanje!G155+Mulanje!H155+Mulanje!I155</f>
        <v>0</v>
      </c>
      <c r="E155" s="22">
        <f>Luchenza!G155+Luchenza!H155+Luchenza!I155</f>
        <v>0</v>
      </c>
      <c r="F155" s="22">
        <f>Thyolo!G155+Thyolo!H155+Thyolo!I155</f>
        <v>0</v>
      </c>
      <c r="G155" s="22">
        <f>Muloza!G155+Muloza!H155+Muloza!I155</f>
        <v>0</v>
      </c>
      <c r="H155" s="22">
        <f>MUST!G155+MUST!H155+MUST!I155</f>
        <v>0</v>
      </c>
      <c r="I155" s="22">
        <f>Phalombe!G155+Phalombe!H155+Phalombe!I155</f>
        <v>0</v>
      </c>
      <c r="J155" s="22">
        <f>Mikolongwe!G155+Mikolongwe!H155+Mikolongwe!I155</f>
        <v>0</v>
      </c>
      <c r="K155" s="22">
        <f>Migowi!G155+Migowi!H155+Migowi!I155</f>
        <v>0</v>
      </c>
      <c r="L155" s="16">
        <f t="shared" si="52"/>
        <v>0</v>
      </c>
    </row>
    <row r="156" spans="1:12" ht="15.75" x14ac:dyDescent="0.25">
      <c r="A156" s="463"/>
      <c r="B156" s="17" t="s">
        <v>71</v>
      </c>
      <c r="C156" s="4" t="s">
        <v>57</v>
      </c>
      <c r="D156" s="22">
        <f>Mulanje!G156+Mulanje!H156+Mulanje!I156</f>
        <v>0</v>
      </c>
      <c r="E156" s="22">
        <f>Luchenza!G156+Luchenza!H156+Luchenza!I156</f>
        <v>0</v>
      </c>
      <c r="F156" s="22">
        <f>Thyolo!G156+Thyolo!H156+Thyolo!I156</f>
        <v>0</v>
      </c>
      <c r="G156" s="22">
        <f>Muloza!G156+Muloza!H156+Muloza!I156</f>
        <v>0</v>
      </c>
      <c r="H156" s="22">
        <f>MUST!G156+MUST!H156+MUST!I156</f>
        <v>0</v>
      </c>
      <c r="I156" s="22">
        <f>Phalombe!G156+Phalombe!H156+Phalombe!I156</f>
        <v>0</v>
      </c>
      <c r="J156" s="22">
        <f>Mikolongwe!G156+Mikolongwe!H156+Mikolongwe!I156</f>
        <v>0</v>
      </c>
      <c r="K156" s="22">
        <f>Migowi!G156+Migowi!H156+Migowi!I156</f>
        <v>0</v>
      </c>
      <c r="L156" s="16">
        <f t="shared" si="52"/>
        <v>0</v>
      </c>
    </row>
    <row r="157" spans="1:12" ht="15.75" x14ac:dyDescent="0.25">
      <c r="A157" s="463"/>
      <c r="B157" s="17" t="s">
        <v>52</v>
      </c>
      <c r="C157" s="4" t="s">
        <v>57</v>
      </c>
      <c r="D157" s="22">
        <f>Mulanje!G157+Mulanje!H157+Mulanje!I157</f>
        <v>0</v>
      </c>
      <c r="E157" s="22">
        <f>Luchenza!G157+Luchenza!H157+Luchenza!I157</f>
        <v>0</v>
      </c>
      <c r="F157" s="22">
        <f>Thyolo!G157+Thyolo!H157+Thyolo!I157</f>
        <v>0</v>
      </c>
      <c r="G157" s="22">
        <f>Muloza!G157+Muloza!H157+Muloza!I157</f>
        <v>0</v>
      </c>
      <c r="H157" s="22">
        <f>MUST!G157+MUST!H157+MUST!I157</f>
        <v>0</v>
      </c>
      <c r="I157" s="22">
        <f>Phalombe!G157+Phalombe!H157+Phalombe!I157</f>
        <v>0</v>
      </c>
      <c r="J157" s="22">
        <f>Mikolongwe!G157+Mikolongwe!H157+Mikolongwe!I157</f>
        <v>0</v>
      </c>
      <c r="K157" s="22">
        <f>Migowi!G157+Migowi!H157+Migowi!I157</f>
        <v>0</v>
      </c>
      <c r="L157" s="16">
        <f t="shared" si="52"/>
        <v>0</v>
      </c>
    </row>
    <row r="158" spans="1:12" ht="15.75" x14ac:dyDescent="0.25">
      <c r="A158" s="463"/>
      <c r="B158" s="17" t="s">
        <v>51</v>
      </c>
      <c r="C158" s="4" t="s">
        <v>57</v>
      </c>
      <c r="D158" s="22">
        <f>Mulanje!G158+Mulanje!H158+Mulanje!I158</f>
        <v>0</v>
      </c>
      <c r="E158" s="22">
        <f>Luchenza!G158+Luchenza!H158+Luchenza!I158</f>
        <v>0</v>
      </c>
      <c r="F158" s="22">
        <f>Thyolo!G158+Thyolo!H158+Thyolo!I158</f>
        <v>0</v>
      </c>
      <c r="G158" s="22">
        <f>Muloza!G158+Muloza!H158+Muloza!I158</f>
        <v>0</v>
      </c>
      <c r="H158" s="22">
        <f>MUST!G158+MUST!H158+MUST!I158</f>
        <v>0</v>
      </c>
      <c r="I158" s="22">
        <f>Phalombe!G158+Phalombe!H158+Phalombe!I158</f>
        <v>0</v>
      </c>
      <c r="J158" s="22">
        <f>Mikolongwe!G158+Mikolongwe!H158+Mikolongwe!I158</f>
        <v>0</v>
      </c>
      <c r="K158" s="22">
        <f>Migowi!G158+Migowi!H158+Migowi!I158</f>
        <v>0</v>
      </c>
      <c r="L158" s="16">
        <f t="shared" si="52"/>
        <v>0</v>
      </c>
    </row>
    <row r="159" spans="1:12" ht="15.75" x14ac:dyDescent="0.25">
      <c r="A159" s="463"/>
      <c r="B159" s="17" t="s">
        <v>62</v>
      </c>
      <c r="C159" s="4" t="s">
        <v>57</v>
      </c>
      <c r="D159" s="22">
        <f>Mulanje!G159+Mulanje!H159+Mulanje!I159</f>
        <v>0</v>
      </c>
      <c r="E159" s="22">
        <f>Luchenza!G159+Luchenza!H159+Luchenza!I159</f>
        <v>0</v>
      </c>
      <c r="F159" s="22">
        <f>Thyolo!G159+Thyolo!H159+Thyolo!I159</f>
        <v>0</v>
      </c>
      <c r="G159" s="22">
        <f>Muloza!G159+Muloza!H159+Muloza!I159</f>
        <v>0</v>
      </c>
      <c r="H159" s="22">
        <f>MUST!G159+MUST!H159+MUST!I159</f>
        <v>0</v>
      </c>
      <c r="I159" s="22">
        <f>Phalombe!G159+Phalombe!H159+Phalombe!I159</f>
        <v>0</v>
      </c>
      <c r="J159" s="22">
        <f>Mikolongwe!G159+Mikolongwe!H159+Mikolongwe!I159</f>
        <v>0</v>
      </c>
      <c r="K159" s="22">
        <f>Migowi!G159+Migowi!H159+Migowi!I159</f>
        <v>0</v>
      </c>
      <c r="L159" s="16">
        <f t="shared" si="52"/>
        <v>0</v>
      </c>
    </row>
    <row r="160" spans="1:12" ht="15.75" x14ac:dyDescent="0.25">
      <c r="A160" s="463"/>
      <c r="B160" s="17" t="s">
        <v>50</v>
      </c>
      <c r="C160" s="4" t="s">
        <v>57</v>
      </c>
      <c r="D160" s="22">
        <f>Mulanje!G160+Mulanje!H160+Mulanje!I160</f>
        <v>0</v>
      </c>
      <c r="E160" s="22">
        <f>Luchenza!G160+Luchenza!H160+Luchenza!I160</f>
        <v>0</v>
      </c>
      <c r="F160" s="22">
        <f>Thyolo!G160+Thyolo!H160+Thyolo!I160</f>
        <v>0</v>
      </c>
      <c r="G160" s="22">
        <f>Muloza!G160+Muloza!H160+Muloza!I160</f>
        <v>0</v>
      </c>
      <c r="H160" s="22">
        <f>MUST!G160+MUST!H160+MUST!I160</f>
        <v>0</v>
      </c>
      <c r="I160" s="22">
        <f>Phalombe!G160+Phalombe!H160+Phalombe!I160</f>
        <v>0</v>
      </c>
      <c r="J160" s="22">
        <f>Mikolongwe!G160+Mikolongwe!H160+Mikolongwe!I160</f>
        <v>0</v>
      </c>
      <c r="K160" s="22">
        <f>Migowi!G160+Migowi!H160+Migowi!I160</f>
        <v>0</v>
      </c>
      <c r="L160" s="16">
        <f t="shared" si="52"/>
        <v>0</v>
      </c>
    </row>
    <row r="161" spans="1:12" ht="15.75" x14ac:dyDescent="0.25">
      <c r="A161" s="463"/>
      <c r="B161" s="17" t="s">
        <v>49</v>
      </c>
      <c r="C161" s="4" t="s">
        <v>57</v>
      </c>
      <c r="D161" s="22">
        <f>Mulanje!G161+Mulanje!H161+Mulanje!I161</f>
        <v>0</v>
      </c>
      <c r="E161" s="22">
        <f>Luchenza!G161+Luchenza!H161+Luchenza!I161</f>
        <v>0</v>
      </c>
      <c r="F161" s="22">
        <f>Thyolo!G161+Thyolo!H161+Thyolo!I161</f>
        <v>0</v>
      </c>
      <c r="G161" s="22">
        <f>Muloza!G161+Muloza!H161+Muloza!I161</f>
        <v>0</v>
      </c>
      <c r="H161" s="22">
        <f>MUST!G161+MUST!H161+MUST!I161</f>
        <v>0</v>
      </c>
      <c r="I161" s="22">
        <f>Phalombe!G161+Phalombe!H161+Phalombe!I161</f>
        <v>0</v>
      </c>
      <c r="J161" s="22">
        <f>Mikolongwe!G161+Mikolongwe!H161+Mikolongwe!I161</f>
        <v>0</v>
      </c>
      <c r="K161" s="22">
        <f>Migowi!G161+Migowi!H161+Migowi!I161</f>
        <v>0</v>
      </c>
      <c r="L161" s="16">
        <f t="shared" si="52"/>
        <v>0</v>
      </c>
    </row>
    <row r="162" spans="1:12" ht="15.75" x14ac:dyDescent="0.25">
      <c r="A162" s="463"/>
      <c r="B162" s="17" t="s">
        <v>77</v>
      </c>
      <c r="C162" s="4" t="s">
        <v>57</v>
      </c>
      <c r="D162" s="22">
        <f>Mulanje!G162+Mulanje!H162+Mulanje!I162</f>
        <v>0</v>
      </c>
      <c r="E162" s="22">
        <f>Luchenza!G162+Luchenza!H162+Luchenza!I162</f>
        <v>0</v>
      </c>
      <c r="F162" s="22">
        <f>Thyolo!G162+Thyolo!H162+Thyolo!I162</f>
        <v>0</v>
      </c>
      <c r="G162" s="22">
        <f>Muloza!G162+Muloza!H162+Muloza!I162</f>
        <v>0</v>
      </c>
      <c r="H162" s="22">
        <f>MUST!G162+MUST!H162+MUST!I162</f>
        <v>0</v>
      </c>
      <c r="I162" s="22">
        <f>Phalombe!G162+Phalombe!H162+Phalombe!I162</f>
        <v>0</v>
      </c>
      <c r="J162" s="22">
        <f>Mikolongwe!G162+Mikolongwe!H162+Mikolongwe!I162</f>
        <v>0</v>
      </c>
      <c r="K162" s="22">
        <f>Migowi!G162+Migowi!H162+Migowi!I162</f>
        <v>0</v>
      </c>
      <c r="L162" s="16">
        <f t="shared" si="52"/>
        <v>0</v>
      </c>
    </row>
    <row r="163" spans="1:12" ht="15.75" x14ac:dyDescent="0.25">
      <c r="A163" s="463"/>
      <c r="B163" s="17" t="s">
        <v>69</v>
      </c>
      <c r="C163" s="4" t="s">
        <v>57</v>
      </c>
      <c r="D163" s="22">
        <f>Mulanje!G163+Mulanje!H163+Mulanje!I163</f>
        <v>0</v>
      </c>
      <c r="E163" s="22">
        <f>Luchenza!G163+Luchenza!H163+Luchenza!I163</f>
        <v>0</v>
      </c>
      <c r="F163" s="22">
        <f>Thyolo!G163+Thyolo!H163+Thyolo!I163</f>
        <v>0</v>
      </c>
      <c r="G163" s="22">
        <f>Muloza!G163+Muloza!H163+Muloza!I163</f>
        <v>0</v>
      </c>
      <c r="H163" s="22">
        <f>MUST!G163+MUST!H163+MUST!I163</f>
        <v>0</v>
      </c>
      <c r="I163" s="22">
        <f>Phalombe!G163+Phalombe!H163+Phalombe!I163</f>
        <v>0</v>
      </c>
      <c r="J163" s="22">
        <f>Mikolongwe!G163+Mikolongwe!H163+Mikolongwe!I163</f>
        <v>0</v>
      </c>
      <c r="K163" s="22">
        <f>Migowi!G163+Migowi!H163+Migowi!I163</f>
        <v>0</v>
      </c>
      <c r="L163" s="16">
        <f t="shared" si="52"/>
        <v>0</v>
      </c>
    </row>
    <row r="164" spans="1:12" ht="15.75" x14ac:dyDescent="0.25">
      <c r="A164" s="463"/>
      <c r="B164" s="17" t="s">
        <v>68</v>
      </c>
      <c r="C164" s="4" t="s">
        <v>57</v>
      </c>
      <c r="D164" s="22">
        <f>Mulanje!G164+Mulanje!H164+Mulanje!I164</f>
        <v>0</v>
      </c>
      <c r="E164" s="22">
        <f>Luchenza!G164+Luchenza!H164+Luchenza!I164</f>
        <v>0</v>
      </c>
      <c r="F164" s="22">
        <f>Thyolo!G164+Thyolo!H164+Thyolo!I164</f>
        <v>0</v>
      </c>
      <c r="G164" s="22">
        <f>Muloza!G164+Muloza!H164+Muloza!I164</f>
        <v>0</v>
      </c>
      <c r="H164" s="22">
        <f>MUST!G164+MUST!H164+MUST!I164</f>
        <v>0</v>
      </c>
      <c r="I164" s="22">
        <f>Phalombe!G164+Phalombe!H164+Phalombe!I164</f>
        <v>0</v>
      </c>
      <c r="J164" s="22">
        <f>Mikolongwe!G164+Mikolongwe!H164+Mikolongwe!I164</f>
        <v>0</v>
      </c>
      <c r="K164" s="22">
        <f>Migowi!G164+Migowi!H164+Migowi!I164</f>
        <v>0</v>
      </c>
      <c r="L164" s="16">
        <f t="shared" si="52"/>
        <v>0</v>
      </c>
    </row>
    <row r="165" spans="1:12" ht="15.75" x14ac:dyDescent="0.25">
      <c r="A165" s="464"/>
      <c r="B165" s="17" t="s">
        <v>76</v>
      </c>
      <c r="C165" s="4" t="s">
        <v>57</v>
      </c>
      <c r="D165" s="22">
        <f>Mulanje!G165+Mulanje!H165+Mulanje!I165</f>
        <v>0</v>
      </c>
      <c r="E165" s="22">
        <f>Luchenza!G165+Luchenza!H165+Luchenza!I165</f>
        <v>0</v>
      </c>
      <c r="F165" s="22">
        <f>Thyolo!G165+Thyolo!H165+Thyolo!I165</f>
        <v>0</v>
      </c>
      <c r="G165" s="22">
        <f>Muloza!G165+Muloza!H165+Muloza!I165</f>
        <v>0</v>
      </c>
      <c r="H165" s="22">
        <f>MUST!G165+MUST!H165+MUST!I165</f>
        <v>0</v>
      </c>
      <c r="I165" s="22">
        <f>Phalombe!G165+Phalombe!H165+Phalombe!I165</f>
        <v>0</v>
      </c>
      <c r="J165" s="22">
        <f>Mikolongwe!G165+Mikolongwe!H165+Mikolongwe!I165</f>
        <v>0</v>
      </c>
      <c r="K165" s="22">
        <f>Migowi!G165+Migowi!H165+Migowi!I165</f>
        <v>0</v>
      </c>
      <c r="L165" s="16">
        <f t="shared" si="52"/>
        <v>0</v>
      </c>
    </row>
    <row r="166" spans="1:12" ht="15.75" x14ac:dyDescent="0.25">
      <c r="A166" s="46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75" x14ac:dyDescent="0.25">
      <c r="A167" s="463"/>
      <c r="B167" s="17" t="s">
        <v>74</v>
      </c>
      <c r="C167" s="4" t="s">
        <v>57</v>
      </c>
      <c r="D167" s="22">
        <f>Mulanje!G167+Mulanje!H167+Mulanje!I167</f>
        <v>0</v>
      </c>
      <c r="E167" s="22">
        <f>Luchenza!G167+Luchenza!H167+Luchenza!I167</f>
        <v>0</v>
      </c>
      <c r="F167" s="22">
        <f>Thyolo!G167+Thyolo!H167+Thyolo!I167</f>
        <v>0</v>
      </c>
      <c r="G167" s="22">
        <f>Muloza!G167+Muloza!H167+Muloza!I167</f>
        <v>0</v>
      </c>
      <c r="H167" s="22">
        <f>MUST!G167+MUST!H167+MUST!I167</f>
        <v>0</v>
      </c>
      <c r="I167" s="22">
        <f>Phalombe!G167+Phalombe!H167+Phalombe!I167</f>
        <v>0</v>
      </c>
      <c r="J167" s="22">
        <f>Mikolongwe!G167+Mikolongwe!H167+Mikolongwe!I167</f>
        <v>0</v>
      </c>
      <c r="K167" s="22">
        <f>Migowi!G167+Migowi!H167+Migowi!I167</f>
        <v>0</v>
      </c>
      <c r="L167" s="16">
        <f t="shared" ref="L167:L175" si="53">SUM(D167:K167)</f>
        <v>0</v>
      </c>
    </row>
    <row r="168" spans="1:12" ht="15.75" x14ac:dyDescent="0.25">
      <c r="A168" s="463"/>
      <c r="B168" s="17" t="s">
        <v>73</v>
      </c>
      <c r="C168" s="4" t="s">
        <v>57</v>
      </c>
      <c r="D168" s="22">
        <f>Mulanje!G168+Mulanje!H168+Mulanje!I168</f>
        <v>0</v>
      </c>
      <c r="E168" s="22">
        <f>Luchenza!G168+Luchenza!H168+Luchenza!I168</f>
        <v>0</v>
      </c>
      <c r="F168" s="22">
        <f>Thyolo!G168+Thyolo!H168+Thyolo!I168</f>
        <v>0</v>
      </c>
      <c r="G168" s="22">
        <f>Muloza!G168+Muloza!H168+Muloza!I168</f>
        <v>0</v>
      </c>
      <c r="H168" s="22">
        <f>MUST!G168+MUST!H168+MUST!I168</f>
        <v>0</v>
      </c>
      <c r="I168" s="22">
        <f>Phalombe!G168+Phalombe!H168+Phalombe!I168</f>
        <v>0</v>
      </c>
      <c r="J168" s="22">
        <f>Mikolongwe!G168+Mikolongwe!H168+Mikolongwe!I168</f>
        <v>0</v>
      </c>
      <c r="K168" s="22">
        <f>Migowi!G168+Migowi!H168+Migowi!I168</f>
        <v>0</v>
      </c>
      <c r="L168" s="16">
        <f t="shared" si="53"/>
        <v>0</v>
      </c>
    </row>
    <row r="169" spans="1:12" ht="15.75" x14ac:dyDescent="0.25">
      <c r="A169" s="463"/>
      <c r="B169" s="17" t="s">
        <v>72</v>
      </c>
      <c r="C169" s="4" t="s">
        <v>57</v>
      </c>
      <c r="D169" s="22">
        <f>Mulanje!G169+Mulanje!H169+Mulanje!I169</f>
        <v>0</v>
      </c>
      <c r="E169" s="22">
        <f>Luchenza!G169+Luchenza!H169+Luchenza!I169</f>
        <v>0</v>
      </c>
      <c r="F169" s="22">
        <f>Thyolo!G169+Thyolo!H169+Thyolo!I169</f>
        <v>0</v>
      </c>
      <c r="G169" s="22">
        <f>Muloza!G169+Muloza!H169+Muloza!I169</f>
        <v>0</v>
      </c>
      <c r="H169" s="22">
        <f>MUST!G169+MUST!H169+MUST!I169</f>
        <v>0</v>
      </c>
      <c r="I169" s="22">
        <f>Phalombe!G169+Phalombe!H169+Phalombe!I169</f>
        <v>0</v>
      </c>
      <c r="J169" s="22">
        <f>Mikolongwe!G169+Mikolongwe!H169+Mikolongwe!I169</f>
        <v>0</v>
      </c>
      <c r="K169" s="22">
        <f>Migowi!G169+Migowi!H169+Migowi!I169</f>
        <v>0</v>
      </c>
      <c r="L169" s="16">
        <f t="shared" si="53"/>
        <v>0</v>
      </c>
    </row>
    <row r="170" spans="1:12" ht="15.75" x14ac:dyDescent="0.25">
      <c r="A170" s="463"/>
      <c r="B170" s="17" t="s">
        <v>71</v>
      </c>
      <c r="C170" s="4" t="s">
        <v>57</v>
      </c>
      <c r="D170" s="22">
        <f>Mulanje!G170+Mulanje!H170+Mulanje!I170</f>
        <v>0</v>
      </c>
      <c r="E170" s="22">
        <f>Luchenza!G170+Luchenza!H170+Luchenza!I170</f>
        <v>0</v>
      </c>
      <c r="F170" s="22">
        <f>Thyolo!G170+Thyolo!H170+Thyolo!I170</f>
        <v>0</v>
      </c>
      <c r="G170" s="22">
        <f>Muloza!G170+Muloza!H170+Muloza!I170</f>
        <v>0</v>
      </c>
      <c r="H170" s="22">
        <f>MUST!G170+MUST!H170+MUST!I170</f>
        <v>0</v>
      </c>
      <c r="I170" s="22">
        <f>Phalombe!G170+Phalombe!H170+Phalombe!I170</f>
        <v>0</v>
      </c>
      <c r="J170" s="22">
        <f>Mikolongwe!G170+Mikolongwe!H170+Mikolongwe!I170</f>
        <v>0</v>
      </c>
      <c r="K170" s="22">
        <f>Migowi!G170+Migowi!H170+Migowi!I170</f>
        <v>0</v>
      </c>
      <c r="L170" s="16">
        <f t="shared" si="53"/>
        <v>0</v>
      </c>
    </row>
    <row r="171" spans="1:12" ht="15.75" x14ac:dyDescent="0.25">
      <c r="A171" s="463"/>
      <c r="B171" s="17" t="s">
        <v>52</v>
      </c>
      <c r="C171" s="4" t="s">
        <v>57</v>
      </c>
      <c r="D171" s="22">
        <f>Mulanje!G171+Mulanje!H171+Mulanje!I171</f>
        <v>0</v>
      </c>
      <c r="E171" s="22">
        <f>Luchenza!G171+Luchenza!H171+Luchenza!I171</f>
        <v>0</v>
      </c>
      <c r="F171" s="22">
        <f>Thyolo!G171+Thyolo!H171+Thyolo!I171</f>
        <v>0</v>
      </c>
      <c r="G171" s="22">
        <f>Muloza!G171+Muloza!H171+Muloza!I171</f>
        <v>0</v>
      </c>
      <c r="H171" s="22">
        <f>MUST!G171+MUST!H171+MUST!I171</f>
        <v>0</v>
      </c>
      <c r="I171" s="22">
        <f>Phalombe!G171+Phalombe!H171+Phalombe!I171</f>
        <v>0</v>
      </c>
      <c r="J171" s="22">
        <f>Mikolongwe!G171+Mikolongwe!H171+Mikolongwe!I171</f>
        <v>0</v>
      </c>
      <c r="K171" s="22">
        <f>Migowi!G171+Migowi!H171+Migowi!I171</f>
        <v>0</v>
      </c>
      <c r="L171" s="16">
        <f t="shared" si="53"/>
        <v>0</v>
      </c>
    </row>
    <row r="172" spans="1:12" ht="15.75" x14ac:dyDescent="0.25">
      <c r="A172" s="463"/>
      <c r="B172" s="17" t="s">
        <v>62</v>
      </c>
      <c r="C172" s="4" t="s">
        <v>57</v>
      </c>
      <c r="D172" s="22">
        <f>Mulanje!G172+Mulanje!H172+Mulanje!I172</f>
        <v>0</v>
      </c>
      <c r="E172" s="22">
        <f>Luchenza!G172+Luchenza!H172+Luchenza!I172</f>
        <v>0</v>
      </c>
      <c r="F172" s="22">
        <f>Thyolo!G172+Thyolo!H172+Thyolo!I172</f>
        <v>0</v>
      </c>
      <c r="G172" s="22">
        <f>Muloza!G172+Muloza!H172+Muloza!I172</f>
        <v>0</v>
      </c>
      <c r="H172" s="22">
        <f>MUST!G172+MUST!H172+MUST!I172</f>
        <v>0</v>
      </c>
      <c r="I172" s="22">
        <f>Phalombe!G172+Phalombe!H172+Phalombe!I172</f>
        <v>0</v>
      </c>
      <c r="J172" s="22">
        <f>Mikolongwe!G172+Mikolongwe!H172+Mikolongwe!I172</f>
        <v>0</v>
      </c>
      <c r="K172" s="22">
        <f>Migowi!G172+Migowi!H172+Migowi!I172</f>
        <v>0</v>
      </c>
      <c r="L172" s="16">
        <f t="shared" si="53"/>
        <v>0</v>
      </c>
    </row>
    <row r="173" spans="1:12" ht="15.75" x14ac:dyDescent="0.25">
      <c r="A173" s="463"/>
      <c r="B173" s="17" t="s">
        <v>61</v>
      </c>
      <c r="C173" s="4" t="s">
        <v>57</v>
      </c>
      <c r="D173" s="22">
        <f>Mulanje!G173+Mulanje!H173+Mulanje!I173</f>
        <v>0</v>
      </c>
      <c r="E173" s="22">
        <f>Luchenza!G173+Luchenza!H173+Luchenza!I173</f>
        <v>0</v>
      </c>
      <c r="F173" s="22">
        <f>Thyolo!G173+Thyolo!H173+Thyolo!I173</f>
        <v>0</v>
      </c>
      <c r="G173" s="22">
        <f>Muloza!G173+Muloza!H173+Muloza!I173</f>
        <v>0</v>
      </c>
      <c r="H173" s="22">
        <f>MUST!G173+MUST!H173+MUST!I173</f>
        <v>0</v>
      </c>
      <c r="I173" s="22">
        <f>Phalombe!G173+Phalombe!H173+Phalombe!I173</f>
        <v>0</v>
      </c>
      <c r="J173" s="22">
        <f>Mikolongwe!G173+Mikolongwe!H173+Mikolongwe!I173</f>
        <v>0</v>
      </c>
      <c r="K173" s="22">
        <f>Migowi!G173+Migowi!H173+Migowi!I173</f>
        <v>0</v>
      </c>
      <c r="L173" s="16">
        <f t="shared" si="53"/>
        <v>0</v>
      </c>
    </row>
    <row r="174" spans="1:12" ht="15.75" x14ac:dyDescent="0.25">
      <c r="A174" s="463"/>
      <c r="B174" s="17" t="s">
        <v>60</v>
      </c>
      <c r="C174" s="4" t="s">
        <v>57</v>
      </c>
      <c r="D174" s="22">
        <f>Mulanje!G174+Mulanje!H174+Mulanje!I174</f>
        <v>0</v>
      </c>
      <c r="E174" s="22">
        <f>Luchenza!G174+Luchenza!H174+Luchenza!I174</f>
        <v>0</v>
      </c>
      <c r="F174" s="22">
        <f>Thyolo!G174+Thyolo!H174+Thyolo!I174</f>
        <v>0</v>
      </c>
      <c r="G174" s="22">
        <f>Muloza!G174+Muloza!H174+Muloza!I174</f>
        <v>0</v>
      </c>
      <c r="H174" s="22">
        <f>MUST!G174+MUST!H174+MUST!I174</f>
        <v>0</v>
      </c>
      <c r="I174" s="22">
        <f>Phalombe!G174+Phalombe!H174+Phalombe!I174</f>
        <v>0</v>
      </c>
      <c r="J174" s="22">
        <f>Mikolongwe!G174+Mikolongwe!H174+Mikolongwe!I174</f>
        <v>0</v>
      </c>
      <c r="K174" s="22">
        <f>Migowi!G174+Migowi!H174+Migowi!I174</f>
        <v>0</v>
      </c>
      <c r="L174" s="16">
        <f t="shared" si="53"/>
        <v>0</v>
      </c>
    </row>
    <row r="175" spans="1:12" ht="15.75" x14ac:dyDescent="0.25">
      <c r="A175" s="464"/>
      <c r="B175" s="17" t="s">
        <v>69</v>
      </c>
      <c r="C175" s="4" t="s">
        <v>57</v>
      </c>
      <c r="D175" s="22">
        <f>Mulanje!G175+Mulanje!H175+Mulanje!I175</f>
        <v>0</v>
      </c>
      <c r="E175" s="22">
        <f>Luchenza!G175+Luchenza!H175+Luchenza!I175</f>
        <v>0</v>
      </c>
      <c r="F175" s="22">
        <f>Thyolo!G175+Thyolo!H175+Thyolo!I175</f>
        <v>0</v>
      </c>
      <c r="G175" s="22">
        <f>Muloza!G175+Muloza!H175+Muloza!I175</f>
        <v>0</v>
      </c>
      <c r="H175" s="22">
        <f>MUST!G175+MUST!H175+MUST!I175</f>
        <v>0</v>
      </c>
      <c r="I175" s="22">
        <f>Phalombe!G175+Phalombe!H175+Phalombe!I175</f>
        <v>0</v>
      </c>
      <c r="J175" s="22">
        <f>Mikolongwe!G175+Mikolongwe!H175+Mikolongwe!I175</f>
        <v>0</v>
      </c>
      <c r="K175" s="22">
        <f>Migowi!G175+Migowi!H175+Migowi!I175</f>
        <v>0</v>
      </c>
      <c r="L175" s="16">
        <f t="shared" si="53"/>
        <v>0</v>
      </c>
    </row>
    <row r="176" spans="1:12" ht="15.75" x14ac:dyDescent="0.25">
      <c r="A176" s="46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75" x14ac:dyDescent="0.25">
      <c r="A177" s="463"/>
      <c r="B177" s="17" t="s">
        <v>60</v>
      </c>
      <c r="C177" s="4" t="s">
        <v>57</v>
      </c>
      <c r="D177" s="22">
        <f>Mulanje!G177+Mulanje!H177+Mulanje!I177</f>
        <v>0</v>
      </c>
      <c r="E177" s="22">
        <f>Luchenza!G177+Luchenza!H177+Luchenza!I177</f>
        <v>0</v>
      </c>
      <c r="F177" s="22">
        <f>Thyolo!G177+Thyolo!H177+Thyolo!I177</f>
        <v>0</v>
      </c>
      <c r="G177" s="22">
        <f>Muloza!G177+Muloza!H177+Muloza!I177</f>
        <v>0</v>
      </c>
      <c r="H177" s="22">
        <f>MUST!G177+MUST!H177+MUST!I177</f>
        <v>0</v>
      </c>
      <c r="I177" s="22">
        <f>Phalombe!G177+Phalombe!H177+Phalombe!I177</f>
        <v>0</v>
      </c>
      <c r="J177" s="22">
        <f>Mikolongwe!G177+Mikolongwe!H177+Mikolongwe!I177</f>
        <v>0</v>
      </c>
      <c r="K177" s="22">
        <f>Migowi!G177+Migowi!H177+Migowi!I177</f>
        <v>0</v>
      </c>
      <c r="L177" s="16">
        <f t="shared" ref="L177:L182" si="54">SUM(D177:K177)</f>
        <v>0</v>
      </c>
    </row>
    <row r="178" spans="1:12" ht="15.75" x14ac:dyDescent="0.25">
      <c r="A178" s="463"/>
      <c r="B178" s="17" t="s">
        <v>69</v>
      </c>
      <c r="C178" s="4" t="s">
        <v>57</v>
      </c>
      <c r="D178" s="22">
        <f>Mulanje!G178+Mulanje!H178+Mulanje!I178</f>
        <v>0</v>
      </c>
      <c r="E178" s="22">
        <f>Luchenza!G178+Luchenza!H178+Luchenza!I178</f>
        <v>0</v>
      </c>
      <c r="F178" s="22">
        <f>Thyolo!G178+Thyolo!H178+Thyolo!I178</f>
        <v>0</v>
      </c>
      <c r="G178" s="22">
        <f>Muloza!G178+Muloza!H178+Muloza!I178</f>
        <v>0</v>
      </c>
      <c r="H178" s="22">
        <f>MUST!G178+MUST!H178+MUST!I178</f>
        <v>0</v>
      </c>
      <c r="I178" s="22">
        <f>Phalombe!G178+Phalombe!H178+Phalombe!I178</f>
        <v>0</v>
      </c>
      <c r="J178" s="22">
        <f>Mikolongwe!G178+Mikolongwe!H178+Mikolongwe!I178</f>
        <v>0</v>
      </c>
      <c r="K178" s="22">
        <f>Migowi!G178+Migowi!H178+Migowi!I178</f>
        <v>0</v>
      </c>
      <c r="L178" s="16">
        <f t="shared" si="54"/>
        <v>0</v>
      </c>
    </row>
    <row r="179" spans="1:12" ht="15.75" x14ac:dyDescent="0.25">
      <c r="A179" s="463"/>
      <c r="B179" s="17" t="s">
        <v>68</v>
      </c>
      <c r="C179" s="4" t="s">
        <v>57</v>
      </c>
      <c r="D179" s="22">
        <f>Mulanje!G179+Mulanje!H179+Mulanje!I179</f>
        <v>0</v>
      </c>
      <c r="E179" s="22">
        <f>Luchenza!G179+Luchenza!H179+Luchenza!I179</f>
        <v>0</v>
      </c>
      <c r="F179" s="22">
        <f>Thyolo!G179+Thyolo!H179+Thyolo!I179</f>
        <v>0</v>
      </c>
      <c r="G179" s="22">
        <f>Muloza!G179+Muloza!H179+Muloza!I179</f>
        <v>0</v>
      </c>
      <c r="H179" s="22">
        <f>MUST!G179+MUST!H179+MUST!I179</f>
        <v>0</v>
      </c>
      <c r="I179" s="22">
        <f>Phalombe!G179+Phalombe!H179+Phalombe!I179</f>
        <v>0</v>
      </c>
      <c r="J179" s="22">
        <f>Mikolongwe!G179+Mikolongwe!H179+Mikolongwe!I179</f>
        <v>0</v>
      </c>
      <c r="K179" s="22">
        <f>Migowi!G179+Migowi!H179+Migowi!I179</f>
        <v>0</v>
      </c>
      <c r="L179" s="16">
        <f t="shared" si="54"/>
        <v>0</v>
      </c>
    </row>
    <row r="180" spans="1:12" ht="15.75" x14ac:dyDescent="0.25">
      <c r="A180" s="463"/>
      <c r="B180" s="17" t="s">
        <v>67</v>
      </c>
      <c r="C180" s="4" t="s">
        <v>57</v>
      </c>
      <c r="D180" s="22">
        <f>Mulanje!G180+Mulanje!H180+Mulanje!I180</f>
        <v>0</v>
      </c>
      <c r="E180" s="22">
        <f>Luchenza!G180+Luchenza!H180+Luchenza!I180</f>
        <v>0</v>
      </c>
      <c r="F180" s="22">
        <f>Thyolo!G180+Thyolo!H180+Thyolo!I180</f>
        <v>0</v>
      </c>
      <c r="G180" s="22">
        <f>Muloza!G180+Muloza!H180+Muloza!I180</f>
        <v>0</v>
      </c>
      <c r="H180" s="22">
        <f>MUST!G180+MUST!H180+MUST!I180</f>
        <v>0</v>
      </c>
      <c r="I180" s="22">
        <f>Phalombe!G180+Phalombe!H180+Phalombe!I180</f>
        <v>0</v>
      </c>
      <c r="J180" s="22">
        <f>Mikolongwe!G180+Mikolongwe!H180+Mikolongwe!I180</f>
        <v>0</v>
      </c>
      <c r="K180" s="22">
        <f>Migowi!G180+Migowi!H180+Migowi!I180</f>
        <v>0</v>
      </c>
      <c r="L180" s="16">
        <f t="shared" si="54"/>
        <v>0</v>
      </c>
    </row>
    <row r="181" spans="1:12" ht="15.75" x14ac:dyDescent="0.25">
      <c r="A181" s="463"/>
      <c r="B181" s="17" t="s">
        <v>66</v>
      </c>
      <c r="C181" s="4" t="s">
        <v>57</v>
      </c>
      <c r="D181" s="22">
        <f>Mulanje!G181+Mulanje!H181+Mulanje!I181</f>
        <v>0</v>
      </c>
      <c r="E181" s="22">
        <f>Luchenza!G181+Luchenza!H181+Luchenza!I181</f>
        <v>0</v>
      </c>
      <c r="F181" s="22">
        <f>Thyolo!G181+Thyolo!H181+Thyolo!I181</f>
        <v>0</v>
      </c>
      <c r="G181" s="22">
        <f>Muloza!G181+Muloza!H181+Muloza!I181</f>
        <v>0</v>
      </c>
      <c r="H181" s="22">
        <f>MUST!G181+MUST!H181+MUST!I181</f>
        <v>0</v>
      </c>
      <c r="I181" s="22">
        <f>Phalombe!G181+Phalombe!H181+Phalombe!I181</f>
        <v>0</v>
      </c>
      <c r="J181" s="22">
        <f>Mikolongwe!G181+Mikolongwe!H181+Mikolongwe!I181</f>
        <v>0</v>
      </c>
      <c r="K181" s="22">
        <f>Migowi!G181+Migowi!H181+Migowi!I181</f>
        <v>0</v>
      </c>
      <c r="L181" s="16">
        <f t="shared" si="54"/>
        <v>0</v>
      </c>
    </row>
    <row r="182" spans="1:12" ht="15.75" x14ac:dyDescent="0.25">
      <c r="A182" s="464"/>
      <c r="B182" s="17" t="s">
        <v>65</v>
      </c>
      <c r="C182" s="4" t="s">
        <v>57</v>
      </c>
      <c r="D182" s="22">
        <f>Mulanje!G182+Mulanje!H182+Mulanje!I182</f>
        <v>0</v>
      </c>
      <c r="E182" s="22">
        <f>Luchenza!G182+Luchenza!H182+Luchenza!I182</f>
        <v>0</v>
      </c>
      <c r="F182" s="22">
        <f>Thyolo!G182+Thyolo!H182+Thyolo!I182</f>
        <v>0</v>
      </c>
      <c r="G182" s="22">
        <f>Muloza!G182+Muloza!H182+Muloza!I182</f>
        <v>0</v>
      </c>
      <c r="H182" s="22">
        <f>MUST!G182+MUST!H182+MUST!I182</f>
        <v>0</v>
      </c>
      <c r="I182" s="22">
        <f>Phalombe!G182+Phalombe!H182+Phalombe!I182</f>
        <v>0</v>
      </c>
      <c r="J182" s="22">
        <f>Mikolongwe!G182+Mikolongwe!H182+Mikolongwe!I182</f>
        <v>0</v>
      </c>
      <c r="K182" s="22">
        <f>Migowi!G182+Migowi!H182+Migowi!I182</f>
        <v>0</v>
      </c>
      <c r="L182" s="16">
        <f t="shared" si="54"/>
        <v>0</v>
      </c>
    </row>
    <row r="183" spans="1:12" ht="15.75" x14ac:dyDescent="0.25">
      <c r="A183" s="46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75" x14ac:dyDescent="0.25">
      <c r="A184" s="463"/>
      <c r="B184" s="17" t="s">
        <v>73</v>
      </c>
      <c r="C184" s="4"/>
      <c r="D184" s="22">
        <f>Mulanje!G184+Mulanje!H184+Mulanje!I184</f>
        <v>0</v>
      </c>
      <c r="E184" s="22">
        <f>Luchenza!G184+Luchenza!H184+Luchenza!I184</f>
        <v>0</v>
      </c>
      <c r="F184" s="22">
        <f>Thyolo!G184+Thyolo!H184+Thyolo!I184</f>
        <v>0</v>
      </c>
      <c r="G184" s="22">
        <f>Muloza!G184+Muloza!H184+Muloza!I184</f>
        <v>0</v>
      </c>
      <c r="H184" s="22">
        <f>MUST!G184+MUST!H184+MUST!I184</f>
        <v>0</v>
      </c>
      <c r="I184" s="22">
        <f>Phalombe!G184+Phalombe!H184+Phalombe!I184</f>
        <v>0</v>
      </c>
      <c r="J184" s="22">
        <f>Mikolongwe!G184+Mikolongwe!H184+Mikolongwe!I184</f>
        <v>0</v>
      </c>
      <c r="K184" s="22">
        <f>Migowi!G184+Migowi!H184+Migowi!I184</f>
        <v>0</v>
      </c>
      <c r="L184" s="16">
        <f>SUM(D184:K184)</f>
        <v>0</v>
      </c>
    </row>
    <row r="185" spans="1:12" ht="15.75" x14ac:dyDescent="0.25">
      <c r="A185" s="463"/>
      <c r="B185" s="17" t="s">
        <v>72</v>
      </c>
      <c r="C185" s="4"/>
      <c r="D185" s="22">
        <f>Mulanje!G185+Mulanje!H185+Mulanje!I185</f>
        <v>0</v>
      </c>
      <c r="E185" s="22">
        <f>Luchenza!G185+Luchenza!H185+Luchenza!I185</f>
        <v>0</v>
      </c>
      <c r="F185" s="22">
        <f>Thyolo!G185+Thyolo!H185+Thyolo!I185</f>
        <v>0</v>
      </c>
      <c r="G185" s="22">
        <f>Muloza!G185+Muloza!H185+Muloza!I185</f>
        <v>0</v>
      </c>
      <c r="H185" s="22">
        <f>MUST!G185+MUST!H185+MUST!I185</f>
        <v>0</v>
      </c>
      <c r="I185" s="22">
        <f>Phalombe!G185+Phalombe!H185+Phalombe!I185</f>
        <v>0</v>
      </c>
      <c r="J185" s="22">
        <f>Mikolongwe!G185+Mikolongwe!H185+Mikolongwe!I185</f>
        <v>0</v>
      </c>
      <c r="K185" s="22">
        <f>Migowi!G185+Migowi!H185+Migowi!I185</f>
        <v>0</v>
      </c>
      <c r="L185" s="16">
        <f>SUM(D185:K185)</f>
        <v>0</v>
      </c>
    </row>
    <row r="186" spans="1:12" ht="15.75" x14ac:dyDescent="0.25">
      <c r="A186" s="463"/>
      <c r="B186" s="17" t="s">
        <v>53</v>
      </c>
      <c r="C186" s="4"/>
      <c r="D186" s="22">
        <f>Mulanje!G186+Mulanje!H186+Mulanje!I186</f>
        <v>0</v>
      </c>
      <c r="E186" s="22">
        <f>Luchenza!G186+Luchenza!H186+Luchenza!I186</f>
        <v>0</v>
      </c>
      <c r="F186" s="22">
        <f>Thyolo!G186+Thyolo!H186+Thyolo!I186</f>
        <v>0</v>
      </c>
      <c r="G186" s="22">
        <f>Muloza!G186+Muloza!H186+Muloza!I186</f>
        <v>0</v>
      </c>
      <c r="H186" s="22">
        <f>MUST!G186+MUST!H186+MUST!I186</f>
        <v>0</v>
      </c>
      <c r="I186" s="22">
        <f>Phalombe!G186+Phalombe!H186+Phalombe!I186</f>
        <v>0</v>
      </c>
      <c r="J186" s="22">
        <f>Mikolongwe!G186+Mikolongwe!H186+Mikolongwe!I186</f>
        <v>0</v>
      </c>
      <c r="K186" s="22">
        <f>Migowi!G186+Migowi!H186+Migowi!I186</f>
        <v>0</v>
      </c>
      <c r="L186" s="16">
        <f>SUM(D186:K186)</f>
        <v>0</v>
      </c>
    </row>
    <row r="187" spans="1:12" ht="15.75" x14ac:dyDescent="0.25">
      <c r="A187" s="464"/>
      <c r="B187" s="17" t="s">
        <v>52</v>
      </c>
      <c r="C187" s="4"/>
      <c r="D187" s="22">
        <f>Mulanje!G187+Mulanje!H187+Mulanje!I187</f>
        <v>0</v>
      </c>
      <c r="E187" s="22">
        <f>Luchenza!G187+Luchenza!H187+Luchenza!I187</f>
        <v>0</v>
      </c>
      <c r="F187" s="22">
        <f>Thyolo!G187+Thyolo!H187+Thyolo!I187</f>
        <v>0</v>
      </c>
      <c r="G187" s="22">
        <f>Muloza!G187+Muloza!H187+Muloza!I187</f>
        <v>0</v>
      </c>
      <c r="H187" s="22">
        <f>MUST!G187+MUST!H187+MUST!I187</f>
        <v>0</v>
      </c>
      <c r="I187" s="22">
        <f>Phalombe!G187+Phalombe!H187+Phalombe!I187</f>
        <v>0</v>
      </c>
      <c r="J187" s="22">
        <f>Mikolongwe!G187+Mikolongwe!H187+Mikolongwe!I187</f>
        <v>0</v>
      </c>
      <c r="K187" s="22">
        <f>Migowi!G187+Migowi!H187+Migowi!I187</f>
        <v>0</v>
      </c>
      <c r="L187" s="16">
        <f>SUM(D187:K187)</f>
        <v>0</v>
      </c>
    </row>
    <row r="188" spans="1:12" ht="15.75" x14ac:dyDescent="0.25">
      <c r="A188" s="46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75" x14ac:dyDescent="0.25">
      <c r="A189" s="463"/>
      <c r="B189" s="18" t="s">
        <v>52</v>
      </c>
      <c r="C189" s="4" t="s">
        <v>57</v>
      </c>
      <c r="D189" s="22">
        <f>Mulanje!G189+Mulanje!H189+Mulanje!I189</f>
        <v>0</v>
      </c>
      <c r="E189" s="22">
        <f>Luchenza!G189+Luchenza!H189+Luchenza!I189</f>
        <v>0</v>
      </c>
      <c r="F189" s="22">
        <f>Thyolo!G189+Thyolo!H189+Thyolo!I189</f>
        <v>0</v>
      </c>
      <c r="G189" s="22">
        <f>Muloza!G189+Muloza!H189+Muloza!I189</f>
        <v>0</v>
      </c>
      <c r="H189" s="22">
        <f>MUST!G189+MUST!H189+MUST!I189</f>
        <v>0</v>
      </c>
      <c r="I189" s="22">
        <f>Phalombe!G189+Phalombe!H189+Phalombe!I189</f>
        <v>0</v>
      </c>
      <c r="J189" s="22">
        <f>Mikolongwe!G189+Mikolongwe!H189+Mikolongwe!I189</f>
        <v>0</v>
      </c>
      <c r="K189" s="22">
        <f>Migowi!G189+Migowi!H189+Migowi!I189</f>
        <v>0</v>
      </c>
      <c r="L189" s="16">
        <f>SUM(D189:K189)</f>
        <v>0</v>
      </c>
    </row>
    <row r="190" spans="1:12" ht="15.75" x14ac:dyDescent="0.25">
      <c r="A190" s="463"/>
      <c r="B190" s="17" t="s">
        <v>62</v>
      </c>
      <c r="C190" s="4" t="s">
        <v>57</v>
      </c>
      <c r="D190" s="22">
        <f>Mulanje!G190+Mulanje!H190+Mulanje!I190</f>
        <v>0</v>
      </c>
      <c r="E190" s="22">
        <f>Luchenza!G190+Luchenza!H190+Luchenza!I190</f>
        <v>0</v>
      </c>
      <c r="F190" s="22">
        <f>Thyolo!G190+Thyolo!H190+Thyolo!I190</f>
        <v>0</v>
      </c>
      <c r="G190" s="22">
        <f>Muloza!G190+Muloza!H190+Muloza!I190</f>
        <v>0</v>
      </c>
      <c r="H190" s="22">
        <f>MUST!G190+MUST!H190+MUST!I190</f>
        <v>0</v>
      </c>
      <c r="I190" s="22">
        <f>Phalombe!G190+Phalombe!H190+Phalombe!I190</f>
        <v>0</v>
      </c>
      <c r="J190" s="22">
        <f>Mikolongwe!G190+Mikolongwe!H190+Mikolongwe!I190</f>
        <v>0</v>
      </c>
      <c r="K190" s="22">
        <f>Migowi!G190+Migowi!H190+Migowi!I190</f>
        <v>0</v>
      </c>
      <c r="L190" s="16">
        <f>SUM(D190:K190)</f>
        <v>0</v>
      </c>
    </row>
    <row r="191" spans="1:12" ht="15.75" x14ac:dyDescent="0.25">
      <c r="A191" s="463"/>
      <c r="B191" s="17" t="s">
        <v>61</v>
      </c>
      <c r="C191" s="4" t="s">
        <v>57</v>
      </c>
      <c r="D191" s="22">
        <f>Mulanje!G191+Mulanje!H191+Mulanje!I191</f>
        <v>0</v>
      </c>
      <c r="E191" s="22">
        <f>Luchenza!G191+Luchenza!H191+Luchenza!I191</f>
        <v>0</v>
      </c>
      <c r="F191" s="22">
        <f>Thyolo!G191+Thyolo!H191+Thyolo!I191</f>
        <v>0</v>
      </c>
      <c r="G191" s="22">
        <f>Muloza!G191+Muloza!H191+Muloza!I191</f>
        <v>0</v>
      </c>
      <c r="H191" s="22">
        <f>MUST!G191+MUST!H191+MUST!I191</f>
        <v>0</v>
      </c>
      <c r="I191" s="22">
        <f>Phalombe!G191+Phalombe!H191+Phalombe!I191</f>
        <v>0</v>
      </c>
      <c r="J191" s="22">
        <f>Mikolongwe!G191+Mikolongwe!H191+Mikolongwe!I191</f>
        <v>0</v>
      </c>
      <c r="K191" s="22">
        <f>Migowi!G191+Migowi!H191+Migowi!I191</f>
        <v>0</v>
      </c>
      <c r="L191" s="16">
        <f>SUM(D191:K191)</f>
        <v>0</v>
      </c>
    </row>
    <row r="192" spans="1:12" ht="15.75" x14ac:dyDescent="0.25">
      <c r="A192" s="464"/>
      <c r="B192" s="17" t="s">
        <v>60</v>
      </c>
      <c r="C192" s="4" t="s">
        <v>57</v>
      </c>
      <c r="D192" s="22">
        <f>Mulanje!G192+Mulanje!H192+Mulanje!I192</f>
        <v>0</v>
      </c>
      <c r="E192" s="22">
        <f>Luchenza!G192+Luchenza!H192+Luchenza!I192</f>
        <v>0</v>
      </c>
      <c r="F192" s="22">
        <f>Thyolo!G192+Thyolo!H192+Thyolo!I192</f>
        <v>0</v>
      </c>
      <c r="G192" s="22">
        <f>Muloza!G192+Muloza!H192+Muloza!I192</f>
        <v>0</v>
      </c>
      <c r="H192" s="22">
        <f>MUST!G192+MUST!H192+MUST!I192</f>
        <v>0</v>
      </c>
      <c r="I192" s="22">
        <f>Phalombe!G192+Phalombe!H192+Phalombe!I192</f>
        <v>0</v>
      </c>
      <c r="J192" s="22">
        <f>Mikolongwe!G192+Mikolongwe!H192+Mikolongwe!I192</f>
        <v>0</v>
      </c>
      <c r="K192" s="22">
        <f>Migowi!G192+Migowi!H192+Migowi!I192</f>
        <v>0</v>
      </c>
      <c r="L192" s="16">
        <f>SUM(D192:K192)</f>
        <v>0</v>
      </c>
    </row>
    <row r="193" spans="1:12" ht="15.75" x14ac:dyDescent="0.25">
      <c r="A193" s="465" t="s">
        <v>59</v>
      </c>
      <c r="B193" s="466"/>
      <c r="C193" s="4"/>
      <c r="D193" s="9">
        <f>SUM(D153:D192)</f>
        <v>0</v>
      </c>
      <c r="E193" s="9">
        <f t="shared" ref="E193:L193" si="55">SUM(E153:E192)</f>
        <v>0</v>
      </c>
      <c r="F193" s="9">
        <f t="shared" si="55"/>
        <v>0</v>
      </c>
      <c r="G193" s="9">
        <f t="shared" si="55"/>
        <v>0</v>
      </c>
      <c r="H193" s="9">
        <f t="shared" si="55"/>
        <v>0</v>
      </c>
      <c r="I193" s="9">
        <f t="shared" si="55"/>
        <v>0</v>
      </c>
      <c r="J193" s="9">
        <f t="shared" si="55"/>
        <v>0</v>
      </c>
      <c r="K193" s="9">
        <f t="shared" si="55"/>
        <v>0</v>
      </c>
      <c r="L193" s="92">
        <f t="shared" si="55"/>
        <v>0</v>
      </c>
    </row>
    <row r="194" spans="1:12" ht="15.75" x14ac:dyDescent="0.25">
      <c r="A194" s="467" t="s">
        <v>58</v>
      </c>
      <c r="B194" s="468"/>
      <c r="C194" s="4" t="s">
        <v>57</v>
      </c>
      <c r="D194" s="22">
        <f>Mulanje!G194+Mulanje!H194+Mulanje!I194</f>
        <v>0</v>
      </c>
      <c r="E194" s="22">
        <f>Luchenza!G194+Luchenza!H194+Luchenza!I194</f>
        <v>0</v>
      </c>
      <c r="F194" s="22">
        <f>Thyolo!G194+Thyolo!H194+Thyolo!I194</f>
        <v>0</v>
      </c>
      <c r="G194" s="22">
        <f>Muloza!G194+Muloza!H194+Muloza!I194</f>
        <v>0</v>
      </c>
      <c r="H194" s="22">
        <f>MUST!G194+MUST!H194+MUST!I194</f>
        <v>0</v>
      </c>
      <c r="I194" s="22">
        <f>Phalombe!G194+Phalombe!H194+Phalombe!I194</f>
        <v>0</v>
      </c>
      <c r="J194" s="22">
        <f>Mikolongwe!G194+Mikolongwe!H194+Mikolongwe!I194</f>
        <v>0</v>
      </c>
      <c r="K194" s="22">
        <f>Migowi!G194+Migowi!H194+Migowi!I194</f>
        <v>0</v>
      </c>
      <c r="L194" s="8">
        <f>SUM(D194:K194)</f>
        <v>0</v>
      </c>
    </row>
    <row r="195" spans="1:12" ht="15.75" x14ac:dyDescent="0.25">
      <c r="A195" s="469"/>
      <c r="B195" s="470"/>
      <c r="C195" s="14" t="s">
        <v>55</v>
      </c>
      <c r="D195" s="22">
        <f>Mulanje!G195+Mulanje!H195+Mulanje!I195</f>
        <v>0</v>
      </c>
      <c r="E195" s="22">
        <f>Luchenza!G195+Luchenza!H195+Luchenza!I195</f>
        <v>0</v>
      </c>
      <c r="F195" s="22">
        <f>Thyolo!G195+Thyolo!H195+Thyolo!I195</f>
        <v>0</v>
      </c>
      <c r="G195" s="22">
        <f>Muloza!G195+Muloza!H195+Muloza!I195</f>
        <v>0</v>
      </c>
      <c r="H195" s="22">
        <f>MUST!G195+MUST!H195+MUST!I195</f>
        <v>0</v>
      </c>
      <c r="I195" s="22">
        <f>Phalombe!G195+Phalombe!H195+Phalombe!I195</f>
        <v>0</v>
      </c>
      <c r="J195" s="22">
        <f>Mikolongwe!G195+Mikolongwe!H195+Mikolongwe!I195</f>
        <v>0</v>
      </c>
      <c r="K195" s="22">
        <f>Migowi!G195+Migowi!H195+Migowi!I195</f>
        <v>0</v>
      </c>
      <c r="L195" s="8">
        <f>SUM(D195:K195)</f>
        <v>0</v>
      </c>
    </row>
    <row r="196" spans="1:12" ht="15.75" x14ac:dyDescent="0.25">
      <c r="A196" s="75" t="s">
        <v>204</v>
      </c>
      <c r="B196" s="76"/>
      <c r="C196" s="14" t="s">
        <v>55</v>
      </c>
      <c r="D196" s="22">
        <f>Mulanje!G196+Mulanje!H196+Mulanje!I196</f>
        <v>0</v>
      </c>
      <c r="E196" s="22">
        <f>Luchenza!G196+Luchenza!H196+Luchenza!I196</f>
        <v>0</v>
      </c>
      <c r="F196" s="22">
        <f>Thyolo!G196+Thyolo!H196+Thyolo!I196</f>
        <v>0</v>
      </c>
      <c r="G196" s="22">
        <f>Muloza!G196+Muloza!H196+Muloza!I196</f>
        <v>0</v>
      </c>
      <c r="H196" s="22">
        <f>MUST!G196+MUST!H196+MUST!I196</f>
        <v>0</v>
      </c>
      <c r="I196" s="22">
        <f>Phalombe!G196+Phalombe!H196+Phalombe!I196</f>
        <v>0</v>
      </c>
      <c r="J196" s="22">
        <f>Mikolongwe!G196+Mikolongwe!H196+Mikolongwe!I196</f>
        <v>0</v>
      </c>
      <c r="K196" s="22">
        <f>Migowi!G196+Migowi!H196+Migowi!I196</f>
        <v>0</v>
      </c>
      <c r="L196" s="8">
        <f>SUM(D196:K196)</f>
        <v>0</v>
      </c>
    </row>
    <row r="197" spans="1:12" ht="15.75" x14ac:dyDescent="0.25">
      <c r="A197" s="445" t="s">
        <v>56</v>
      </c>
      <c r="B197" s="446"/>
      <c r="C197" s="14" t="s">
        <v>55</v>
      </c>
      <c r="D197" s="22">
        <f>Mulanje!G197+Mulanje!H197+Mulanje!I197</f>
        <v>0</v>
      </c>
      <c r="E197" s="22">
        <f>Luchenza!G197+Luchenza!H197+Luchenza!I197</f>
        <v>0</v>
      </c>
      <c r="F197" s="22">
        <f>Thyolo!G197+Thyolo!H197+Thyolo!I197</f>
        <v>0</v>
      </c>
      <c r="G197" s="22">
        <f>Muloza!G197+Muloza!H197+Muloza!I197</f>
        <v>0</v>
      </c>
      <c r="H197" s="22">
        <f>MUST!G197+MUST!H197+MUST!I197</f>
        <v>0</v>
      </c>
      <c r="I197" s="22">
        <f>Phalombe!G197+Phalombe!H197+Phalombe!I197</f>
        <v>0</v>
      </c>
      <c r="J197" s="22">
        <f>Mikolongwe!G197+Mikolongwe!H197+Mikolongwe!I197</f>
        <v>0</v>
      </c>
      <c r="K197" s="22">
        <f>Migowi!G197+Migowi!H197+Migowi!I197</f>
        <v>0</v>
      </c>
      <c r="L197" s="8">
        <f>SUM(D197:K197)</f>
        <v>0</v>
      </c>
    </row>
    <row r="198" spans="1:12" x14ac:dyDescent="0.25">
      <c r="A198" s="442" t="s">
        <v>205</v>
      </c>
      <c r="B198" s="443"/>
      <c r="C198" s="443"/>
      <c r="D198" s="443"/>
      <c r="E198" s="443"/>
      <c r="F198" s="443"/>
      <c r="G198" s="443"/>
      <c r="H198" s="443"/>
      <c r="I198" s="443"/>
      <c r="J198" s="443"/>
      <c r="K198" s="443"/>
      <c r="L198" s="444"/>
    </row>
    <row r="199" spans="1:12" ht="15.75" x14ac:dyDescent="0.25">
      <c r="A199" s="467" t="s">
        <v>54</v>
      </c>
      <c r="B199" s="69" t="s">
        <v>53</v>
      </c>
      <c r="C199" s="4" t="s">
        <v>47</v>
      </c>
      <c r="D199" s="22">
        <f>Mulanje!G199+Mulanje!H199+Mulanje!I199</f>
        <v>0</v>
      </c>
      <c r="E199" s="22">
        <f>Luchenza!G199+Luchenza!H199+Luchenza!I199</f>
        <v>0</v>
      </c>
      <c r="F199" s="22">
        <f>Thyolo!G199+Thyolo!H199+Thyolo!I199</f>
        <v>0</v>
      </c>
      <c r="G199" s="22">
        <f>Muloza!G199+Muloza!H199+Muloza!I199</f>
        <v>0</v>
      </c>
      <c r="H199" s="22">
        <f>MUST!G199+MUST!H199+MUST!I199</f>
        <v>0</v>
      </c>
      <c r="I199" s="22">
        <f>Phalombe!G199+Phalombe!H199+Phalombe!I199</f>
        <v>0</v>
      </c>
      <c r="J199" s="22">
        <f>Mikolongwe!G199+Mikolongwe!H199+Mikolongwe!I199</f>
        <v>0</v>
      </c>
      <c r="K199" s="22">
        <f>Migowi!G199+Migowi!H199+Migowi!I199</f>
        <v>0</v>
      </c>
      <c r="L199" s="8">
        <f t="shared" ref="L199:L204" si="56">SUM(D199:K199)</f>
        <v>0</v>
      </c>
    </row>
    <row r="200" spans="1:12" ht="15.75" x14ac:dyDescent="0.25">
      <c r="A200" s="471"/>
      <c r="B200" s="69" t="s">
        <v>52</v>
      </c>
      <c r="C200" s="4" t="s">
        <v>47</v>
      </c>
      <c r="D200" s="22">
        <f>Mulanje!G200+Mulanje!H200+Mulanje!I200</f>
        <v>0</v>
      </c>
      <c r="E200" s="22">
        <f>Luchenza!G200+Luchenza!H200+Luchenza!I200</f>
        <v>0</v>
      </c>
      <c r="F200" s="22">
        <f>Thyolo!G200+Thyolo!H200+Thyolo!I200</f>
        <v>0</v>
      </c>
      <c r="G200" s="22">
        <f>Muloza!G200+Muloza!H200+Muloza!I200</f>
        <v>0</v>
      </c>
      <c r="H200" s="22">
        <f>MUST!G200+MUST!H200+MUST!I200</f>
        <v>0</v>
      </c>
      <c r="I200" s="22">
        <f>Phalombe!G200+Phalombe!H200+Phalombe!I200</f>
        <v>0</v>
      </c>
      <c r="J200" s="22">
        <f>Mikolongwe!G200+Mikolongwe!H200+Mikolongwe!I200</f>
        <v>0</v>
      </c>
      <c r="K200" s="22">
        <f>Migowi!G200+Migowi!H200+Migowi!I200</f>
        <v>0</v>
      </c>
      <c r="L200" s="8">
        <f t="shared" si="56"/>
        <v>0</v>
      </c>
    </row>
    <row r="201" spans="1:12" ht="15.75" x14ac:dyDescent="0.25">
      <c r="A201" s="471"/>
      <c r="B201" s="69" t="s">
        <v>51</v>
      </c>
      <c r="C201" s="4" t="s">
        <v>47</v>
      </c>
      <c r="D201" s="22">
        <f>Mulanje!G201+Mulanje!H201+Mulanje!I201</f>
        <v>0</v>
      </c>
      <c r="E201" s="22">
        <f>Luchenza!G201+Luchenza!H201+Luchenza!I201</f>
        <v>0</v>
      </c>
      <c r="F201" s="22">
        <f>Thyolo!G201+Thyolo!H201+Thyolo!I201</f>
        <v>0</v>
      </c>
      <c r="G201" s="22">
        <f>Muloza!G201+Muloza!H201+Muloza!I201</f>
        <v>0</v>
      </c>
      <c r="H201" s="22">
        <f>MUST!G201+MUST!H201+MUST!I201</f>
        <v>0</v>
      </c>
      <c r="I201" s="22">
        <f>Phalombe!G201+Phalombe!H201+Phalombe!I201</f>
        <v>0</v>
      </c>
      <c r="J201" s="22">
        <f>Mikolongwe!G201+Mikolongwe!H201+Mikolongwe!I201</f>
        <v>0</v>
      </c>
      <c r="K201" s="22">
        <f>Migowi!G201+Migowi!H201+Migowi!I201</f>
        <v>0</v>
      </c>
      <c r="L201" s="8">
        <f t="shared" si="56"/>
        <v>0</v>
      </c>
    </row>
    <row r="202" spans="1:12" ht="15.75" x14ac:dyDescent="0.25">
      <c r="A202" s="471"/>
      <c r="B202" s="69" t="s">
        <v>50</v>
      </c>
      <c r="C202" s="4" t="s">
        <v>47</v>
      </c>
      <c r="D202" s="22">
        <f>Mulanje!G202+Mulanje!H202+Mulanje!I202</f>
        <v>0</v>
      </c>
      <c r="E202" s="22">
        <f>Luchenza!G202+Luchenza!H202+Luchenza!I202</f>
        <v>0</v>
      </c>
      <c r="F202" s="22">
        <f>Thyolo!G202+Thyolo!H202+Thyolo!I202</f>
        <v>0</v>
      </c>
      <c r="G202" s="22">
        <f>Muloza!G202+Muloza!H202+Muloza!I202</f>
        <v>0</v>
      </c>
      <c r="H202" s="22">
        <f>MUST!G202+MUST!H202+MUST!I202</f>
        <v>0</v>
      </c>
      <c r="I202" s="22">
        <f>Phalombe!G202+Phalombe!H202+Phalombe!I202</f>
        <v>0</v>
      </c>
      <c r="J202" s="22">
        <f>Mikolongwe!G202+Mikolongwe!H202+Mikolongwe!I202</f>
        <v>0</v>
      </c>
      <c r="K202" s="22">
        <f>Migowi!G202+Migowi!H202+Migowi!I202</f>
        <v>0</v>
      </c>
      <c r="L202" s="8">
        <f t="shared" si="56"/>
        <v>0</v>
      </c>
    </row>
    <row r="203" spans="1:12" ht="15.75" x14ac:dyDescent="0.25">
      <c r="A203" s="469"/>
      <c r="B203" s="69" t="s">
        <v>49</v>
      </c>
      <c r="C203" s="4" t="s">
        <v>47</v>
      </c>
      <c r="D203" s="22">
        <f>Mulanje!G203+Mulanje!H203+Mulanje!I203</f>
        <v>0</v>
      </c>
      <c r="E203" s="22">
        <f>Luchenza!G203+Luchenza!H203+Luchenza!I203</f>
        <v>0</v>
      </c>
      <c r="F203" s="22">
        <f>Thyolo!G203+Thyolo!H203+Thyolo!I203</f>
        <v>0</v>
      </c>
      <c r="G203" s="22">
        <f>Muloza!G203+Muloza!H203+Muloza!I203</f>
        <v>0</v>
      </c>
      <c r="H203" s="22">
        <f>MUST!G203+MUST!H203+MUST!I203</f>
        <v>0</v>
      </c>
      <c r="I203" s="22">
        <f>Phalombe!G203+Phalombe!H203+Phalombe!I203</f>
        <v>0</v>
      </c>
      <c r="J203" s="22">
        <f>Mikolongwe!G203+Mikolongwe!H203+Mikolongwe!I203</f>
        <v>0</v>
      </c>
      <c r="K203" s="22">
        <f>Migowi!G203+Migowi!H203+Migowi!I203</f>
        <v>0</v>
      </c>
      <c r="L203" s="8">
        <f t="shared" si="56"/>
        <v>0</v>
      </c>
    </row>
    <row r="204" spans="1:12" ht="15.75" x14ac:dyDescent="0.25">
      <c r="A204" s="73" t="s">
        <v>48</v>
      </c>
      <c r="B204" s="69"/>
      <c r="C204" s="4" t="s">
        <v>47</v>
      </c>
      <c r="D204" s="13">
        <f t="shared" ref="D204:K204" si="57">SUM(D199:D203)</f>
        <v>0</v>
      </c>
      <c r="E204" s="13">
        <f t="shared" si="57"/>
        <v>0</v>
      </c>
      <c r="F204" s="13">
        <f t="shared" si="57"/>
        <v>0</v>
      </c>
      <c r="G204" s="13">
        <f t="shared" si="57"/>
        <v>0</v>
      </c>
      <c r="H204" s="13">
        <f t="shared" si="57"/>
        <v>0</v>
      </c>
      <c r="I204" s="13">
        <f t="shared" si="57"/>
        <v>0</v>
      </c>
      <c r="J204" s="13">
        <f t="shared" si="57"/>
        <v>0</v>
      </c>
      <c r="K204" s="13">
        <f t="shared" si="57"/>
        <v>0</v>
      </c>
      <c r="L204" s="100">
        <f t="shared" si="56"/>
        <v>0</v>
      </c>
    </row>
    <row r="205" spans="1:12" x14ac:dyDescent="0.25">
      <c r="A205" s="442" t="s">
        <v>46</v>
      </c>
      <c r="B205" s="443"/>
      <c r="C205" s="443"/>
      <c r="D205" s="443"/>
      <c r="E205" s="443"/>
      <c r="F205" s="443"/>
      <c r="G205" s="443"/>
      <c r="H205" s="443"/>
      <c r="I205" s="443"/>
      <c r="J205" s="443"/>
      <c r="K205" s="443"/>
      <c r="L205" s="444"/>
    </row>
    <row r="206" spans="1:12" ht="15.75" x14ac:dyDescent="0.25">
      <c r="A206" s="445" t="s">
        <v>43</v>
      </c>
      <c r="B206" s="446"/>
      <c r="C206" s="4" t="s">
        <v>31</v>
      </c>
      <c r="D206" s="22">
        <f>Mulanje!G206+Mulanje!H206+Mulanje!I206</f>
        <v>0</v>
      </c>
      <c r="E206" s="22">
        <f>Luchenza!G206+Luchenza!H206+Luchenza!I206</f>
        <v>0</v>
      </c>
      <c r="F206" s="22">
        <f>Thyolo!G206+Thyolo!H206+Thyolo!I206</f>
        <v>0</v>
      </c>
      <c r="G206" s="22">
        <f>Muloza!G206+Muloza!H206+Muloza!I206</f>
        <v>0</v>
      </c>
      <c r="H206" s="22">
        <f>MUST!G206+MUST!H206+MUST!I206</f>
        <v>0</v>
      </c>
      <c r="I206" s="22">
        <f>Phalombe!G206+Phalombe!H206+Phalombe!I206</f>
        <v>0</v>
      </c>
      <c r="J206" s="22">
        <f>Mikolongwe!G206+Mikolongwe!H206+Mikolongwe!I206</f>
        <v>0</v>
      </c>
      <c r="K206" s="22">
        <f>Migowi!G206+Migowi!H206+Migowi!I206</f>
        <v>0</v>
      </c>
      <c r="L206" s="8">
        <f>SUM(D206:K206)</f>
        <v>0</v>
      </c>
    </row>
    <row r="207" spans="1:12" ht="15.75" x14ac:dyDescent="0.25">
      <c r="A207" s="445" t="s">
        <v>42</v>
      </c>
      <c r="B207" s="446"/>
      <c r="C207" s="4" t="s">
        <v>31</v>
      </c>
      <c r="D207" s="22">
        <f>Mulanje!G207+Mulanje!H207+Mulanje!I207</f>
        <v>0</v>
      </c>
      <c r="E207" s="22">
        <f>Luchenza!G207+Luchenza!H207+Luchenza!I207</f>
        <v>0</v>
      </c>
      <c r="F207" s="22">
        <f>Thyolo!G207+Thyolo!H207+Thyolo!I207</f>
        <v>0</v>
      </c>
      <c r="G207" s="22">
        <f>Muloza!G207+Muloza!H207+Muloza!I207</f>
        <v>0</v>
      </c>
      <c r="H207" s="22">
        <f>MUST!G207+MUST!H207+MUST!I207</f>
        <v>0</v>
      </c>
      <c r="I207" s="22">
        <f>Phalombe!G207+Phalombe!H207+Phalombe!I207</f>
        <v>0</v>
      </c>
      <c r="J207" s="22">
        <f>Mikolongwe!G207+Mikolongwe!H207+Mikolongwe!I207</f>
        <v>0</v>
      </c>
      <c r="K207" s="22">
        <f>Migowi!G207+Migowi!H207+Migowi!I207</f>
        <v>0</v>
      </c>
      <c r="L207" s="8">
        <f>SUM(D207:K207)</f>
        <v>0</v>
      </c>
    </row>
    <row r="208" spans="1:12" ht="15.75" x14ac:dyDescent="0.25">
      <c r="A208" s="460" t="s">
        <v>41</v>
      </c>
      <c r="B208" s="461"/>
      <c r="C208" s="4" t="s">
        <v>31</v>
      </c>
      <c r="D208" s="22">
        <f>Mulanje!G208+Mulanje!H208+Mulanje!I208</f>
        <v>0</v>
      </c>
      <c r="E208" s="22">
        <f>Luchenza!G208+Luchenza!H208+Luchenza!I208</f>
        <v>0</v>
      </c>
      <c r="F208" s="22">
        <f>Thyolo!G208+Thyolo!H208+Thyolo!I208</f>
        <v>0</v>
      </c>
      <c r="G208" s="22">
        <f>Muloza!G208+Muloza!H208+Muloza!I208</f>
        <v>0</v>
      </c>
      <c r="H208" s="22">
        <f>MUST!G208+MUST!H208+MUST!I208</f>
        <v>0</v>
      </c>
      <c r="I208" s="22">
        <f>Phalombe!G208+Phalombe!H208+Phalombe!I208</f>
        <v>0</v>
      </c>
      <c r="J208" s="22">
        <f>Mikolongwe!G208+Mikolongwe!H208+Mikolongwe!I208</f>
        <v>0</v>
      </c>
      <c r="K208" s="22">
        <f>Migowi!G208+Migowi!H208+Migowi!I208</f>
        <v>0</v>
      </c>
      <c r="L208" s="8">
        <f>SUM(D208:K208)</f>
        <v>0</v>
      </c>
    </row>
    <row r="209" spans="1:12" ht="15.75" x14ac:dyDescent="0.25">
      <c r="A209" s="445" t="s">
        <v>40</v>
      </c>
      <c r="B209" s="446"/>
      <c r="C209" s="4" t="s">
        <v>31</v>
      </c>
      <c r="D209" s="22">
        <f>Mulanje!G209+Mulanje!H209+Mulanje!I209</f>
        <v>0</v>
      </c>
      <c r="E209" s="22">
        <f>Luchenza!G209+Luchenza!H209+Luchenza!I209</f>
        <v>0</v>
      </c>
      <c r="F209" s="22">
        <f>Thyolo!G209+Thyolo!H209+Thyolo!I209</f>
        <v>0</v>
      </c>
      <c r="G209" s="22">
        <f>Muloza!G209+Muloza!H209+Muloza!I209</f>
        <v>0</v>
      </c>
      <c r="H209" s="22">
        <f>MUST!G209+MUST!H209+MUST!I209</f>
        <v>0</v>
      </c>
      <c r="I209" s="22">
        <f>Phalombe!G209+Phalombe!H209+Phalombe!I209</f>
        <v>0</v>
      </c>
      <c r="J209" s="22">
        <f>Mikolongwe!G209+Mikolongwe!H209+Mikolongwe!I209</f>
        <v>0</v>
      </c>
      <c r="K209" s="22">
        <f>Migowi!G209+Migowi!H209+Migowi!I209</f>
        <v>0</v>
      </c>
      <c r="L209" s="8">
        <f>SUM(D209:K209)</f>
        <v>0</v>
      </c>
    </row>
    <row r="210" spans="1:12" ht="15.75" x14ac:dyDescent="0.25">
      <c r="A210" s="449" t="s">
        <v>45</v>
      </c>
      <c r="B210" s="450"/>
      <c r="C210" s="4" t="s">
        <v>31</v>
      </c>
      <c r="D210" s="9">
        <f t="shared" ref="D210:K210" si="58">SUM(D206:D209)</f>
        <v>0</v>
      </c>
      <c r="E210" s="9">
        <f t="shared" si="58"/>
        <v>0</v>
      </c>
      <c r="F210" s="9">
        <f t="shared" si="58"/>
        <v>0</v>
      </c>
      <c r="G210" s="9">
        <f t="shared" si="58"/>
        <v>0</v>
      </c>
      <c r="H210" s="9">
        <f t="shared" si="58"/>
        <v>0</v>
      </c>
      <c r="I210" s="9">
        <f t="shared" si="58"/>
        <v>0</v>
      </c>
      <c r="J210" s="9">
        <f t="shared" si="58"/>
        <v>0</v>
      </c>
      <c r="K210" s="9">
        <f t="shared" si="58"/>
        <v>0</v>
      </c>
      <c r="L210" s="8">
        <f>SUM(D210:K210)</f>
        <v>0</v>
      </c>
    </row>
    <row r="211" spans="1:12" x14ac:dyDescent="0.25">
      <c r="A211" s="442" t="s">
        <v>44</v>
      </c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4"/>
    </row>
    <row r="212" spans="1:12" ht="15.75" x14ac:dyDescent="0.25">
      <c r="A212" s="445" t="s">
        <v>43</v>
      </c>
      <c r="B212" s="446"/>
      <c r="C212" s="4" t="s">
        <v>31</v>
      </c>
      <c r="D212" s="22">
        <f>Mulanje!G212+Mulanje!H212+Mulanje!I212</f>
        <v>0</v>
      </c>
      <c r="E212" s="22">
        <f>Luchenza!G212+Luchenza!H212+Luchenza!I212</f>
        <v>0</v>
      </c>
      <c r="F212" s="22">
        <f>Thyolo!G212+Thyolo!H212+Thyolo!I212</f>
        <v>0</v>
      </c>
      <c r="G212" s="22">
        <f>Muloza!G212+Muloza!H212+Muloza!I212</f>
        <v>0</v>
      </c>
      <c r="H212" s="22">
        <f>MUST!G212+MUST!H212+MUST!I212</f>
        <v>0</v>
      </c>
      <c r="I212" s="22">
        <f>Phalombe!G212+Phalombe!H212+Phalombe!I212</f>
        <v>0</v>
      </c>
      <c r="J212" s="22">
        <f>Mikolongwe!G212+Mikolongwe!H212+Mikolongwe!I212</f>
        <v>0</v>
      </c>
      <c r="K212" s="22">
        <f>Migowi!G212+Migowi!H212+Migowi!I212</f>
        <v>0</v>
      </c>
      <c r="L212" s="8">
        <f>SUM(D212:K212)</f>
        <v>0</v>
      </c>
    </row>
    <row r="213" spans="1:12" ht="15.75" x14ac:dyDescent="0.25">
      <c r="A213" s="445" t="s">
        <v>42</v>
      </c>
      <c r="B213" s="446"/>
      <c r="C213" s="4" t="s">
        <v>31</v>
      </c>
      <c r="D213" s="22">
        <f>Mulanje!G213+Mulanje!H213+Mulanje!I213</f>
        <v>0</v>
      </c>
      <c r="E213" s="22">
        <f>Luchenza!G213+Luchenza!H213+Luchenza!I213</f>
        <v>0</v>
      </c>
      <c r="F213" s="22">
        <f>Thyolo!G213+Thyolo!H213+Thyolo!I213</f>
        <v>0</v>
      </c>
      <c r="G213" s="22">
        <f>Muloza!G213+Muloza!H213+Muloza!I213</f>
        <v>0</v>
      </c>
      <c r="H213" s="22">
        <f>MUST!G213+MUST!H213+MUST!I213</f>
        <v>0</v>
      </c>
      <c r="I213" s="22">
        <f>Phalombe!G213+Phalombe!H213+Phalombe!I213</f>
        <v>0</v>
      </c>
      <c r="J213" s="22">
        <f>Mikolongwe!G213+Mikolongwe!H213+Mikolongwe!I213</f>
        <v>0</v>
      </c>
      <c r="K213" s="22">
        <f>Migowi!G213+Migowi!H213+Migowi!I213</f>
        <v>0</v>
      </c>
      <c r="L213" s="8">
        <f>SUM(D213:K213)</f>
        <v>0</v>
      </c>
    </row>
    <row r="214" spans="1:12" ht="15.75" x14ac:dyDescent="0.25">
      <c r="A214" s="460" t="s">
        <v>41</v>
      </c>
      <c r="B214" s="461"/>
      <c r="C214" s="4" t="s">
        <v>31</v>
      </c>
      <c r="D214" s="22">
        <f>Mulanje!G214+Mulanje!H214+Mulanje!I214</f>
        <v>0</v>
      </c>
      <c r="E214" s="22">
        <f>Luchenza!G214+Luchenza!H214+Luchenza!I214</f>
        <v>0</v>
      </c>
      <c r="F214" s="22">
        <f>Thyolo!G214+Thyolo!H214+Thyolo!I214</f>
        <v>0</v>
      </c>
      <c r="G214" s="22">
        <f>Muloza!G214+Muloza!H214+Muloza!I214</f>
        <v>0</v>
      </c>
      <c r="H214" s="22">
        <f>MUST!G214+MUST!H214+MUST!I214</f>
        <v>0</v>
      </c>
      <c r="I214" s="22">
        <f>Phalombe!G214+Phalombe!H214+Phalombe!I214</f>
        <v>0</v>
      </c>
      <c r="J214" s="22">
        <f>Mikolongwe!G214+Mikolongwe!H214+Mikolongwe!I214</f>
        <v>0</v>
      </c>
      <c r="K214" s="22">
        <f>Migowi!G214+Migowi!H214+Migowi!I214</f>
        <v>0</v>
      </c>
      <c r="L214" s="8">
        <f>SUM(D214:K214)</f>
        <v>0</v>
      </c>
    </row>
    <row r="215" spans="1:12" ht="15.75" x14ac:dyDescent="0.25">
      <c r="A215" s="445" t="s">
        <v>40</v>
      </c>
      <c r="B215" s="446"/>
      <c r="C215" s="4" t="s">
        <v>31</v>
      </c>
      <c r="D215" s="22">
        <f>Mulanje!G215+Mulanje!H215+Mulanje!I215</f>
        <v>0</v>
      </c>
      <c r="E215" s="22">
        <f>Luchenza!G215+Luchenza!H215+Luchenza!I215</f>
        <v>0</v>
      </c>
      <c r="F215" s="22">
        <f>Thyolo!G215+Thyolo!H215+Thyolo!I215</f>
        <v>0</v>
      </c>
      <c r="G215" s="22">
        <f>Muloza!G215+Muloza!H215+Muloza!I215</f>
        <v>0</v>
      </c>
      <c r="H215" s="22">
        <f>MUST!G215+MUST!H215+MUST!I215</f>
        <v>0</v>
      </c>
      <c r="I215" s="22">
        <f>Phalombe!G215+Phalombe!H215+Phalombe!I215</f>
        <v>0</v>
      </c>
      <c r="J215" s="22">
        <f>Mikolongwe!G215+Mikolongwe!H215+Mikolongwe!I215</f>
        <v>0</v>
      </c>
      <c r="K215" s="22">
        <f>Migowi!G215+Migowi!H215+Migowi!I215</f>
        <v>0</v>
      </c>
      <c r="L215" s="8">
        <f>SUM(D215:K215)</f>
        <v>0</v>
      </c>
    </row>
    <row r="216" spans="1:12" ht="15.75" x14ac:dyDescent="0.25">
      <c r="A216" s="449" t="s">
        <v>39</v>
      </c>
      <c r="B216" s="450"/>
      <c r="C216" s="4" t="s">
        <v>31</v>
      </c>
      <c r="D216" s="9">
        <f t="shared" ref="D216:K216" si="59">SUM(D212:D215)</f>
        <v>0</v>
      </c>
      <c r="E216" s="9">
        <f t="shared" si="59"/>
        <v>0</v>
      </c>
      <c r="F216" s="9">
        <f t="shared" si="59"/>
        <v>0</v>
      </c>
      <c r="G216" s="9">
        <f t="shared" si="59"/>
        <v>0</v>
      </c>
      <c r="H216" s="9">
        <f>SUM(H212:H215)</f>
        <v>0</v>
      </c>
      <c r="I216" s="9">
        <f t="shared" si="59"/>
        <v>0</v>
      </c>
      <c r="J216" s="9">
        <f t="shared" si="59"/>
        <v>0</v>
      </c>
      <c r="K216" s="9">
        <f t="shared" si="59"/>
        <v>0</v>
      </c>
      <c r="L216" s="8">
        <f>SUM(D216:K216)</f>
        <v>0</v>
      </c>
    </row>
    <row r="217" spans="1:12" ht="15.75" x14ac:dyDescent="0.25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L217" si="60">E210+E216</f>
        <v>0</v>
      </c>
      <c r="F217" s="9">
        <f t="shared" si="60"/>
        <v>0</v>
      </c>
      <c r="G217" s="9">
        <f t="shared" si="60"/>
        <v>0</v>
      </c>
      <c r="H217" s="9">
        <f t="shared" si="60"/>
        <v>0</v>
      </c>
      <c r="I217" s="9">
        <f t="shared" si="60"/>
        <v>0</v>
      </c>
      <c r="J217" s="9">
        <f t="shared" si="60"/>
        <v>0</v>
      </c>
      <c r="K217" s="9">
        <f t="shared" si="60"/>
        <v>0</v>
      </c>
      <c r="L217" s="35">
        <f t="shared" si="60"/>
        <v>0</v>
      </c>
    </row>
    <row r="218" spans="1:12" x14ac:dyDescent="0.25">
      <c r="A218" s="442" t="s">
        <v>37</v>
      </c>
      <c r="B218" s="443"/>
      <c r="C218" s="443"/>
      <c r="D218" s="443"/>
      <c r="E218" s="443"/>
      <c r="F218" s="443"/>
      <c r="G218" s="443"/>
      <c r="H218" s="443"/>
      <c r="I218" s="443"/>
      <c r="J218" s="443"/>
      <c r="K218" s="443"/>
      <c r="L218" s="444"/>
    </row>
    <row r="219" spans="1:12" ht="15.75" x14ac:dyDescent="0.25">
      <c r="A219" s="445" t="s">
        <v>35</v>
      </c>
      <c r="B219" s="446"/>
      <c r="C219" s="4" t="s">
        <v>31</v>
      </c>
      <c r="D219" s="22">
        <f>Mulanje!G219+Mulanje!H219+Mulanje!I219</f>
        <v>0</v>
      </c>
      <c r="E219" s="22">
        <f>Luchenza!G219+Luchenza!H219+Luchenza!I219</f>
        <v>0</v>
      </c>
      <c r="F219" s="22">
        <f>Thyolo!G219+Thyolo!H219+Thyolo!I219</f>
        <v>0</v>
      </c>
      <c r="G219" s="22">
        <f>Muloza!G219+Muloza!H219+Muloza!I219</f>
        <v>0</v>
      </c>
      <c r="H219" s="22">
        <f>MUST!G219+MUST!H219+MUST!I219</f>
        <v>0</v>
      </c>
      <c r="I219" s="22">
        <f>Phalombe!G219+Phalombe!H219+Phalombe!I219</f>
        <v>0</v>
      </c>
      <c r="J219" s="22">
        <f>Mikolongwe!G219+Mikolongwe!H219+Mikolongwe!I219</f>
        <v>0</v>
      </c>
      <c r="K219" s="22">
        <f>Migowi!G219+Migowi!H219+Migowi!I219</f>
        <v>0</v>
      </c>
      <c r="L219" s="8">
        <f>SUM(D219:K219)</f>
        <v>0</v>
      </c>
    </row>
    <row r="220" spans="1:12" ht="15.75" x14ac:dyDescent="0.25">
      <c r="A220" s="445" t="s">
        <v>34</v>
      </c>
      <c r="B220" s="446"/>
      <c r="C220" s="4" t="s">
        <v>31</v>
      </c>
      <c r="D220" s="22">
        <f>Mulanje!G220+Mulanje!H220+Mulanje!I220</f>
        <v>0</v>
      </c>
      <c r="E220" s="22">
        <f>Luchenza!G220+Luchenza!H220+Luchenza!I220</f>
        <v>0</v>
      </c>
      <c r="F220" s="22">
        <f>Thyolo!G220+Thyolo!H220+Thyolo!I220</f>
        <v>0</v>
      </c>
      <c r="G220" s="22">
        <f>Muloza!G220+Muloza!H220+Muloza!I220</f>
        <v>0</v>
      </c>
      <c r="H220" s="22">
        <f>MUST!G220+MUST!H220+MUST!I220</f>
        <v>0</v>
      </c>
      <c r="I220" s="22">
        <f>Phalombe!G220+Phalombe!H220+Phalombe!I220</f>
        <v>0</v>
      </c>
      <c r="J220" s="22">
        <f>Mikolongwe!G220+Mikolongwe!H220+Mikolongwe!I220</f>
        <v>0</v>
      </c>
      <c r="K220" s="22">
        <f>Migowi!G220+Migowi!H220+Migowi!I220</f>
        <v>0</v>
      </c>
      <c r="L220" s="8">
        <f>SUM(D220:K220)</f>
        <v>0</v>
      </c>
    </row>
    <row r="221" spans="1:12" ht="15.75" x14ac:dyDescent="0.25">
      <c r="A221" s="445" t="s">
        <v>33</v>
      </c>
      <c r="B221" s="446"/>
      <c r="C221" s="4" t="s">
        <v>31</v>
      </c>
      <c r="D221" s="22">
        <f>Mulanje!G221+Mulanje!H221+Mulanje!I221</f>
        <v>0</v>
      </c>
      <c r="E221" s="22">
        <f>Luchenza!G221+Luchenza!H221+Luchenza!I221</f>
        <v>0</v>
      </c>
      <c r="F221" s="22">
        <f>Thyolo!G221+Thyolo!H221+Thyolo!I221</f>
        <v>0</v>
      </c>
      <c r="G221" s="22">
        <f>Muloza!G221+Muloza!H221+Muloza!I221</f>
        <v>0</v>
      </c>
      <c r="H221" s="22">
        <f>MUST!G221+MUST!H221+MUST!I221</f>
        <v>0</v>
      </c>
      <c r="I221" s="22">
        <f>Phalombe!G221+Phalombe!H221+Phalombe!I221</f>
        <v>0</v>
      </c>
      <c r="J221" s="22">
        <f>Mikolongwe!G221+Mikolongwe!H221+Mikolongwe!I221</f>
        <v>0</v>
      </c>
      <c r="K221" s="22">
        <f>Migowi!G221+Migowi!H221+Migowi!I221</f>
        <v>0</v>
      </c>
      <c r="L221" s="8">
        <f>SUM(D221:K221)</f>
        <v>0</v>
      </c>
    </row>
    <row r="222" spans="1:12" ht="15.75" x14ac:dyDescent="0.25">
      <c r="A222" s="445" t="s">
        <v>32</v>
      </c>
      <c r="B222" s="446"/>
      <c r="C222" s="4" t="s">
        <v>31</v>
      </c>
      <c r="D222" s="22">
        <f>Mulanje!G222+Mulanje!H222+Mulanje!I222</f>
        <v>0</v>
      </c>
      <c r="E222" s="22">
        <f>Luchenza!G222+Luchenza!H222+Luchenza!I222</f>
        <v>0</v>
      </c>
      <c r="F222" s="22">
        <f>Thyolo!G222+Thyolo!H222+Thyolo!I222</f>
        <v>0</v>
      </c>
      <c r="G222" s="22">
        <f>Muloza!G222+Muloza!H222+Muloza!I222</f>
        <v>0</v>
      </c>
      <c r="H222" s="22">
        <f>MUST!G222+MUST!H222+MUST!I222</f>
        <v>0</v>
      </c>
      <c r="I222" s="22">
        <f>Phalombe!G222+Phalombe!H222+Phalombe!I222</f>
        <v>0</v>
      </c>
      <c r="J222" s="22">
        <f>Mikolongwe!G222+Mikolongwe!H222+Mikolongwe!I222</f>
        <v>0</v>
      </c>
      <c r="K222" s="22">
        <f>Migowi!G222+Migowi!H222+Migowi!I222</f>
        <v>0</v>
      </c>
      <c r="L222" s="8">
        <f>SUM(D222:K222)</f>
        <v>0</v>
      </c>
    </row>
    <row r="223" spans="1:12" ht="15.75" x14ac:dyDescent="0.25">
      <c r="A223" s="449" t="s">
        <v>36</v>
      </c>
      <c r="B223" s="450"/>
      <c r="C223" s="4" t="s">
        <v>31</v>
      </c>
      <c r="D223" s="10">
        <f t="shared" ref="D223:K223" si="61">SUM(D219:D222)</f>
        <v>0</v>
      </c>
      <c r="E223" s="9">
        <f t="shared" si="61"/>
        <v>0</v>
      </c>
      <c r="F223" s="9">
        <f t="shared" si="61"/>
        <v>0</v>
      </c>
      <c r="G223" s="9">
        <f t="shared" si="61"/>
        <v>0</v>
      </c>
      <c r="H223" s="9">
        <f t="shared" si="61"/>
        <v>0</v>
      </c>
      <c r="I223" s="9">
        <f t="shared" si="61"/>
        <v>0</v>
      </c>
      <c r="J223" s="12">
        <f t="shared" si="61"/>
        <v>0</v>
      </c>
      <c r="K223" s="12">
        <f t="shared" si="61"/>
        <v>0</v>
      </c>
      <c r="L223" s="8">
        <f>SUM(D223:K223)</f>
        <v>0</v>
      </c>
    </row>
    <row r="224" spans="1:12" x14ac:dyDescent="0.25">
      <c r="A224" s="442" t="s">
        <v>213</v>
      </c>
      <c r="B224" s="443"/>
      <c r="C224" s="443"/>
      <c r="D224" s="443"/>
      <c r="E224" s="443"/>
      <c r="F224" s="443"/>
      <c r="G224" s="443"/>
      <c r="H224" s="443"/>
      <c r="I224" s="443"/>
      <c r="J224" s="443"/>
      <c r="K224" s="443"/>
      <c r="L224" s="444"/>
    </row>
    <row r="225" spans="1:12" ht="15.75" x14ac:dyDescent="0.25">
      <c r="A225" s="445" t="s">
        <v>35</v>
      </c>
      <c r="B225" s="446"/>
      <c r="C225" s="4" t="s">
        <v>31</v>
      </c>
      <c r="D225" s="22">
        <f>Mulanje!G225+Mulanje!H225+Mulanje!I225</f>
        <v>0</v>
      </c>
      <c r="E225" s="22">
        <f>Luchenza!G225+Luchenza!H225+Luchenza!I225</f>
        <v>0</v>
      </c>
      <c r="F225" s="22">
        <f>Thyolo!G225+Thyolo!H225+Thyolo!I225</f>
        <v>0</v>
      </c>
      <c r="G225" s="22">
        <f>Muloza!G225+Muloza!H225+Muloza!I225</f>
        <v>0</v>
      </c>
      <c r="H225" s="22">
        <f>MUST!G225+MUST!H225+MUST!I225</f>
        <v>0</v>
      </c>
      <c r="I225" s="22">
        <f>Phalombe!G225+Phalombe!H225+Phalombe!I225</f>
        <v>0</v>
      </c>
      <c r="J225" s="22">
        <f>Mikolongwe!G225+Mikolongwe!H225+Mikolongwe!I225</f>
        <v>0</v>
      </c>
      <c r="K225" s="22">
        <f>Migowi!G225+Migowi!H225+Migowi!I225</f>
        <v>0</v>
      </c>
      <c r="L225" s="8">
        <f t="shared" ref="L225:L230" si="62">SUM(D225:K225)</f>
        <v>0</v>
      </c>
    </row>
    <row r="226" spans="1:12" ht="15.75" x14ac:dyDescent="0.25">
      <c r="A226" s="445" t="s">
        <v>34</v>
      </c>
      <c r="B226" s="446"/>
      <c r="C226" s="4" t="s">
        <v>31</v>
      </c>
      <c r="D226" s="22">
        <f>Mulanje!G226+Mulanje!H226+Mulanje!I226</f>
        <v>0</v>
      </c>
      <c r="E226" s="22">
        <f>Luchenza!G226+Luchenza!H226+Luchenza!I226</f>
        <v>0</v>
      </c>
      <c r="F226" s="22">
        <f>Thyolo!G226+Thyolo!H226+Thyolo!I226</f>
        <v>0</v>
      </c>
      <c r="G226" s="22">
        <f>Muloza!G226+Muloza!H226+Muloza!I226</f>
        <v>0</v>
      </c>
      <c r="H226" s="22">
        <f>MUST!G226+MUST!H226+MUST!I226</f>
        <v>0</v>
      </c>
      <c r="I226" s="22">
        <f>Phalombe!G226+Phalombe!H226+Phalombe!I226</f>
        <v>0</v>
      </c>
      <c r="J226" s="22">
        <f>Mikolongwe!G226+Mikolongwe!H226+Mikolongwe!I226</f>
        <v>0</v>
      </c>
      <c r="K226" s="22">
        <f>Migowi!G226+Migowi!H226+Migowi!I226</f>
        <v>0</v>
      </c>
      <c r="L226" s="8">
        <f t="shared" si="62"/>
        <v>0</v>
      </c>
    </row>
    <row r="227" spans="1:12" ht="15.75" x14ac:dyDescent="0.25">
      <c r="A227" s="445" t="s">
        <v>33</v>
      </c>
      <c r="B227" s="446"/>
      <c r="C227" s="4" t="s">
        <v>31</v>
      </c>
      <c r="D227" s="22">
        <f>Mulanje!G227+Mulanje!H227+Mulanje!I227</f>
        <v>0</v>
      </c>
      <c r="E227" s="22">
        <f>Luchenza!G227+Luchenza!H227+Luchenza!I227</f>
        <v>0</v>
      </c>
      <c r="F227" s="22">
        <f>Thyolo!G227+Thyolo!H227+Thyolo!I227</f>
        <v>0</v>
      </c>
      <c r="G227" s="22">
        <f>Muloza!G227+Muloza!H227+Muloza!I227</f>
        <v>0</v>
      </c>
      <c r="H227" s="22">
        <f>MUST!G227+MUST!H227+MUST!I227</f>
        <v>0</v>
      </c>
      <c r="I227" s="22">
        <f>Phalombe!G227+Phalombe!H227+Phalombe!I227</f>
        <v>0</v>
      </c>
      <c r="J227" s="22">
        <f>Mikolongwe!G227+Mikolongwe!H227+Mikolongwe!I227</f>
        <v>0</v>
      </c>
      <c r="K227" s="22">
        <f>Migowi!G227+Migowi!H227+Migowi!I227</f>
        <v>0</v>
      </c>
      <c r="L227" s="8">
        <f t="shared" si="62"/>
        <v>0</v>
      </c>
    </row>
    <row r="228" spans="1:12" ht="15.75" x14ac:dyDescent="0.25">
      <c r="A228" s="445" t="s">
        <v>32</v>
      </c>
      <c r="B228" s="446"/>
      <c r="C228" s="4" t="s">
        <v>31</v>
      </c>
      <c r="D228" s="22">
        <f>Mulanje!G228+Mulanje!H228+Mulanje!I228</f>
        <v>0</v>
      </c>
      <c r="E228" s="22">
        <f>Luchenza!G228+Luchenza!H228+Luchenza!I228</f>
        <v>0</v>
      </c>
      <c r="F228" s="22">
        <f>Thyolo!G228+Thyolo!H228+Thyolo!I228</f>
        <v>0</v>
      </c>
      <c r="G228" s="22">
        <f>Muloza!G228+Muloza!H228+Muloza!I228</f>
        <v>0</v>
      </c>
      <c r="H228" s="22">
        <f>MUST!G228+MUST!H228+MUST!I228</f>
        <v>0</v>
      </c>
      <c r="I228" s="22">
        <f>Phalombe!G228+Phalombe!H228+Phalombe!I228</f>
        <v>0</v>
      </c>
      <c r="J228" s="22">
        <f>Mikolongwe!G228+Mikolongwe!H228+Mikolongwe!I228</f>
        <v>0</v>
      </c>
      <c r="K228" s="22">
        <f>Migowi!G228+Migowi!H228+Migowi!I228</f>
        <v>0</v>
      </c>
      <c r="L228" s="8">
        <f t="shared" si="62"/>
        <v>0</v>
      </c>
    </row>
    <row r="229" spans="1:12" ht="15.75" x14ac:dyDescent="0.25">
      <c r="A229" s="449" t="s">
        <v>214</v>
      </c>
      <c r="B229" s="450"/>
      <c r="C229" s="4" t="s">
        <v>31</v>
      </c>
      <c r="D229" s="10">
        <f t="shared" ref="D229:K229" si="63">SUM(D225:D228)</f>
        <v>0</v>
      </c>
      <c r="E229" s="9">
        <f t="shared" si="63"/>
        <v>0</v>
      </c>
      <c r="F229" s="9">
        <f t="shared" si="63"/>
        <v>0</v>
      </c>
      <c r="G229" s="9">
        <f t="shared" si="63"/>
        <v>0</v>
      </c>
      <c r="H229" s="9">
        <f t="shared" si="63"/>
        <v>0</v>
      </c>
      <c r="I229" s="9">
        <f t="shared" si="63"/>
        <v>0</v>
      </c>
      <c r="J229" s="12">
        <f t="shared" si="63"/>
        <v>0</v>
      </c>
      <c r="K229" s="12">
        <f t="shared" si="63"/>
        <v>0</v>
      </c>
      <c r="L229" s="8">
        <f t="shared" si="62"/>
        <v>0</v>
      </c>
    </row>
    <row r="230" spans="1:12" ht="15.75" x14ac:dyDescent="0.25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64">E223+E229</f>
        <v>0</v>
      </c>
      <c r="F230" s="10">
        <f t="shared" si="64"/>
        <v>0</v>
      </c>
      <c r="G230" s="10">
        <f t="shared" si="64"/>
        <v>0</v>
      </c>
      <c r="H230" s="10">
        <f t="shared" si="64"/>
        <v>0</v>
      </c>
      <c r="I230" s="10">
        <f t="shared" si="64"/>
        <v>0</v>
      </c>
      <c r="J230" s="10">
        <f t="shared" si="64"/>
        <v>0</v>
      </c>
      <c r="K230" s="10">
        <f t="shared" si="64"/>
        <v>0</v>
      </c>
      <c r="L230" s="8">
        <f t="shared" si="62"/>
        <v>0</v>
      </c>
    </row>
    <row r="231" spans="1:12" x14ac:dyDescent="0.25">
      <c r="A231" s="442" t="s">
        <v>30</v>
      </c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4"/>
    </row>
    <row r="232" spans="1:12" ht="15.75" x14ac:dyDescent="0.25">
      <c r="A232" s="445" t="s">
        <v>29</v>
      </c>
      <c r="B232" s="446"/>
      <c r="C232" s="4" t="s">
        <v>18</v>
      </c>
      <c r="D232" s="22">
        <f>Mulanje!G232+Mulanje!H232+Mulanje!I232</f>
        <v>0</v>
      </c>
      <c r="E232" s="22">
        <f>Luchenza!G232+Luchenza!H232+Luchenza!I232</f>
        <v>0</v>
      </c>
      <c r="F232" s="22">
        <f>Thyolo!G232+Thyolo!H232+Thyolo!I232</f>
        <v>0</v>
      </c>
      <c r="G232" s="22">
        <f>Muloza!G232+Muloza!H232+Muloza!I232</f>
        <v>0</v>
      </c>
      <c r="H232" s="22">
        <f>MUST!G232+MUST!H232+MUST!I232</f>
        <v>0</v>
      </c>
      <c r="I232" s="22">
        <f>Phalombe!G232+Phalombe!H232+Phalombe!I232</f>
        <v>0</v>
      </c>
      <c r="J232" s="22">
        <f>Mikolongwe!G232+Mikolongwe!H232+Mikolongwe!I232</f>
        <v>0</v>
      </c>
      <c r="K232" s="22">
        <f>Migowi!G232+Migowi!H232+Migowi!I232</f>
        <v>0</v>
      </c>
      <c r="L232" s="8">
        <f>SUM(D232:K232)</f>
        <v>0</v>
      </c>
    </row>
    <row r="233" spans="1:12" ht="15.75" x14ac:dyDescent="0.25">
      <c r="A233" s="445" t="s">
        <v>28</v>
      </c>
      <c r="B233" s="446"/>
      <c r="C233" s="4" t="s">
        <v>18</v>
      </c>
      <c r="D233" s="22">
        <f>Mulanje!G233+Mulanje!H233+Mulanje!I233</f>
        <v>0</v>
      </c>
      <c r="E233" s="22">
        <f>Luchenza!G233+Luchenza!H233+Luchenza!I233</f>
        <v>0</v>
      </c>
      <c r="F233" s="22">
        <f>Thyolo!G233+Thyolo!H233+Thyolo!I233</f>
        <v>0</v>
      </c>
      <c r="G233" s="22">
        <f>Muloza!G233+Muloza!H233+Muloza!I233</f>
        <v>0</v>
      </c>
      <c r="H233" s="22">
        <f>MUST!G233+MUST!H233+MUST!I233</f>
        <v>0</v>
      </c>
      <c r="I233" s="22">
        <f>Phalombe!G233+Phalombe!H233+Phalombe!I233</f>
        <v>0</v>
      </c>
      <c r="J233" s="22">
        <f>Mikolongwe!G233+Mikolongwe!H233+Mikolongwe!I233</f>
        <v>0</v>
      </c>
      <c r="K233" s="22">
        <f>Migowi!G233+Migowi!H233+Migowi!I233</f>
        <v>0</v>
      </c>
      <c r="L233" s="8">
        <f>SUM(D233:K233)</f>
        <v>0</v>
      </c>
    </row>
    <row r="234" spans="1:12" ht="15.75" x14ac:dyDescent="0.25">
      <c r="A234" s="445" t="s">
        <v>27</v>
      </c>
      <c r="B234" s="446"/>
      <c r="C234" s="4" t="s">
        <v>18</v>
      </c>
      <c r="D234" s="22">
        <f>Mulanje!G234+Mulanje!H234+Mulanje!I234</f>
        <v>0</v>
      </c>
      <c r="E234" s="22">
        <f>Luchenza!G234+Luchenza!H234+Luchenza!I234</f>
        <v>0</v>
      </c>
      <c r="F234" s="22">
        <f>Thyolo!G234+Thyolo!H234+Thyolo!I234</f>
        <v>0</v>
      </c>
      <c r="G234" s="22">
        <f>Muloza!G234+Muloza!H234+Muloza!I234</f>
        <v>0</v>
      </c>
      <c r="H234" s="22">
        <f>MUST!G234+MUST!H234+MUST!I234</f>
        <v>0</v>
      </c>
      <c r="I234" s="22">
        <f>Phalombe!G234+Phalombe!H234+Phalombe!I234</f>
        <v>0</v>
      </c>
      <c r="J234" s="22">
        <f>Mikolongwe!G234+Mikolongwe!H234+Mikolongwe!I234</f>
        <v>0</v>
      </c>
      <c r="K234" s="22">
        <f>Migowi!G234+Migowi!H234+Migowi!I234</f>
        <v>0</v>
      </c>
      <c r="L234" s="8">
        <f>SUM(D234:K234)</f>
        <v>0</v>
      </c>
    </row>
    <row r="235" spans="1:12" ht="15.75" x14ac:dyDescent="0.25">
      <c r="A235" s="445" t="s">
        <v>26</v>
      </c>
      <c r="B235" s="446"/>
      <c r="C235" s="4" t="s">
        <v>18</v>
      </c>
      <c r="D235" s="22">
        <f>Mulanje!G235+Mulanje!H235+Mulanje!I235</f>
        <v>0</v>
      </c>
      <c r="E235" s="22">
        <f>Luchenza!G235+Luchenza!H235+Luchenza!I235</f>
        <v>0</v>
      </c>
      <c r="F235" s="22">
        <f>Thyolo!G235+Thyolo!H235+Thyolo!I235</f>
        <v>0</v>
      </c>
      <c r="G235" s="22">
        <f>Muloza!G235+Muloza!H235+Muloza!I235</f>
        <v>0</v>
      </c>
      <c r="H235" s="22">
        <f>MUST!G235+MUST!H235+MUST!I235</f>
        <v>0</v>
      </c>
      <c r="I235" s="22">
        <f>Phalombe!G235+Phalombe!H235+Phalombe!I235</f>
        <v>0</v>
      </c>
      <c r="J235" s="22">
        <f>Mikolongwe!G235+Mikolongwe!H235+Mikolongwe!I235</f>
        <v>0</v>
      </c>
      <c r="K235" s="22">
        <f>Migowi!G235+Migowi!H235+Migowi!I235</f>
        <v>0</v>
      </c>
      <c r="L235" s="8">
        <f>SUM(D235:K235)</f>
        <v>0</v>
      </c>
    </row>
    <row r="236" spans="1:12" ht="15.75" x14ac:dyDescent="0.25">
      <c r="A236" s="449" t="s">
        <v>25</v>
      </c>
      <c r="B236" s="450"/>
      <c r="C236" s="4" t="s">
        <v>18</v>
      </c>
      <c r="D236" s="10">
        <f t="shared" ref="D236:K236" si="65">SUM(D232:D235)</f>
        <v>0</v>
      </c>
      <c r="E236" s="10">
        <f t="shared" si="65"/>
        <v>0</v>
      </c>
      <c r="F236" s="10">
        <f t="shared" si="65"/>
        <v>0</v>
      </c>
      <c r="G236" s="10">
        <f t="shared" si="65"/>
        <v>0</v>
      </c>
      <c r="H236" s="10">
        <f t="shared" si="65"/>
        <v>0</v>
      </c>
      <c r="I236" s="10">
        <f t="shared" si="65"/>
        <v>0</v>
      </c>
      <c r="J236" s="10">
        <f t="shared" si="65"/>
        <v>0</v>
      </c>
      <c r="K236" s="10">
        <f t="shared" si="65"/>
        <v>0</v>
      </c>
      <c r="L236" s="35">
        <f t="shared" ref="L236" si="66">SUM(L232:L235)</f>
        <v>0</v>
      </c>
    </row>
    <row r="237" spans="1:12" x14ac:dyDescent="0.25">
      <c r="A237" s="442" t="s">
        <v>24</v>
      </c>
      <c r="B237" s="443"/>
      <c r="C237" s="443"/>
      <c r="D237" s="443"/>
      <c r="E237" s="443"/>
      <c r="F237" s="443"/>
      <c r="G237" s="443"/>
      <c r="H237" s="443"/>
      <c r="I237" s="443"/>
      <c r="J237" s="443"/>
      <c r="K237" s="443"/>
      <c r="L237" s="444"/>
    </row>
    <row r="238" spans="1:12" ht="15.75" x14ac:dyDescent="0.25">
      <c r="A238" s="445" t="s">
        <v>23</v>
      </c>
      <c r="B238" s="446"/>
      <c r="C238" s="4" t="s">
        <v>18</v>
      </c>
      <c r="D238" s="22">
        <f>Mulanje!G238+Mulanje!H238+Mulanje!I238</f>
        <v>0</v>
      </c>
      <c r="E238" s="22">
        <f>Luchenza!G238+Luchenza!H238+Luchenza!I238</f>
        <v>0</v>
      </c>
      <c r="F238" s="22">
        <f>Thyolo!G238+Thyolo!H238+Thyolo!I238</f>
        <v>0</v>
      </c>
      <c r="G238" s="22">
        <f>Muloza!G238+Muloza!H238+Muloza!I238</f>
        <v>0</v>
      </c>
      <c r="H238" s="22">
        <f>MUST!G238+MUST!H238+MUST!I238</f>
        <v>0</v>
      </c>
      <c r="I238" s="22">
        <f>Phalombe!G238+Phalombe!H238+Phalombe!I238</f>
        <v>0</v>
      </c>
      <c r="J238" s="22">
        <f>Mikolongwe!G238+Mikolongwe!H238+Mikolongwe!I238</f>
        <v>0</v>
      </c>
      <c r="K238" s="22">
        <f>Migowi!G238+Migowi!H238+Migowi!I238</f>
        <v>0</v>
      </c>
      <c r="L238" s="8">
        <f>SUM(D238:K238)</f>
        <v>0</v>
      </c>
    </row>
    <row r="239" spans="1:12" ht="15.75" x14ac:dyDescent="0.25">
      <c r="A239" s="445" t="s">
        <v>22</v>
      </c>
      <c r="B239" s="446"/>
      <c r="C239" s="4" t="s">
        <v>18</v>
      </c>
      <c r="D239" s="22">
        <f>Mulanje!G239+Mulanje!H239+Mulanje!I239</f>
        <v>0</v>
      </c>
      <c r="E239" s="22">
        <f>Luchenza!G239+Luchenza!H239+Luchenza!I239</f>
        <v>0</v>
      </c>
      <c r="F239" s="22">
        <f>Thyolo!G239+Thyolo!H239+Thyolo!I239</f>
        <v>0</v>
      </c>
      <c r="G239" s="22">
        <f>Muloza!G239+Muloza!H239+Muloza!I239</f>
        <v>0</v>
      </c>
      <c r="H239" s="22">
        <f>MUST!G239+MUST!H239+MUST!I239</f>
        <v>0</v>
      </c>
      <c r="I239" s="22">
        <f>Phalombe!G239+Phalombe!H239+Phalombe!I239</f>
        <v>0</v>
      </c>
      <c r="J239" s="22">
        <f>Mikolongwe!G239+Mikolongwe!H239+Mikolongwe!I239</f>
        <v>0</v>
      </c>
      <c r="K239" s="22">
        <f>Migowi!G239+Migowi!H239+Migowi!I239</f>
        <v>0</v>
      </c>
      <c r="L239" s="8">
        <f>SUM(D239:K239)</f>
        <v>0</v>
      </c>
    </row>
    <row r="240" spans="1:12" ht="15.75" x14ac:dyDescent="0.25">
      <c r="A240" s="445" t="s">
        <v>21</v>
      </c>
      <c r="B240" s="446"/>
      <c r="C240" s="4" t="s">
        <v>18</v>
      </c>
      <c r="D240" s="22">
        <f>Mulanje!G240+Mulanje!H240+Mulanje!I240</f>
        <v>0</v>
      </c>
      <c r="E240" s="22">
        <f>Luchenza!G240+Luchenza!H240+Luchenza!I240</f>
        <v>0</v>
      </c>
      <c r="F240" s="22">
        <f>Thyolo!G240+Thyolo!H240+Thyolo!I240</f>
        <v>0</v>
      </c>
      <c r="G240" s="22">
        <f>Muloza!G240+Muloza!H240+Muloza!I240</f>
        <v>0</v>
      </c>
      <c r="H240" s="22">
        <f>MUST!G240+MUST!H240+MUST!I240</f>
        <v>0</v>
      </c>
      <c r="I240" s="22">
        <f>Phalombe!G240+Phalombe!H240+Phalombe!I240</f>
        <v>0</v>
      </c>
      <c r="J240" s="22">
        <f>Mikolongwe!G240+Mikolongwe!H240+Mikolongwe!I240</f>
        <v>0</v>
      </c>
      <c r="K240" s="22">
        <f>Migowi!G240+Migowi!H240+Migowi!I240</f>
        <v>0</v>
      </c>
      <c r="L240" s="8">
        <f>SUM(D240:K240)</f>
        <v>0</v>
      </c>
    </row>
    <row r="241" spans="1:12" ht="15.75" x14ac:dyDescent="0.25">
      <c r="A241" s="445" t="s">
        <v>20</v>
      </c>
      <c r="B241" s="446"/>
      <c r="C241" s="4" t="s">
        <v>18</v>
      </c>
      <c r="D241" s="22">
        <f>Mulanje!G241+Mulanje!H241+Mulanje!I241</f>
        <v>0</v>
      </c>
      <c r="E241" s="22">
        <f>Luchenza!G241+Luchenza!H241+Luchenza!I241</f>
        <v>0</v>
      </c>
      <c r="F241" s="22">
        <f>Thyolo!G241+Thyolo!H241+Thyolo!I241</f>
        <v>0</v>
      </c>
      <c r="G241" s="22">
        <f>Muloza!G241+Muloza!H241+Muloza!I241</f>
        <v>0</v>
      </c>
      <c r="H241" s="22">
        <f>MUST!G241+MUST!H241+MUST!I241</f>
        <v>0</v>
      </c>
      <c r="I241" s="22">
        <f>Phalombe!G241+Phalombe!H241+Phalombe!I241</f>
        <v>0</v>
      </c>
      <c r="J241" s="22">
        <f>Mikolongwe!G241+Mikolongwe!H241+Mikolongwe!I241</f>
        <v>0</v>
      </c>
      <c r="K241" s="22">
        <f>Migowi!G241+Migowi!H241+Migowi!I241</f>
        <v>0</v>
      </c>
      <c r="L241" s="8">
        <f>SUM(D241:K241)</f>
        <v>0</v>
      </c>
    </row>
    <row r="242" spans="1:12" ht="15.75" x14ac:dyDescent="0.25">
      <c r="A242" s="449" t="s">
        <v>19</v>
      </c>
      <c r="B242" s="450"/>
      <c r="C242" s="4" t="s">
        <v>18</v>
      </c>
      <c r="D242" s="10">
        <f t="shared" ref="D242:L242" si="67">SUM(D238:D241)</f>
        <v>0</v>
      </c>
      <c r="E242" s="10">
        <f t="shared" si="67"/>
        <v>0</v>
      </c>
      <c r="F242" s="10">
        <f t="shared" si="67"/>
        <v>0</v>
      </c>
      <c r="G242" s="10">
        <f t="shared" si="67"/>
        <v>0</v>
      </c>
      <c r="H242" s="10">
        <f t="shared" si="67"/>
        <v>0</v>
      </c>
      <c r="I242" s="10">
        <f t="shared" si="67"/>
        <v>0</v>
      </c>
      <c r="J242" s="10">
        <f t="shared" si="67"/>
        <v>0</v>
      </c>
      <c r="K242" s="10">
        <f t="shared" si="67"/>
        <v>0</v>
      </c>
      <c r="L242" s="35">
        <f t="shared" si="67"/>
        <v>0</v>
      </c>
    </row>
    <row r="243" spans="1:12" ht="15.75" x14ac:dyDescent="0.25">
      <c r="A243" s="449" t="s">
        <v>216</v>
      </c>
      <c r="B243" s="450"/>
      <c r="C243" s="4" t="s">
        <v>18</v>
      </c>
      <c r="D243" s="9">
        <f>D230+D236+D242</f>
        <v>0</v>
      </c>
      <c r="E243" s="9">
        <f t="shared" ref="E243:K243" si="68">E230+E236+E242</f>
        <v>0</v>
      </c>
      <c r="F243" s="9">
        <f t="shared" si="68"/>
        <v>0</v>
      </c>
      <c r="G243" s="9">
        <f t="shared" si="68"/>
        <v>0</v>
      </c>
      <c r="H243" s="9">
        <f t="shared" si="68"/>
        <v>0</v>
      </c>
      <c r="I243" s="9">
        <f t="shared" si="68"/>
        <v>0</v>
      </c>
      <c r="J243" s="9">
        <f t="shared" si="68"/>
        <v>0</v>
      </c>
      <c r="K243" s="9">
        <f t="shared" si="68"/>
        <v>0</v>
      </c>
      <c r="L243" s="35">
        <f t="shared" ref="L243" si="69">L216+L223+L236+L242</f>
        <v>0</v>
      </c>
    </row>
    <row r="244" spans="1:12" x14ac:dyDescent="0.25">
      <c r="A244" s="442" t="s">
        <v>206</v>
      </c>
      <c r="B244" s="443"/>
      <c r="C244" s="443"/>
      <c r="D244" s="443"/>
      <c r="E244" s="443"/>
      <c r="F244" s="443"/>
      <c r="G244" s="443"/>
      <c r="H244" s="443"/>
      <c r="I244" s="443"/>
      <c r="J244" s="443"/>
      <c r="K244" s="443"/>
      <c r="L244" s="444"/>
    </row>
    <row r="245" spans="1:12" ht="15.75" x14ac:dyDescent="0.25">
      <c r="A245" s="456" t="s">
        <v>207</v>
      </c>
      <c r="B245" s="457"/>
      <c r="C245" s="4" t="s">
        <v>18</v>
      </c>
      <c r="D245" s="13">
        <f>Mulanje!G245+Mulanje!H245+Mulanje!I245</f>
        <v>0</v>
      </c>
      <c r="E245" s="13">
        <f>Luchenza!G245+Luchenza!H245+Luchenza!I245</f>
        <v>0</v>
      </c>
      <c r="F245" s="13">
        <f>Thyolo!G245+Thyolo!H245+Thyolo!I245</f>
        <v>0</v>
      </c>
      <c r="G245" s="13">
        <f>Muloza!G245+Muloza!H245+Muloza!I245</f>
        <v>0</v>
      </c>
      <c r="H245" s="13">
        <f>MUST!G245+MUST!H245+MUST!I245</f>
        <v>0</v>
      </c>
      <c r="I245" s="13">
        <f>Phalombe!G245+Phalombe!H245+Phalombe!I245</f>
        <v>0</v>
      </c>
      <c r="J245" s="13">
        <f>Mikolongwe!G245+Mikolongwe!H245+Mikolongwe!I245</f>
        <v>0</v>
      </c>
      <c r="K245" s="13">
        <f>Migowi!G245+Migowi!H245+Migowi!I245</f>
        <v>0</v>
      </c>
      <c r="L245" s="35">
        <f t="shared" ref="L245" si="70">SUM(L241:L244)</f>
        <v>0</v>
      </c>
    </row>
    <row r="246" spans="1:12" ht="15.75" x14ac:dyDescent="0.25">
      <c r="A246" s="456" t="s">
        <v>208</v>
      </c>
      <c r="B246" s="457"/>
      <c r="C246" s="4" t="s">
        <v>18</v>
      </c>
      <c r="D246" s="13">
        <f>Mulanje!G246+Mulanje!H246+Mulanje!I246</f>
        <v>0</v>
      </c>
      <c r="E246" s="13">
        <f>Luchenza!G246+Luchenza!H246+Luchenza!I246</f>
        <v>0</v>
      </c>
      <c r="F246" s="13">
        <f>Thyolo!G246+Thyolo!H246+Thyolo!I246</f>
        <v>0</v>
      </c>
      <c r="G246" s="13">
        <f>Muloza!G246+Muloza!H246+Muloza!I246</f>
        <v>0</v>
      </c>
      <c r="H246" s="13">
        <f>MUST!G246+MUST!H246+MUST!I246</f>
        <v>0</v>
      </c>
      <c r="I246" s="13">
        <f>Phalombe!G246+Phalombe!H246+Phalombe!I246</f>
        <v>0</v>
      </c>
      <c r="J246" s="13">
        <f>Mikolongwe!G246+Mikolongwe!H246+Mikolongwe!I246</f>
        <v>0</v>
      </c>
      <c r="K246" s="13">
        <f>Migowi!G246+Migowi!H246+Migowi!I246</f>
        <v>0</v>
      </c>
      <c r="L246" s="35">
        <f t="shared" ref="L246" si="71">SUM(L242:L245)</f>
        <v>0</v>
      </c>
    </row>
    <row r="247" spans="1:12" ht="15.75" x14ac:dyDescent="0.25">
      <c r="A247" s="458" t="s">
        <v>209</v>
      </c>
      <c r="B247" s="459"/>
      <c r="C247" s="4" t="s">
        <v>18</v>
      </c>
      <c r="D247" s="129">
        <f>D245+D246</f>
        <v>0</v>
      </c>
      <c r="E247" s="129">
        <f t="shared" ref="E247:K247" si="72">E245+E246</f>
        <v>0</v>
      </c>
      <c r="F247" s="129">
        <f t="shared" si="72"/>
        <v>0</v>
      </c>
      <c r="G247" s="129">
        <f t="shared" si="72"/>
        <v>0</v>
      </c>
      <c r="H247" s="129">
        <f t="shared" si="72"/>
        <v>0</v>
      </c>
      <c r="I247" s="129">
        <f t="shared" si="72"/>
        <v>0</v>
      </c>
      <c r="J247" s="129">
        <f t="shared" si="72"/>
        <v>0</v>
      </c>
      <c r="K247" s="129">
        <f t="shared" si="72"/>
        <v>0</v>
      </c>
      <c r="L247" s="35">
        <f t="shared" ref="L247" si="73">SUM(L243:L246)</f>
        <v>0</v>
      </c>
    </row>
    <row r="248" spans="1:12" x14ac:dyDescent="0.25">
      <c r="A248" s="442" t="s">
        <v>17</v>
      </c>
      <c r="B248" s="443"/>
      <c r="C248" s="443"/>
      <c r="D248" s="443"/>
      <c r="E248" s="443"/>
      <c r="F248" s="443"/>
      <c r="G248" s="443"/>
      <c r="H248" s="443"/>
      <c r="I248" s="443"/>
      <c r="J248" s="443"/>
      <c r="K248" s="443"/>
      <c r="L248" s="444"/>
    </row>
    <row r="249" spans="1:12" ht="15.75" x14ac:dyDescent="0.25">
      <c r="A249" s="445" t="s">
        <v>16</v>
      </c>
      <c r="B249" s="446"/>
      <c r="C249" s="4" t="s">
        <v>6</v>
      </c>
      <c r="D249" s="7" t="e">
        <f>D58/D243%</f>
        <v>#DIV/0!</v>
      </c>
      <c r="E249" s="7" t="e">
        <f t="shared" ref="E249:L249" si="74">E58/E243%</f>
        <v>#DIV/0!</v>
      </c>
      <c r="F249" s="7" t="e">
        <f t="shared" si="74"/>
        <v>#DIV/0!</v>
      </c>
      <c r="G249" s="7" t="e">
        <f t="shared" si="74"/>
        <v>#DIV/0!</v>
      </c>
      <c r="H249" s="7" t="e">
        <f t="shared" si="74"/>
        <v>#DIV/0!</v>
      </c>
      <c r="I249" s="7" t="e">
        <f t="shared" si="74"/>
        <v>#DIV/0!</v>
      </c>
      <c r="J249" s="7" t="e">
        <f t="shared" si="74"/>
        <v>#DIV/0!</v>
      </c>
      <c r="K249" s="7" t="e">
        <f t="shared" si="74"/>
        <v>#DIV/0!</v>
      </c>
      <c r="L249" s="7" t="e">
        <f t="shared" si="74"/>
        <v>#DIV/0!</v>
      </c>
    </row>
    <row r="250" spans="1:12" ht="15.75" x14ac:dyDescent="0.25">
      <c r="A250" s="445" t="s">
        <v>210</v>
      </c>
      <c r="B250" s="446"/>
      <c r="C250" s="4" t="s">
        <v>6</v>
      </c>
      <c r="D250" s="25" t="e">
        <f>D210/(D223+D245)%</f>
        <v>#DIV/0!</v>
      </c>
      <c r="E250" s="25" t="e">
        <f t="shared" ref="E250:L250" si="75">E210/(E223+E245)%</f>
        <v>#DIV/0!</v>
      </c>
      <c r="F250" s="25" t="e">
        <f t="shared" si="75"/>
        <v>#DIV/0!</v>
      </c>
      <c r="G250" s="25" t="e">
        <f t="shared" si="75"/>
        <v>#DIV/0!</v>
      </c>
      <c r="H250" s="25" t="e">
        <f t="shared" si="75"/>
        <v>#DIV/0!</v>
      </c>
      <c r="I250" s="25" t="e">
        <f t="shared" si="75"/>
        <v>#DIV/0!</v>
      </c>
      <c r="J250" s="25" t="e">
        <f t="shared" si="75"/>
        <v>#DIV/0!</v>
      </c>
      <c r="K250" s="25" t="e">
        <f t="shared" si="75"/>
        <v>#DIV/0!</v>
      </c>
      <c r="L250" s="25" t="e">
        <f t="shared" si="75"/>
        <v>#DIV/0!</v>
      </c>
    </row>
    <row r="251" spans="1:12" ht="16.5" thickBot="1" x14ac:dyDescent="0.3">
      <c r="A251" s="451" t="s">
        <v>15</v>
      </c>
      <c r="B251" s="452"/>
      <c r="C251" s="4" t="s">
        <v>6</v>
      </c>
      <c r="D251" s="6" t="e">
        <f>D210/D223%</f>
        <v>#DIV/0!</v>
      </c>
      <c r="E251" s="6" t="e">
        <f t="shared" ref="E251:L251" si="76">E210/E223%</f>
        <v>#DIV/0!</v>
      </c>
      <c r="F251" s="6" t="e">
        <f t="shared" si="76"/>
        <v>#DIV/0!</v>
      </c>
      <c r="G251" s="6" t="e">
        <f t="shared" si="76"/>
        <v>#DIV/0!</v>
      </c>
      <c r="H251" s="6" t="e">
        <f t="shared" si="76"/>
        <v>#DIV/0!</v>
      </c>
      <c r="I251" s="6" t="e">
        <f t="shared" si="76"/>
        <v>#DIV/0!</v>
      </c>
      <c r="J251" s="6" t="e">
        <f t="shared" si="76"/>
        <v>#DIV/0!</v>
      </c>
      <c r="K251" s="6" t="e">
        <f t="shared" si="76"/>
        <v>#DIV/0!</v>
      </c>
      <c r="L251" s="6" t="e">
        <f t="shared" si="76"/>
        <v>#DIV/0!</v>
      </c>
    </row>
    <row r="252" spans="1:12" x14ac:dyDescent="0.25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5"/>
    </row>
    <row r="253" spans="1:12" ht="15" customHeight="1" x14ac:dyDescent="0.25">
      <c r="A253" s="445" t="s">
        <v>13</v>
      </c>
      <c r="B253" s="446"/>
      <c r="C253" s="4" t="s">
        <v>3</v>
      </c>
      <c r="D253" s="22">
        <f>Mulanje!G253+Mulanje!H253+Mulanje!I253</f>
        <v>0</v>
      </c>
      <c r="E253" s="22">
        <f>Luchenza!G253+Luchenza!H253+Luchenza!I253</f>
        <v>0</v>
      </c>
      <c r="F253" s="22">
        <f>Thyolo!G253+Thyolo!H253+Thyolo!I253</f>
        <v>0</v>
      </c>
      <c r="G253" s="22">
        <f>Muloza!G253+Muloza!H253+Muloza!I253</f>
        <v>0</v>
      </c>
      <c r="H253" s="22">
        <f>MUST!G253+MUST!H253+MUST!I253</f>
        <v>0</v>
      </c>
      <c r="I253" s="22">
        <f>Phalombe!G253+Phalombe!H253+Phalombe!I253</f>
        <v>0</v>
      </c>
      <c r="J253" s="22">
        <f>Mikolongwe!G253+Mikolongwe!H253+Mikolongwe!I253</f>
        <v>0</v>
      </c>
      <c r="K253" s="22">
        <f>Migowi!G253+Migowi!H253+Migowi!I253</f>
        <v>0</v>
      </c>
      <c r="L253" s="103">
        <f>SUM(D253:K253)</f>
        <v>0</v>
      </c>
    </row>
    <row r="254" spans="1:12" ht="15.75" x14ac:dyDescent="0.25">
      <c r="A254" s="445" t="s">
        <v>12</v>
      </c>
      <c r="B254" s="446"/>
      <c r="C254" s="4" t="s">
        <v>3</v>
      </c>
      <c r="D254" s="22">
        <f>Mulanje!G254+Mulanje!H254+Mulanje!I254</f>
        <v>0</v>
      </c>
      <c r="E254" s="22">
        <f>Luchenza!G254+Luchenza!H254+Luchenza!I254</f>
        <v>0</v>
      </c>
      <c r="F254" s="22">
        <f>Thyolo!G254+Thyolo!H254+Thyolo!I254</f>
        <v>0</v>
      </c>
      <c r="G254" s="22">
        <f>Muloza!G254+Muloza!H254+Muloza!I254</f>
        <v>0</v>
      </c>
      <c r="H254" s="22">
        <f>MUST!G254+MUST!H254+MUST!I254</f>
        <v>0</v>
      </c>
      <c r="I254" s="22">
        <f>Phalombe!G254+Phalombe!H254+Phalombe!I254</f>
        <v>0</v>
      </c>
      <c r="J254" s="22">
        <f>Mikolongwe!G254+Mikolongwe!H254+Mikolongwe!I254</f>
        <v>0</v>
      </c>
      <c r="K254" s="22">
        <f>Migowi!G254+Migowi!H254+Migowi!I254</f>
        <v>0</v>
      </c>
      <c r="L254" s="103">
        <f>SUM(D254:K254)</f>
        <v>0</v>
      </c>
    </row>
    <row r="255" spans="1:12" ht="15.75" customHeight="1" x14ac:dyDescent="0.25">
      <c r="A255" s="445" t="s">
        <v>11</v>
      </c>
      <c r="B255" s="446"/>
      <c r="C255" s="4" t="s">
        <v>3</v>
      </c>
      <c r="D255" s="22">
        <f>Mulanje!G255+Mulanje!H255+Mulanje!I255</f>
        <v>60</v>
      </c>
      <c r="E255" s="22">
        <f>Luchenza!G255+Luchenza!H255+Luchenza!I255</f>
        <v>129</v>
      </c>
      <c r="F255" s="22">
        <f>Thyolo!G255+Thyolo!H255+Thyolo!I255</f>
        <v>48</v>
      </c>
      <c r="G255" s="22">
        <f>Muloza!G255+Muloza!H255+Muloza!I255</f>
        <v>195</v>
      </c>
      <c r="H255" s="22">
        <f>MUST!G255+MUST!H255+MUST!I255</f>
        <v>6</v>
      </c>
      <c r="I255" s="22">
        <f>Phalombe!G255+Phalombe!H255+Phalombe!I255</f>
        <v>120</v>
      </c>
      <c r="J255" s="22">
        <f>Mikolongwe!G255+Mikolongwe!H255+Mikolongwe!I255</f>
        <v>0</v>
      </c>
      <c r="K255" s="22">
        <f>Migowi!G255+Migowi!H255+Migowi!I255</f>
        <v>0</v>
      </c>
      <c r="L255" s="103">
        <f>SUM(D255:K255)</f>
        <v>558</v>
      </c>
    </row>
    <row r="256" spans="1:12" ht="15.75" x14ac:dyDescent="0.25">
      <c r="A256" s="445" t="s">
        <v>10</v>
      </c>
      <c r="B256" s="446"/>
      <c r="C256" s="4" t="s">
        <v>3</v>
      </c>
      <c r="D256" s="22">
        <f>Mulanje!G256+Mulanje!H256+Mulanje!I256</f>
        <v>0</v>
      </c>
      <c r="E256" s="22">
        <f>Luchenza!G256+Luchenza!H256+Luchenza!I256</f>
        <v>0</v>
      </c>
      <c r="F256" s="22">
        <f>Thyolo!G256+Thyolo!H256+Thyolo!I256</f>
        <v>0</v>
      </c>
      <c r="G256" s="22">
        <f>Muloza!G256+Muloza!H256+Muloza!I256</f>
        <v>0</v>
      </c>
      <c r="H256" s="22">
        <f>MUST!G256+MUST!H256+MUST!I256</f>
        <v>0</v>
      </c>
      <c r="I256" s="22">
        <f>Phalombe!G256+Phalombe!H256+Phalombe!I256</f>
        <v>0</v>
      </c>
      <c r="J256" s="22">
        <f>Mikolongwe!G256+Mikolongwe!H256+Mikolongwe!I256</f>
        <v>0</v>
      </c>
      <c r="K256" s="22">
        <f>Migowi!G256+Migowi!H256+Migowi!I256</f>
        <v>0</v>
      </c>
      <c r="L256" s="103">
        <f>SUM(D256:K256)</f>
        <v>0</v>
      </c>
    </row>
    <row r="257" spans="1:12" ht="15.6" customHeight="1" x14ac:dyDescent="0.25">
      <c r="A257" s="445" t="s">
        <v>9</v>
      </c>
      <c r="B257" s="446"/>
      <c r="C257" s="4" t="s">
        <v>3</v>
      </c>
      <c r="D257" s="22">
        <f>Mulanje!G257+Mulanje!H257+Mulanje!I257</f>
        <v>0</v>
      </c>
      <c r="E257" s="22">
        <f>Luchenza!G257+Luchenza!H257+Luchenza!I257</f>
        <v>0</v>
      </c>
      <c r="F257" s="22">
        <f>Thyolo!G257+Thyolo!H257+Thyolo!I257</f>
        <v>0</v>
      </c>
      <c r="G257" s="22">
        <f>Muloza!G257+Muloza!H257+Muloza!I257</f>
        <v>0</v>
      </c>
      <c r="H257" s="22">
        <f>MUST!G257+MUST!H257+MUST!I257</f>
        <v>0</v>
      </c>
      <c r="I257" s="22">
        <f>Phalombe!G257+Phalombe!H257+Phalombe!I257</f>
        <v>0</v>
      </c>
      <c r="J257" s="22">
        <f>Mikolongwe!G257+Mikolongwe!H257+Mikolongwe!I257</f>
        <v>0</v>
      </c>
      <c r="K257" s="22">
        <f>Migowi!G257+Migowi!H257+Migowi!I257</f>
        <v>0</v>
      </c>
      <c r="L257" s="103">
        <f>SUM(D257:K257)</f>
        <v>0</v>
      </c>
    </row>
    <row r="258" spans="1:12" ht="15.75" x14ac:dyDescent="0.25">
      <c r="A258" s="449" t="s">
        <v>8</v>
      </c>
      <c r="B258" s="450"/>
      <c r="C258" s="4" t="s">
        <v>3</v>
      </c>
      <c r="D258" s="1" t="e">
        <f t="shared" ref="D258:L258" si="77">D257/D256</f>
        <v>#DIV/0!</v>
      </c>
      <c r="E258" s="1" t="e">
        <f t="shared" si="77"/>
        <v>#DIV/0!</v>
      </c>
      <c r="F258" s="1" t="e">
        <f t="shared" si="77"/>
        <v>#DIV/0!</v>
      </c>
      <c r="G258" s="2" t="e">
        <f t="shared" si="77"/>
        <v>#DIV/0!</v>
      </c>
      <c r="H258" s="2" t="e">
        <f t="shared" si="77"/>
        <v>#DIV/0!</v>
      </c>
      <c r="I258" s="2" t="e">
        <f t="shared" si="77"/>
        <v>#DIV/0!</v>
      </c>
      <c r="J258" s="2" t="e">
        <f t="shared" si="77"/>
        <v>#DIV/0!</v>
      </c>
      <c r="K258" s="2" t="e">
        <f t="shared" si="77"/>
        <v>#DIV/0!</v>
      </c>
      <c r="L258" s="103" t="e">
        <f t="shared" si="77"/>
        <v>#DIV/0!</v>
      </c>
    </row>
    <row r="259" spans="1:12" ht="15.75" x14ac:dyDescent="0.25">
      <c r="A259" s="449" t="s">
        <v>7</v>
      </c>
      <c r="B259" s="450"/>
      <c r="C259" s="4" t="s">
        <v>6</v>
      </c>
      <c r="D259" s="1">
        <f t="shared" ref="D259:L259" si="78">D92/D255*100</f>
        <v>0</v>
      </c>
      <c r="E259" s="1">
        <f t="shared" si="78"/>
        <v>0</v>
      </c>
      <c r="F259" s="1">
        <f t="shared" si="78"/>
        <v>0</v>
      </c>
      <c r="G259" s="5">
        <f t="shared" si="78"/>
        <v>0</v>
      </c>
      <c r="H259" s="5">
        <f t="shared" si="78"/>
        <v>0</v>
      </c>
      <c r="I259" s="5">
        <f t="shared" si="78"/>
        <v>0</v>
      </c>
      <c r="J259" s="5" t="e">
        <f t="shared" si="78"/>
        <v>#DIV/0!</v>
      </c>
      <c r="K259" s="5" t="e">
        <f t="shared" si="78"/>
        <v>#DIV/0!</v>
      </c>
      <c r="L259" s="104">
        <f t="shared" si="78"/>
        <v>0</v>
      </c>
    </row>
    <row r="260" spans="1:12" x14ac:dyDescent="0.25">
      <c r="A260" s="442" t="s">
        <v>5</v>
      </c>
      <c r="B260" s="443"/>
      <c r="C260" s="443"/>
      <c r="D260" s="443"/>
      <c r="E260" s="443"/>
      <c r="F260" s="443"/>
      <c r="G260" s="443"/>
      <c r="H260" s="443"/>
      <c r="I260" s="443"/>
      <c r="J260" s="443"/>
      <c r="K260" s="443"/>
      <c r="L260" s="444"/>
    </row>
    <row r="261" spans="1:12" ht="15" customHeight="1" x14ac:dyDescent="0.25">
      <c r="A261" s="445" t="s">
        <v>4</v>
      </c>
      <c r="B261" s="446"/>
      <c r="C261" s="4" t="s">
        <v>3</v>
      </c>
      <c r="D261" s="22">
        <f>Mulanje!G261+Mulanje!H261+Mulanje!I261</f>
        <v>0</v>
      </c>
      <c r="E261" s="22">
        <f>Luchenza!G261+Luchenza!H261+Luchenza!I261</f>
        <v>0</v>
      </c>
      <c r="F261" s="22">
        <f>Thyolo!G261+Thyolo!H261+Thyolo!I261</f>
        <v>0</v>
      </c>
      <c r="G261" s="22">
        <f>Muloza!G261+Muloza!H261+Muloza!I261</f>
        <v>0</v>
      </c>
      <c r="H261" s="22">
        <f>MUST!G261+MUST!H261+MUST!I261</f>
        <v>0</v>
      </c>
      <c r="I261" s="22">
        <f>Phalombe!G261+Phalombe!H261+Phalombe!I261</f>
        <v>0</v>
      </c>
      <c r="J261" s="22">
        <f>Mikolongwe!G261+Mikolongwe!H261+Mikolongwe!I261</f>
        <v>5</v>
      </c>
      <c r="K261" s="22">
        <f>Migowi!G261+Migowi!H261+Migowi!I261</f>
        <v>0</v>
      </c>
      <c r="L261" s="103">
        <f>SUM(D261:K261)</f>
        <v>5</v>
      </c>
    </row>
    <row r="262" spans="1:12" ht="15.75" customHeight="1" x14ac:dyDescent="0.25">
      <c r="A262" s="445" t="s">
        <v>2</v>
      </c>
      <c r="B262" s="446"/>
      <c r="C262" s="4" t="s">
        <v>0</v>
      </c>
      <c r="D262" s="22">
        <f>Mulanje!G262+Mulanje!H262+Mulanje!I262</f>
        <v>0</v>
      </c>
      <c r="E262" s="22">
        <f>Luchenza!G262+Luchenza!H262+Luchenza!I262</f>
        <v>0</v>
      </c>
      <c r="F262" s="22">
        <f>Thyolo!G262+Thyolo!H262+Thyolo!I262</f>
        <v>0</v>
      </c>
      <c r="G262" s="22">
        <f>Muloza!G262+Muloza!H262+Muloza!I262</f>
        <v>0</v>
      </c>
      <c r="H262" s="22">
        <f>MUST!G262+MUST!H262+MUST!I262</f>
        <v>0</v>
      </c>
      <c r="I262" s="22">
        <f>Phalombe!G262+Phalombe!H262+Phalombe!I262</f>
        <v>0</v>
      </c>
      <c r="J262" s="22">
        <f>Mikolongwe!G262+Mikolongwe!H262+Mikolongwe!I262</f>
        <v>3</v>
      </c>
      <c r="K262" s="22">
        <f>Migowi!G262+Migowi!H262+Migowi!I262</f>
        <v>0</v>
      </c>
      <c r="L262" s="103">
        <f>SUM(D262:K262)</f>
        <v>3</v>
      </c>
    </row>
    <row r="263" spans="1:12" ht="16.5" thickBot="1" x14ac:dyDescent="0.3">
      <c r="A263" s="447" t="s">
        <v>1</v>
      </c>
      <c r="B263" s="448"/>
      <c r="C263" s="105" t="s">
        <v>0</v>
      </c>
      <c r="D263" s="136" t="e">
        <f>D261/D262</f>
        <v>#DIV/0!</v>
      </c>
      <c r="E263" s="136" t="e">
        <f t="shared" ref="E263:L263" si="79">E261/E262</f>
        <v>#DIV/0!</v>
      </c>
      <c r="F263" s="136" t="e">
        <f t="shared" si="79"/>
        <v>#DIV/0!</v>
      </c>
      <c r="G263" s="136" t="e">
        <f t="shared" si="79"/>
        <v>#DIV/0!</v>
      </c>
      <c r="H263" s="136" t="e">
        <f t="shared" si="79"/>
        <v>#DIV/0!</v>
      </c>
      <c r="I263" s="136" t="e">
        <f t="shared" si="79"/>
        <v>#DIV/0!</v>
      </c>
      <c r="J263" s="136">
        <f t="shared" si="79"/>
        <v>1.6666666666666667</v>
      </c>
      <c r="K263" s="136" t="e">
        <f t="shared" si="79"/>
        <v>#DIV/0!</v>
      </c>
      <c r="L263" s="148">
        <f t="shared" si="79"/>
        <v>1.6666666666666667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3"/>
  <sheetViews>
    <sheetView topLeftCell="C1" workbookViewId="0">
      <selection activeCell="K228" sqref="K228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10" width="19.140625" customWidth="1"/>
    <col min="11" max="12" width="23.140625" customWidth="1"/>
    <col min="13" max="13" width="20.140625" bestFit="1" customWidth="1"/>
    <col min="16" max="16" width="11.140625" bestFit="1" customWidth="1"/>
  </cols>
  <sheetData>
    <row r="1" spans="1:13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5" customHeight="1" x14ac:dyDescent="0.25">
      <c r="A5" s="84" t="s">
        <v>228</v>
      </c>
      <c r="B5" s="85"/>
      <c r="C5" s="85"/>
      <c r="D5" s="166"/>
      <c r="E5" s="85"/>
      <c r="F5" s="85"/>
      <c r="G5" s="166"/>
      <c r="H5" s="85"/>
      <c r="I5" s="85"/>
      <c r="J5" s="166">
        <f>J22/6</f>
        <v>325.16666666666669</v>
      </c>
      <c r="K5" s="85"/>
      <c r="L5" s="85"/>
      <c r="M5" s="115"/>
    </row>
    <row r="6" spans="1:13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5" thickBot="1" x14ac:dyDescent="0.3">
      <c r="A7" s="519" t="s">
        <v>176</v>
      </c>
      <c r="B7" s="520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.75" thickBot="1" x14ac:dyDescent="0.3">
      <c r="A8" s="521" t="s">
        <v>161</v>
      </c>
      <c r="B8" s="522"/>
      <c r="C8" s="522"/>
      <c r="D8" s="522"/>
      <c r="E8" s="522"/>
      <c r="F8" s="522"/>
      <c r="G8" s="522"/>
      <c r="H8" s="522"/>
      <c r="I8" s="522"/>
      <c r="J8" s="522"/>
      <c r="K8" s="522"/>
      <c r="L8" s="522"/>
      <c r="M8" s="523"/>
    </row>
    <row r="9" spans="1:13" ht="15.75" x14ac:dyDescent="0.25">
      <c r="A9" s="524" t="s">
        <v>178</v>
      </c>
      <c r="B9" s="525"/>
      <c r="C9" s="53" t="s">
        <v>154</v>
      </c>
      <c r="D9" s="52">
        <f>Mulanje!D9+Mulanje!E9+Mulanje!F9+Mulanje!G9+Mulanje!H9+Mulanje!I9</f>
        <v>139772</v>
      </c>
      <c r="E9" s="52">
        <f>Luchenza!D9+Luchenza!E9+Luchenza!F9+Luchenza!G9+Luchenza!H9+Luchenza!I9</f>
        <v>45715</v>
      </c>
      <c r="F9" s="52">
        <f>Thyolo!D9+Thyolo!E9+Thyolo!F9+Thyolo!G9+Thyolo!H9+Thyolo!I9</f>
        <v>44510</v>
      </c>
      <c r="G9" s="52">
        <f>Muloza!D9+Muloza!E9+Muloza!F9+Muloza!G9+Muloza!H9+Muloza!I9</f>
        <v>29078</v>
      </c>
      <c r="H9" s="52">
        <f>MUST!D9+MUST!E9+MUST!F9+MUST!G9+MUST!H9+MUST!I9</f>
        <v>60385</v>
      </c>
      <c r="I9" s="52">
        <f>Phalombe!D9+Phalombe!E9+Phalombe!F9+Phalombe!G9+Phalombe!H9+Phalombe!I9</f>
        <v>26530</v>
      </c>
      <c r="J9" s="52">
        <f>Mikolongwe!D9+Mikolongwe!E9+Mikolongwe!F9+Mikolongwe!G9+Mikolongwe!H9+Mikolongwe!I9</f>
        <v>2390</v>
      </c>
      <c r="K9" s="52">
        <f>Migowi!D9+Migowi!E9+Migowi!F9+Migowi!G9+Migowi!H9+Migowi!I9</f>
        <v>2976</v>
      </c>
      <c r="L9" s="52">
        <f>Nkando!D9+Nkando!E9+Nkando!F9+Nkando!G9+Nkando!H9+Nkando!I9</f>
        <v>6562</v>
      </c>
      <c r="M9" s="52">
        <f>SUM(D9:L9)</f>
        <v>357918</v>
      </c>
    </row>
    <row r="10" spans="1:13" x14ac:dyDescent="0.25">
      <c r="A10" s="442" t="s">
        <v>179</v>
      </c>
      <c r="B10" s="443"/>
      <c r="C10" s="443"/>
      <c r="D10" s="526"/>
      <c r="E10" s="526"/>
      <c r="F10" s="526"/>
      <c r="G10" s="526"/>
      <c r="H10" s="526"/>
      <c r="I10" s="526"/>
      <c r="J10" s="526"/>
      <c r="K10" s="526"/>
      <c r="L10" s="526"/>
      <c r="M10" s="527"/>
    </row>
    <row r="11" spans="1:13" ht="15.75" x14ac:dyDescent="0.25">
      <c r="A11" s="460" t="s">
        <v>159</v>
      </c>
      <c r="B11" s="461"/>
      <c r="C11" s="4" t="s">
        <v>154</v>
      </c>
      <c r="D11" s="22">
        <f>Mulanje!D11+Mulanje!E11+Mulanje!F11+Mulanje!G11+Mulanje!H11+Mulanje!I11</f>
        <v>50455</v>
      </c>
      <c r="E11" s="22">
        <f>Luchenza!D11+Luchenza!E11+Luchenza!F11+Luchenza!G11+Luchenza!H11+Luchenza!I11</f>
        <v>16229</v>
      </c>
      <c r="F11" s="22">
        <f>Thyolo!D11+Thyolo!E11+Thyolo!F11+Thyolo!G11+Thyolo!H11+Thyolo!I11</f>
        <v>11925</v>
      </c>
      <c r="G11" s="22">
        <f>Muloza!D11+Muloza!E11+Muloza!F11+Muloza!G11+Muloza!H11+Muloza!I11</f>
        <v>8595</v>
      </c>
      <c r="H11" s="22">
        <f>MUST!D11+MUST!E11+MUST!F11+MUST!G11+MUST!H11+MUST!I11</f>
        <v>2451</v>
      </c>
      <c r="I11" s="22">
        <f>Phalombe!D11+Phalombe!E11+Phalombe!F11+Phalombe!G11+Phalombe!H11+Phalombe!I11</f>
        <v>7701</v>
      </c>
      <c r="J11" s="22">
        <f>Mikolongwe!D11+Mikolongwe!E11+Mikolongwe!F11+Mikolongwe!G11+Mikolongwe!H11+Mikolongwe!I11</f>
        <v>0</v>
      </c>
      <c r="K11" s="412">
        <f>Migowi!D11+Migowi!E11+Migowi!F11+Migowi!G11+Migowi!H11+Migowi!I11</f>
        <v>0</v>
      </c>
      <c r="L11" s="30">
        <f>Nkando!D11+Nkando!E11+Nkando!F11+Nkando!G11+Nkando!H11+Nkando!I11</f>
        <v>0</v>
      </c>
      <c r="M11" s="426">
        <f>SUM(D11:L11)</f>
        <v>97356</v>
      </c>
    </row>
    <row r="12" spans="1:13" ht="15.75" x14ac:dyDescent="0.25">
      <c r="A12" s="460" t="s">
        <v>158</v>
      </c>
      <c r="B12" s="461"/>
      <c r="C12" s="4" t="s">
        <v>154</v>
      </c>
      <c r="D12" s="22">
        <f>Mulanje!D12+Mulanje!E12+Mulanje!F12+Mulanje!G12+Mulanje!H12+Mulanje!I12</f>
        <v>2740</v>
      </c>
      <c r="E12" s="22">
        <f>Luchenza!D12+Luchenza!E12+Luchenza!F12+Luchenza!G12+Luchenza!H12+Luchenza!I12</f>
        <v>66</v>
      </c>
      <c r="F12" s="22">
        <f>Thyolo!D12+Thyolo!E12+Thyolo!F12+Thyolo!G12+Thyolo!H12+Thyolo!I12</f>
        <v>12</v>
      </c>
      <c r="G12" s="22">
        <f>Muloza!D12+Muloza!E12+Muloza!F12+Muloza!G12+Muloza!H12+Muloza!I12</f>
        <v>37</v>
      </c>
      <c r="H12" s="22">
        <f>MUST!D12+MUST!E12+MUST!F12+MUST!G12+MUST!H12+MUST!I12</f>
        <v>0</v>
      </c>
      <c r="I12" s="22">
        <f>Phalombe!D12+Phalombe!E12+Phalombe!F12+Phalombe!G12+Phalombe!H12+Phalombe!I12</f>
        <v>0</v>
      </c>
      <c r="J12" s="22">
        <f>Mikolongwe!D12+Mikolongwe!E12+Mikolongwe!F12+Mikolongwe!G12+Mikolongwe!H12+Mikolongwe!I12</f>
        <v>0</v>
      </c>
      <c r="K12" s="412">
        <f>Migowi!D12+Migowi!E12+Migowi!F12+Migowi!G12+Migowi!H12+Migowi!I12</f>
        <v>0</v>
      </c>
      <c r="L12" s="30">
        <f>Nkando!D12+Nkando!E12+Nkando!F12+Nkando!G12+Nkando!H12+Nkando!I12</f>
        <v>0</v>
      </c>
      <c r="M12" s="426">
        <f>SUM(D12:L12)</f>
        <v>2855</v>
      </c>
    </row>
    <row r="13" spans="1:13" ht="15.75" x14ac:dyDescent="0.25">
      <c r="A13" s="460" t="s">
        <v>157</v>
      </c>
      <c r="B13" s="461"/>
      <c r="C13" s="4" t="s">
        <v>154</v>
      </c>
      <c r="D13" s="22">
        <f>Mulanje!D13+Mulanje!E13+Mulanje!F13+Mulanje!G13+Mulanje!H13+Mulanje!I13</f>
        <v>363</v>
      </c>
      <c r="E13" s="22">
        <f>Luchenza!D13+Luchenza!E13+Luchenza!F13+Luchenza!G13+Luchenza!H13+Luchenza!I13</f>
        <v>32</v>
      </c>
      <c r="F13" s="22">
        <f>Thyolo!D13+Thyolo!E13+Thyolo!F13+Thyolo!G13+Thyolo!H13+Thyolo!I13</f>
        <v>0</v>
      </c>
      <c r="G13" s="22">
        <f>Muloza!D13+Muloza!E13+Muloza!F13+Muloza!G13+Muloza!H13+Muloza!I13</f>
        <v>0</v>
      </c>
      <c r="H13" s="22">
        <f>MUST!D13+MUST!E13+MUST!F13+MUST!G13+MUST!H13+MUST!I13</f>
        <v>72</v>
      </c>
      <c r="I13" s="22">
        <f>Phalombe!D13+Phalombe!E13+Phalombe!F13+Phalombe!G13+Phalombe!H13+Phalombe!I13</f>
        <v>0</v>
      </c>
      <c r="J13" s="22">
        <f>Mikolongwe!D13+Mikolongwe!E13+Mikolongwe!F13+Mikolongwe!G13+Mikolongwe!H13+Mikolongwe!I13</f>
        <v>0</v>
      </c>
      <c r="K13" s="412">
        <f>Migowi!D13+Migowi!E13+Migowi!F13+Migowi!G13+Migowi!H13+Migowi!I13</f>
        <v>0</v>
      </c>
      <c r="L13" s="30">
        <f>Nkando!D13+Nkando!E13+Nkando!F13+Nkando!G13+Nkando!H13+Nkando!I13</f>
        <v>0</v>
      </c>
      <c r="M13" s="426">
        <f>SUM(D13:L13)</f>
        <v>467</v>
      </c>
    </row>
    <row r="14" spans="1:13" ht="15.75" x14ac:dyDescent="0.25">
      <c r="A14" s="445" t="s">
        <v>156</v>
      </c>
      <c r="B14" s="446"/>
      <c r="C14" s="4" t="s">
        <v>154</v>
      </c>
      <c r="D14" s="22">
        <f>Mulanje!D14+Mulanje!E14+Mulanje!F14+Mulanje!G14+Mulanje!H14+Mulanje!I14</f>
        <v>572</v>
      </c>
      <c r="E14" s="22">
        <f>Luchenza!D14+Luchenza!E14+Luchenza!F14+Luchenza!G14+Luchenza!H14+Luchenza!I14</f>
        <v>67</v>
      </c>
      <c r="F14" s="22">
        <f>Thyolo!D14+Thyolo!E14+Thyolo!F14+Thyolo!G14+Thyolo!H14+Thyolo!I14</f>
        <v>93</v>
      </c>
      <c r="G14" s="22">
        <f>Muloza!D14+Muloza!E14+Muloza!F14+Muloza!G14+Muloza!H14+Muloza!I14</f>
        <v>34</v>
      </c>
      <c r="H14" s="22">
        <f>MUST!D14+MUST!E14+MUST!F14+MUST!G14+MUST!H14+MUST!I14</f>
        <v>0</v>
      </c>
      <c r="I14" s="22">
        <f>Phalombe!D14+Phalombe!E14+Phalombe!F14+Phalombe!G14+Phalombe!H14+Phalombe!I14</f>
        <v>13</v>
      </c>
      <c r="J14" s="22">
        <f>Mikolongwe!D14+Mikolongwe!E14+Mikolongwe!F14+Mikolongwe!G14+Mikolongwe!H14+Mikolongwe!I14</f>
        <v>0</v>
      </c>
      <c r="K14" s="412">
        <f>Migowi!D14+Migowi!E14+Migowi!F14+Migowi!G14+Migowi!H14+Migowi!I14</f>
        <v>0</v>
      </c>
      <c r="L14" s="30">
        <f>Nkando!D14+Nkando!E14+Nkando!F14+Nkando!G14+Nkando!H14+Nkando!I14</f>
        <v>0</v>
      </c>
      <c r="M14" s="426">
        <f>SUM(D14:L14)</f>
        <v>779</v>
      </c>
    </row>
    <row r="15" spans="1:13" s="58" customFormat="1" ht="15.75" x14ac:dyDescent="0.25">
      <c r="A15" s="478" t="s">
        <v>160</v>
      </c>
      <c r="B15" s="479"/>
      <c r="C15" s="57" t="s">
        <v>154</v>
      </c>
      <c r="D15" s="30">
        <f t="shared" ref="D15:M15" si="0">SUM(D11:D14)</f>
        <v>54130</v>
      </c>
      <c r="E15" s="30">
        <f t="shared" si="0"/>
        <v>16394</v>
      </c>
      <c r="F15" s="30">
        <f t="shared" si="0"/>
        <v>12030</v>
      </c>
      <c r="G15" s="30">
        <f t="shared" si="0"/>
        <v>8666</v>
      </c>
      <c r="H15" s="30">
        <f t="shared" si="0"/>
        <v>2523</v>
      </c>
      <c r="I15" s="30">
        <f t="shared" si="0"/>
        <v>7714</v>
      </c>
      <c r="J15" s="30">
        <f t="shared" si="0"/>
        <v>0</v>
      </c>
      <c r="K15" s="29">
        <f t="shared" si="0"/>
        <v>0</v>
      </c>
      <c r="L15" s="30">
        <f t="shared" si="0"/>
        <v>0</v>
      </c>
      <c r="M15" s="426">
        <f t="shared" si="0"/>
        <v>101457</v>
      </c>
    </row>
    <row r="16" spans="1:13" x14ac:dyDescent="0.25">
      <c r="A16" s="442" t="s">
        <v>180</v>
      </c>
      <c r="B16" s="443"/>
      <c r="C16" s="443"/>
      <c r="D16" s="443"/>
      <c r="E16" s="443"/>
      <c r="F16" s="443"/>
      <c r="G16" s="443"/>
      <c r="H16" s="443"/>
      <c r="I16" s="443"/>
      <c r="J16" s="443"/>
      <c r="K16" s="443"/>
      <c r="L16" s="454"/>
      <c r="M16" s="444"/>
    </row>
    <row r="17" spans="1:16" ht="15.75" x14ac:dyDescent="0.25">
      <c r="A17" s="460" t="s">
        <v>182</v>
      </c>
      <c r="B17" s="461"/>
      <c r="C17" s="4" t="s">
        <v>154</v>
      </c>
      <c r="D17" s="22">
        <f>Mulanje!D17+Mulanje!E17+Mulanje!F17+Mulanje!G17+Mulanje!H17+Mulanje!I17</f>
        <v>25047.230000000018</v>
      </c>
      <c r="E17" s="22">
        <f>Luchenza!D17+Luchenza!E17+Luchenza!F17+Luchenza!G17+Luchenza!H17+Luchenza!I17</f>
        <v>14129</v>
      </c>
      <c r="F17" s="22">
        <f>Thyolo!D17+Thyolo!E17+Thyolo!F17+Thyolo!G17+Thyolo!H17+Thyolo!I17</f>
        <v>12798.8</v>
      </c>
      <c r="G17" s="22">
        <f>Muloza!D17+Muloza!E17+Muloza!F17+Muloza!G17+Muloza!H17+Muloza!I17</f>
        <v>9432</v>
      </c>
      <c r="H17" s="22">
        <f>MUST!D17+MUST!E17+MUST!F17+MUST!G17+MUST!H17+MUST!I17</f>
        <v>6531</v>
      </c>
      <c r="I17" s="22">
        <f>Phalombe!D17+Phalombe!E17+Phalombe!F17+Phalombe!G17+Phalombe!H17+Phalombe!I17</f>
        <v>9847.5</v>
      </c>
      <c r="J17" s="22">
        <f>Mikolongwe!D17+Mikolongwe!E17+Mikolongwe!F17+Mikolongwe!G17+Mikolongwe!H17+Mikolongwe!I17</f>
        <v>684</v>
      </c>
      <c r="K17" s="22">
        <f>Migowi!D17+Migowi!E17+Migowi!F17+Migowi!G17+Migowi!H17+Migowi!I17</f>
        <v>2464</v>
      </c>
      <c r="L17" s="30">
        <f>Nkando!D17+Nkando!E17+Nkando!F17+Nkando!G17+Nkando!H17+Nkando!I17</f>
        <v>4867.8999999999996</v>
      </c>
      <c r="M17" s="50">
        <f>SUM(D17:L17)</f>
        <v>85801.430000000008</v>
      </c>
    </row>
    <row r="18" spans="1:16" ht="15.75" x14ac:dyDescent="0.25">
      <c r="A18" s="460" t="s">
        <v>183</v>
      </c>
      <c r="B18" s="461"/>
      <c r="C18" s="4" t="s">
        <v>154</v>
      </c>
      <c r="D18" s="22">
        <f>Mulanje!D18+Mulanje!E18+Mulanje!F18+Mulanje!G18+Mulanje!H18+Mulanje!I18</f>
        <v>0</v>
      </c>
      <c r="E18" s="22">
        <f>Luchenza!D18+Luchenza!E18+Luchenza!F18+Luchenza!G18+Luchenza!H18+Luchenza!I18</f>
        <v>641</v>
      </c>
      <c r="F18" s="22">
        <f>Thyolo!D18+Thyolo!E18+Thyolo!F18+Thyolo!G18+Thyolo!H18+Thyolo!I18</f>
        <v>22</v>
      </c>
      <c r="G18" s="22">
        <f>Muloza!D18+Muloza!E18+Muloza!F18+Muloza!G18+Muloza!H18+Muloza!I18</f>
        <v>60</v>
      </c>
      <c r="H18" s="22">
        <f>MUST!D18+MUST!E18+MUST!F18+MUST!G18+MUST!H18+MUST!I18</f>
        <v>0</v>
      </c>
      <c r="I18" s="22">
        <f>Phalombe!D18+Phalombe!E18+Phalombe!F18+Phalombe!G18+Phalombe!H18+Phalombe!I18</f>
        <v>140.4</v>
      </c>
      <c r="J18" s="22">
        <f>Mikolongwe!D18+Mikolongwe!E18+Mikolongwe!F18+Mikolongwe!G18+Mikolongwe!H18+Mikolongwe!I18</f>
        <v>0</v>
      </c>
      <c r="K18" s="22">
        <f>Migowi!D18+Migowi!E18+Migowi!F18+Migowi!G18+Migowi!H18+Migowi!I18</f>
        <v>0</v>
      </c>
      <c r="L18" s="30">
        <f>Nkando!D18+Nkando!E18+Nkando!F18+Nkando!G18+Nkando!H18+Nkando!I18</f>
        <v>20</v>
      </c>
      <c r="M18" s="50">
        <f>SUM(D18:L18)</f>
        <v>883.4</v>
      </c>
    </row>
    <row r="19" spans="1:16" ht="15.75" x14ac:dyDescent="0.25">
      <c r="A19" s="460" t="s">
        <v>184</v>
      </c>
      <c r="B19" s="461"/>
      <c r="C19" s="4" t="s">
        <v>154</v>
      </c>
      <c r="D19" s="22">
        <f>Mulanje!D19+Mulanje!E19+Mulanje!F19+Mulanje!G19+Mulanje!H19+Mulanje!I19</f>
        <v>17612.329999999998</v>
      </c>
      <c r="E19" s="22">
        <f>Luchenza!D19+Luchenza!E19+Luchenza!F19+Luchenza!G19+Luchenza!H19+Luchenza!I19</f>
        <v>532</v>
      </c>
      <c r="F19" s="22">
        <f>Thyolo!D19+Thyolo!E19+Thyolo!F19+Thyolo!G19+Thyolo!H19+Thyolo!I19</f>
        <v>2953</v>
      </c>
      <c r="G19" s="22">
        <f>Muloza!D19+Muloza!E19+Muloza!F19+Muloza!G19+Muloza!H19+Muloza!I19</f>
        <v>285</v>
      </c>
      <c r="H19" s="22">
        <f>MUST!D19+MUST!E19+MUST!F19+MUST!G19+MUST!H19+MUST!I19</f>
        <v>36128</v>
      </c>
      <c r="I19" s="22">
        <f>Phalombe!D19+Phalombe!E19+Phalombe!F19+Phalombe!G19+Phalombe!H19+Phalombe!I19</f>
        <v>967.9</v>
      </c>
      <c r="J19" s="22">
        <f>Mikolongwe!D19+Mikolongwe!E19+Mikolongwe!F19+Mikolongwe!G19+Mikolongwe!H19+Mikolongwe!I19</f>
        <v>1252</v>
      </c>
      <c r="K19" s="22">
        <f>Migowi!D19+Migowi!E19+Migowi!F19+Migowi!G19+Migowi!H19+Migowi!I19</f>
        <v>0</v>
      </c>
      <c r="L19" s="30">
        <f>Nkando!D19+Nkando!E19+Nkando!F19+Nkando!G19+Nkando!H19+Nkando!I19</f>
        <v>54</v>
      </c>
      <c r="M19" s="50">
        <f>SUM(D19:L19)</f>
        <v>59784.23</v>
      </c>
    </row>
    <row r="20" spans="1:16" ht="15.75" x14ac:dyDescent="0.25">
      <c r="A20" s="445" t="s">
        <v>185</v>
      </c>
      <c r="B20" s="446"/>
      <c r="C20" s="4" t="s">
        <v>154</v>
      </c>
      <c r="D20" s="22">
        <f>Mulanje!D20+Mulanje!E20+Mulanje!F20+Mulanje!G20+Mulanje!H20+Mulanje!I20</f>
        <v>2619</v>
      </c>
      <c r="E20" s="22">
        <f>Luchenza!D20+Luchenza!E20+Luchenza!F20+Luchenza!G20+Luchenza!H20+Luchenza!I20</f>
        <v>789</v>
      </c>
      <c r="F20" s="22">
        <f>Thyolo!D20+Thyolo!E20+Thyolo!F20+Thyolo!G20+Thyolo!H20+Thyolo!I20</f>
        <v>975</v>
      </c>
      <c r="G20" s="22">
        <f>Muloza!D20+Muloza!E20+Muloza!F20+Muloza!G20+Muloza!H20+Muloza!I20</f>
        <v>523</v>
      </c>
      <c r="H20" s="22">
        <f>MUST!D20+MUST!E20+MUST!F20+MUST!G20+MUST!H20+MUST!I20</f>
        <v>2588</v>
      </c>
      <c r="I20" s="22">
        <f>Phalombe!D20+Phalombe!E20+Phalombe!F20+Phalombe!G20+Phalombe!H20+Phalombe!I20</f>
        <v>347.9</v>
      </c>
      <c r="J20" s="22">
        <f>Mikolongwe!D20+Mikolongwe!E20+Mikolongwe!F20+Mikolongwe!G20+Mikolongwe!H20+Mikolongwe!I20</f>
        <v>15</v>
      </c>
      <c r="K20" s="22">
        <f>Migowi!D20+Migowi!E20+Migowi!F20+Migowi!G20+Migowi!H20+Migowi!I20</f>
        <v>0</v>
      </c>
      <c r="L20" s="30">
        <f>Nkando!D20+Nkando!E20+Nkando!F20+Nkando!G20+Nkando!H20+Nkando!I20</f>
        <v>113</v>
      </c>
      <c r="M20" s="50">
        <f>SUM(D20:L20)</f>
        <v>7969.9</v>
      </c>
    </row>
    <row r="21" spans="1:16" s="58" customFormat="1" ht="15.75" x14ac:dyDescent="0.25">
      <c r="A21" s="478" t="s">
        <v>186</v>
      </c>
      <c r="B21" s="479"/>
      <c r="C21" s="57" t="s">
        <v>154</v>
      </c>
      <c r="D21" s="30">
        <f>SUM(D17:D20)</f>
        <v>45278.560000000012</v>
      </c>
      <c r="E21" s="30">
        <f t="shared" ref="E21:M21" si="1">SUM(E17:E20)</f>
        <v>16091</v>
      </c>
      <c r="F21" s="30">
        <f t="shared" si="1"/>
        <v>16748.8</v>
      </c>
      <c r="G21" s="30">
        <f t="shared" si="1"/>
        <v>10300</v>
      </c>
      <c r="H21" s="30">
        <f t="shared" si="1"/>
        <v>45247</v>
      </c>
      <c r="I21" s="30">
        <f t="shared" si="1"/>
        <v>11303.699999999999</v>
      </c>
      <c r="J21" s="30">
        <f t="shared" si="1"/>
        <v>1951</v>
      </c>
      <c r="K21" s="30">
        <f t="shared" si="1"/>
        <v>2464</v>
      </c>
      <c r="L21" s="30">
        <f t="shared" si="1"/>
        <v>5054.8999999999996</v>
      </c>
      <c r="M21" s="50">
        <f t="shared" si="1"/>
        <v>154438.96</v>
      </c>
    </row>
    <row r="22" spans="1:16" ht="15.75" x14ac:dyDescent="0.25">
      <c r="A22" s="65" t="s">
        <v>187</v>
      </c>
      <c r="B22" s="69"/>
      <c r="C22" s="4" t="s">
        <v>154</v>
      </c>
      <c r="D22" s="30">
        <f>D21+D15</f>
        <v>99408.560000000012</v>
      </c>
      <c r="E22" s="30">
        <f t="shared" ref="E22:M22" si="2">E21+E15</f>
        <v>32485</v>
      </c>
      <c r="F22" s="30">
        <f t="shared" si="2"/>
        <v>28778.799999999999</v>
      </c>
      <c r="G22" s="30">
        <f t="shared" si="2"/>
        <v>18966</v>
      </c>
      <c r="H22" s="30">
        <f t="shared" si="2"/>
        <v>47770</v>
      </c>
      <c r="I22" s="30">
        <f t="shared" si="2"/>
        <v>19017.699999999997</v>
      </c>
      <c r="J22" s="30">
        <f t="shared" si="2"/>
        <v>1951</v>
      </c>
      <c r="K22" s="30">
        <f t="shared" si="2"/>
        <v>2464</v>
      </c>
      <c r="L22" s="30">
        <f t="shared" si="2"/>
        <v>5054.8999999999996</v>
      </c>
      <c r="M22" s="50">
        <f t="shared" si="2"/>
        <v>255895.96</v>
      </c>
      <c r="P22" s="153"/>
    </row>
    <row r="23" spans="1:16" x14ac:dyDescent="0.25">
      <c r="A23" s="442" t="s">
        <v>217</v>
      </c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4"/>
    </row>
    <row r="24" spans="1:16" ht="15.75" x14ac:dyDescent="0.25">
      <c r="A24" s="517" t="s">
        <v>181</v>
      </c>
      <c r="B24" s="21" t="s">
        <v>155</v>
      </c>
      <c r="C24" s="4" t="s">
        <v>154</v>
      </c>
      <c r="D24" s="118">
        <f>D9-D22</f>
        <v>40363.439999999988</v>
      </c>
      <c r="E24" s="118">
        <f t="shared" ref="E24:L24" si="3">E9-E22</f>
        <v>13230</v>
      </c>
      <c r="F24" s="118">
        <f t="shared" si="3"/>
        <v>15731.2</v>
      </c>
      <c r="G24" s="118">
        <f t="shared" si="3"/>
        <v>10112</v>
      </c>
      <c r="H24" s="118">
        <f t="shared" si="3"/>
        <v>12615</v>
      </c>
      <c r="I24" s="118">
        <f t="shared" si="3"/>
        <v>7512.3000000000029</v>
      </c>
      <c r="J24" s="118">
        <f t="shared" si="3"/>
        <v>439</v>
      </c>
      <c r="K24" s="118">
        <f t="shared" si="3"/>
        <v>512</v>
      </c>
      <c r="L24" s="118">
        <f t="shared" si="3"/>
        <v>1507.1000000000004</v>
      </c>
      <c r="M24" s="50">
        <f>SUM(D24:L24)</f>
        <v>102022.04</v>
      </c>
    </row>
    <row r="25" spans="1:16" ht="15.75" x14ac:dyDescent="0.25">
      <c r="A25" s="518"/>
      <c r="B25" s="48" t="s">
        <v>153</v>
      </c>
      <c r="C25" s="47" t="s">
        <v>6</v>
      </c>
      <c r="D25" s="46">
        <f t="shared" ref="D25:M25" si="4">D24/D9</f>
        <v>0.28878058552499775</v>
      </c>
      <c r="E25" s="46">
        <f t="shared" si="4"/>
        <v>0.28940172809799847</v>
      </c>
      <c r="F25" s="46">
        <f t="shared" si="4"/>
        <v>0.35343068973264435</v>
      </c>
      <c r="G25" s="46">
        <f t="shared" si="4"/>
        <v>0.34775431597771511</v>
      </c>
      <c r="H25" s="46">
        <f t="shared" si="4"/>
        <v>0.20890949739173637</v>
      </c>
      <c r="I25" s="46">
        <f t="shared" si="4"/>
        <v>0.28316245759517539</v>
      </c>
      <c r="J25" s="46">
        <f t="shared" si="4"/>
        <v>0.18368200836820084</v>
      </c>
      <c r="K25" s="46">
        <f t="shared" si="4"/>
        <v>0.17204301075268819</v>
      </c>
      <c r="L25" s="46">
        <f t="shared" si="4"/>
        <v>0.22967083206339536</v>
      </c>
      <c r="M25" s="138">
        <f t="shared" si="4"/>
        <v>0.2850430545543951</v>
      </c>
    </row>
    <row r="26" spans="1:16" x14ac:dyDescent="0.25">
      <c r="A26" s="442" t="s">
        <v>152</v>
      </c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4"/>
    </row>
    <row r="27" spans="1:16" x14ac:dyDescent="0.25">
      <c r="A27" s="512" t="s">
        <v>151</v>
      </c>
      <c r="B27" s="513"/>
      <c r="C27" s="513"/>
      <c r="D27" s="513"/>
      <c r="E27" s="513"/>
      <c r="F27" s="513"/>
      <c r="G27" s="513"/>
      <c r="H27" s="513"/>
      <c r="I27" s="513"/>
      <c r="J27" s="513"/>
      <c r="K27" s="513"/>
      <c r="L27" s="513"/>
      <c r="M27" s="514"/>
    </row>
    <row r="28" spans="1:16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6" ht="15.75" x14ac:dyDescent="0.25">
      <c r="A29" s="515" t="s">
        <v>148</v>
      </c>
      <c r="B29" s="441">
        <v>5111.67</v>
      </c>
      <c r="C29" s="4" t="s">
        <v>142</v>
      </c>
      <c r="D29" s="22">
        <f>Mulanje!D29+Mulanje!E29+Mulanje!F29+Mulanje!G29+Mulanje!H29+Mulanje!I29</f>
        <v>281</v>
      </c>
      <c r="E29" s="22">
        <f>Luchenza!D29+Luchenza!E29+Luchenza!F29+Luchenza!G29+Luchenza!H29+Luchenza!I29</f>
        <v>118</v>
      </c>
      <c r="F29" s="22">
        <f>Thyolo!D29+Thyolo!E29+Thyolo!F29+Thyolo!G29+Thyolo!H29+Thyolo!I29</f>
        <v>220</v>
      </c>
      <c r="G29" s="22">
        <f>Muloza!D29+Muloza!E29+Muloza!F29+Muloza!G29+Muloza!H29+Muloza!I29</f>
        <v>45</v>
      </c>
      <c r="H29" s="22">
        <f>MUST!D29+MUST!E29+MUST!F29+MUST!G29+MUST!H29+MUST!I29</f>
        <v>56</v>
      </c>
      <c r="I29" s="22">
        <f>Phalombe!D29+Phalombe!E29+Phalombe!F29+Phalombe!G29+Phalombe!H29+Phalombe!I29</f>
        <v>72</v>
      </c>
      <c r="J29" s="22">
        <f>Mikolongwe!D29+Mikolongwe!E29+Mikolongwe!F29+Mikolongwe!G29+Mikolongwe!H29+Mikolongwe!I29</f>
        <v>14</v>
      </c>
      <c r="K29" s="22">
        <f>Migowi!D29+Migowi!E29+Migowi!F29+Migowi!G29+Migowi!H29+Migowi!I29</f>
        <v>3</v>
      </c>
      <c r="L29" s="412">
        <f>Nkando!D29+Nkando!E29+Nkando!F29+Nkando!G29+Nkando!H29+Nkando!I29</f>
        <v>17</v>
      </c>
      <c r="M29" s="40">
        <f>SUM(D29:L29)</f>
        <v>826</v>
      </c>
    </row>
    <row r="30" spans="1:16" ht="15.75" x14ac:dyDescent="0.25">
      <c r="A30" s="516"/>
      <c r="B30" s="441"/>
      <c r="C30" s="37" t="s">
        <v>141</v>
      </c>
      <c r="D30" s="13">
        <f t="shared" ref="D30:M30" si="5">D29/(D9/1000)</f>
        <v>2.0104169647711991</v>
      </c>
      <c r="E30" s="13">
        <f t="shared" si="5"/>
        <v>2.5812096685989281</v>
      </c>
      <c r="F30" s="13">
        <f t="shared" si="5"/>
        <v>4.942709503482364</v>
      </c>
      <c r="G30" s="13">
        <f t="shared" si="5"/>
        <v>1.5475617305179175</v>
      </c>
      <c r="H30" s="13">
        <f t="shared" si="5"/>
        <v>0.9273826281361266</v>
      </c>
      <c r="I30" s="13">
        <f t="shared" si="5"/>
        <v>2.7139087825103654</v>
      </c>
      <c r="J30" s="13">
        <f t="shared" si="5"/>
        <v>5.8577405857740583</v>
      </c>
      <c r="K30" s="13">
        <f t="shared" si="5"/>
        <v>1.0080645161290323</v>
      </c>
      <c r="L30" s="13">
        <f t="shared" si="5"/>
        <v>2.5906735751295336</v>
      </c>
      <c r="M30" s="92">
        <f t="shared" si="5"/>
        <v>2.3077911700445353</v>
      </c>
    </row>
    <row r="31" spans="1:16" ht="15.75" x14ac:dyDescent="0.25">
      <c r="A31" s="475" t="s">
        <v>147</v>
      </c>
      <c r="B31" s="441">
        <v>1537</v>
      </c>
      <c r="C31" s="4" t="s">
        <v>142</v>
      </c>
      <c r="D31" s="22">
        <f>Mulanje!D31+Mulanje!E31+Mulanje!F31+Mulanje!G31+Mulanje!H31+Mulanje!I31</f>
        <v>0</v>
      </c>
      <c r="E31" s="22">
        <f>Luchenza!D31+Luchenza!E31+Luchenza!F31+Luchenza!G31+Luchenza!H31+Luchenza!I31</f>
        <v>0</v>
      </c>
      <c r="F31" s="22">
        <f>Thyolo!D31+Thyolo!E31+Thyolo!F31+Thyolo!G31+Thyolo!H31+Thyolo!I31</f>
        <v>0</v>
      </c>
      <c r="G31" s="22">
        <f>Muloza!D31+Muloza!E31+Muloza!F31+Muloza!G31+Muloza!H31+Muloza!I31</f>
        <v>0</v>
      </c>
      <c r="H31" s="22">
        <f>MUST!D31+MUST!E31+MUST!F31+MUST!G31+MUST!H31+MUST!I31</f>
        <v>0</v>
      </c>
      <c r="I31" s="22">
        <f>Phalombe!D31+Phalombe!E31+Phalombe!F31+Phalombe!G31+Phalombe!H31+Phalombe!I31</f>
        <v>0</v>
      </c>
      <c r="J31" s="22">
        <f>Mikolongwe!D31+Mikolongwe!E31+Mikolongwe!F31+Mikolongwe!G31+Mikolongwe!H31+Mikolongwe!I31</f>
        <v>0</v>
      </c>
      <c r="K31" s="22">
        <f>Migowi!D31+Migowi!E31+Migowi!F31+Migowi!G31+Migowi!H31+Migowi!I31</f>
        <v>0</v>
      </c>
      <c r="L31" s="412">
        <f>Nkando!D31+Nkando!E31+Nkando!F31+Nkando!G31+Nkando!H31+Nkando!I31</f>
        <v>0</v>
      </c>
      <c r="M31" s="40">
        <f>SUM(D31:L31)</f>
        <v>0</v>
      </c>
    </row>
    <row r="32" spans="1:16" ht="15.75" x14ac:dyDescent="0.25">
      <c r="A32" s="477"/>
      <c r="B32" s="441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92">
        <f>M31/(M9/1000)</f>
        <v>0</v>
      </c>
    </row>
    <row r="33" spans="1:13" ht="15.75" x14ac:dyDescent="0.25">
      <c r="A33" s="475" t="s">
        <v>146</v>
      </c>
      <c r="B33" s="441">
        <v>1781.02</v>
      </c>
      <c r="C33" s="4" t="s">
        <v>142</v>
      </c>
      <c r="D33" s="22">
        <f>Mulanje!D33+Mulanje!E33+Mulanje!F33+Mulanje!G33+Mulanje!H33+Mulanje!I33</f>
        <v>0</v>
      </c>
      <c r="E33" s="22">
        <f>Luchenza!D33+Luchenza!E33+Luchenza!F33+Luchenza!G33+Luchenza!H33+Luchenza!I33</f>
        <v>0</v>
      </c>
      <c r="F33" s="22">
        <f>Thyolo!D33+Thyolo!E33+Thyolo!F33+Thyolo!G33+Thyolo!H33+Thyolo!I33</f>
        <v>0</v>
      </c>
      <c r="G33" s="22">
        <f>Muloza!D33+Muloza!E33+Muloza!F33+Muloza!G33+Muloza!H33+Muloza!I33</f>
        <v>0</v>
      </c>
      <c r="H33" s="22">
        <f>MUST!D33+MUST!E33+MUST!F33+MUST!G33+MUST!H33+MUST!I33</f>
        <v>0</v>
      </c>
      <c r="I33" s="22">
        <f>Phalombe!D33+Phalombe!E33+Phalombe!F33+Phalombe!G33+Phalombe!H33+Phalombe!I33</f>
        <v>0</v>
      </c>
      <c r="J33" s="22">
        <f>Mikolongwe!D33+Mikolongwe!E33+Mikolongwe!F33+Mikolongwe!G33+Mikolongwe!H33+Mikolongwe!I33</f>
        <v>0</v>
      </c>
      <c r="K33" s="22">
        <f>Migowi!D33+Migowi!E33+Migowi!F33+Migowi!G33+Migowi!H33+Migowi!I33</f>
        <v>0</v>
      </c>
      <c r="L33" s="412">
        <f>Nkando!D33+Nkando!E33+Nkando!F33+Nkando!G33+Nkando!H33+Nkando!I33</f>
        <v>0</v>
      </c>
      <c r="M33" s="40">
        <f>SUM(D33:L33)</f>
        <v>0</v>
      </c>
    </row>
    <row r="34" spans="1:13" ht="15.75" x14ac:dyDescent="0.25">
      <c r="A34" s="477"/>
      <c r="B34" s="441"/>
      <c r="C34" s="37" t="s">
        <v>141</v>
      </c>
      <c r="D34" s="13">
        <f t="shared" ref="D34:M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92">
        <f t="shared" si="7"/>
        <v>0</v>
      </c>
    </row>
    <row r="35" spans="1:13" ht="15.75" x14ac:dyDescent="0.25">
      <c r="A35" s="475" t="s">
        <v>145</v>
      </c>
      <c r="B35" s="441">
        <v>5979.95</v>
      </c>
      <c r="C35" s="4" t="s">
        <v>128</v>
      </c>
      <c r="D35" s="22">
        <f>Mulanje!D35+Mulanje!E35+Mulanje!F35+Mulanje!G35+Mulanje!H35+Mulanje!I35</f>
        <v>0</v>
      </c>
      <c r="E35" s="22">
        <f>Luchenza!D35+Luchenza!E35+Luchenza!F35+Luchenza!G35+Luchenza!H35+Luchenza!I35</f>
        <v>0</v>
      </c>
      <c r="F35" s="22">
        <f>Thyolo!D35+Thyolo!E35+Thyolo!F35+Thyolo!G35+Thyolo!H35+Thyolo!I35</f>
        <v>219</v>
      </c>
      <c r="G35" s="22">
        <f>Muloza!D35+Muloza!E35+Muloza!F35+Muloza!G35+Muloza!H35+Muloza!I35</f>
        <v>0</v>
      </c>
      <c r="H35" s="22">
        <f>MUST!D35+MUST!E35+MUST!F35+MUST!G35+MUST!H35+MUST!I35</f>
        <v>0</v>
      </c>
      <c r="I35" s="22">
        <f>Phalombe!D35+Phalombe!E35+Phalombe!F35+Phalombe!G35+Phalombe!H35+Phalombe!I35</f>
        <v>0</v>
      </c>
      <c r="J35" s="22">
        <f>Mikolongwe!D35+Mikolongwe!E35+Mikolongwe!F35+Mikolongwe!G35+Mikolongwe!H35+Mikolongwe!I35</f>
        <v>0</v>
      </c>
      <c r="K35" s="22">
        <f>Migowi!D35+Migowi!E35+Migowi!F35+Migowi!G35+Migowi!H35+Migowi!I35</f>
        <v>0</v>
      </c>
      <c r="L35" s="412">
        <f>Nkando!D35+Nkando!E35+Nkando!F35+Nkando!G35+Nkando!H35+Nkando!I35</f>
        <v>0</v>
      </c>
      <c r="M35" s="40">
        <f>SUM(D35:L35)</f>
        <v>219</v>
      </c>
    </row>
    <row r="36" spans="1:13" ht="15.75" x14ac:dyDescent="0.25">
      <c r="A36" s="477"/>
      <c r="B36" s="441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40">
        <f>SUM(D36:L36)</f>
        <v>0</v>
      </c>
    </row>
    <row r="37" spans="1:13" ht="15.75" x14ac:dyDescent="0.25">
      <c r="A37" s="475" t="s">
        <v>188</v>
      </c>
      <c r="B37" s="441">
        <v>5403.75</v>
      </c>
      <c r="C37" s="4" t="s">
        <v>128</v>
      </c>
      <c r="D37" s="22">
        <f>Mulanje!D37+Mulanje!E37+Mulanje!F37+Mulanje!G37+Mulanje!H37+Mulanje!I37</f>
        <v>0</v>
      </c>
      <c r="E37" s="22">
        <f>Luchenza!D37+Luchenza!E37+Luchenza!F37+Luchenza!G37+Luchenza!H37+Luchenza!I37</f>
        <v>0</v>
      </c>
      <c r="F37" s="22">
        <f>Thyolo!D37+Thyolo!E37+Thyolo!F37+Thyolo!G37+Thyolo!H37+Thyolo!I37</f>
        <v>0</v>
      </c>
      <c r="G37" s="22">
        <f>Muloza!D37+Muloza!E37+Muloza!F37+Muloza!G37+Muloza!H37+Muloza!I37</f>
        <v>0</v>
      </c>
      <c r="H37" s="22">
        <f>MUST!D37+MUST!E37+MUST!F37+MUST!G37+MUST!H37+MUST!I37</f>
        <v>0</v>
      </c>
      <c r="I37" s="22">
        <f>Phalombe!D37+Phalombe!E37+Phalombe!F37+Phalombe!G37+Phalombe!H37+Phalombe!I37</f>
        <v>0</v>
      </c>
      <c r="J37" s="22">
        <f>Mikolongwe!D37+Mikolongwe!E37+Mikolongwe!F37+Mikolongwe!G37+Mikolongwe!H37+Mikolongwe!I37</f>
        <v>0</v>
      </c>
      <c r="K37" s="22">
        <f>Migowi!D37+Migowi!E37+Migowi!F37+Migowi!G37+Migowi!H37+Migowi!I37</f>
        <v>0</v>
      </c>
      <c r="L37" s="412">
        <f>Nkando!D37+Nkando!E37+Nkando!F37+Nkando!G37+Nkando!H37+Nkando!I37</f>
        <v>0</v>
      </c>
      <c r="M37" s="40">
        <f>SUM(D37:L37)</f>
        <v>0</v>
      </c>
    </row>
    <row r="38" spans="1:13" ht="15.75" x14ac:dyDescent="0.25">
      <c r="A38" s="477"/>
      <c r="B38" s="441"/>
      <c r="C38" s="4" t="s">
        <v>144</v>
      </c>
      <c r="D38" s="13">
        <f t="shared" ref="D38:M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92">
        <f t="shared" si="8"/>
        <v>0</v>
      </c>
    </row>
    <row r="39" spans="1:13" ht="15.75" x14ac:dyDescent="0.25">
      <c r="A39" s="475" t="s">
        <v>143</v>
      </c>
      <c r="B39" s="441">
        <v>1950</v>
      </c>
      <c r="C39" s="4" t="s">
        <v>142</v>
      </c>
      <c r="D39" s="22">
        <f>Mulanje!D39+Mulanje!E39+Mulanje!F39+Mulanje!G39+Mulanje!H39+Mulanje!I39</f>
        <v>0</v>
      </c>
      <c r="E39" s="22">
        <f>Luchenza!D39+Luchenza!E39+Luchenza!F39+Luchenza!G39+Luchenza!H39+Luchenza!I39</f>
        <v>0</v>
      </c>
      <c r="F39" s="22">
        <f>Thyolo!D39+Thyolo!E39+Thyolo!F39+Thyolo!G39+Thyolo!H39+Thyolo!I39</f>
        <v>0</v>
      </c>
      <c r="G39" s="22">
        <f>Muloza!D39+Muloza!E39+Muloza!F39+Muloza!G39+Muloza!H39+Muloza!I39</f>
        <v>0</v>
      </c>
      <c r="H39" s="22">
        <f>MUST!D39+MUST!E39+MUST!F39+MUST!G39+MUST!H39+MUST!I39</f>
        <v>0</v>
      </c>
      <c r="I39" s="22">
        <f>Phalombe!D39+Phalombe!E39+Phalombe!F39+Phalombe!G39+Phalombe!H39+Phalombe!I39</f>
        <v>0</v>
      </c>
      <c r="J39" s="22">
        <f>Mikolongwe!D39+Mikolongwe!E39+Mikolongwe!F39+Mikolongwe!G39+Mikolongwe!H39+Mikolongwe!I39</f>
        <v>0</v>
      </c>
      <c r="K39" s="22">
        <f>Migowi!D39+Migowi!E39+Migowi!F39+Migowi!G39+Migowi!H39+Migowi!I39</f>
        <v>0</v>
      </c>
      <c r="L39" s="412">
        <f>Nkando!D39+Nkando!E39+Nkando!F39+Nkando!G39+Nkando!H39+Nkando!I39</f>
        <v>0</v>
      </c>
      <c r="M39" s="40">
        <f>SUM(D39:L39)</f>
        <v>0</v>
      </c>
    </row>
    <row r="40" spans="1:13" ht="15.75" x14ac:dyDescent="0.25">
      <c r="A40" s="477"/>
      <c r="B40" s="441"/>
      <c r="C40" s="37" t="s">
        <v>141</v>
      </c>
      <c r="D40" s="13">
        <f t="shared" ref="D40:M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92">
        <f t="shared" si="9"/>
        <v>0</v>
      </c>
    </row>
    <row r="41" spans="1:13" ht="15.75" x14ac:dyDescent="0.25">
      <c r="A41" s="445" t="s">
        <v>140</v>
      </c>
      <c r="B41" s="446"/>
      <c r="C41" s="4" t="s">
        <v>31</v>
      </c>
      <c r="D41" s="36">
        <f>(D29*$B29)+(D31*$B31)+(D33*$B33)+(D35*$B35)+(D37*$B37)+(D39*$B39)</f>
        <v>1436379.27</v>
      </c>
      <c r="E41" s="36">
        <f t="shared" ref="E41:L41" si="10">(E29*$B29)+(E31*$B31)+(E33*$B33)+(E35*$B35)+(E37*$B37)+(E39*$B39)</f>
        <v>603177.06000000006</v>
      </c>
      <c r="F41" s="36">
        <f t="shared" si="10"/>
        <v>2434176.4500000002</v>
      </c>
      <c r="G41" s="36">
        <f t="shared" si="10"/>
        <v>230025.15</v>
      </c>
      <c r="H41" s="36">
        <f t="shared" si="10"/>
        <v>286253.52</v>
      </c>
      <c r="I41" s="36">
        <f t="shared" si="10"/>
        <v>368040.24</v>
      </c>
      <c r="J41" s="36">
        <f t="shared" si="10"/>
        <v>71563.38</v>
      </c>
      <c r="K41" s="36">
        <f t="shared" si="10"/>
        <v>15335.01</v>
      </c>
      <c r="L41" s="36">
        <f t="shared" si="10"/>
        <v>86898.39</v>
      </c>
      <c r="M41" s="34">
        <f>SUM(D41:L41)</f>
        <v>5531848.4700000007</v>
      </c>
    </row>
    <row r="42" spans="1:13" ht="15.75" x14ac:dyDescent="0.25">
      <c r="A42" s="510" t="s">
        <v>139</v>
      </c>
      <c r="B42" s="511"/>
      <c r="C42" s="37" t="s">
        <v>117</v>
      </c>
      <c r="D42" s="13">
        <f t="shared" ref="D42:M42" si="11">D41/D9</f>
        <v>10.276588086311994</v>
      </c>
      <c r="E42" s="13">
        <f t="shared" si="11"/>
        <v>13.194292026687084</v>
      </c>
      <c r="F42" s="13">
        <f t="shared" si="11"/>
        <v>54.688304875308923</v>
      </c>
      <c r="G42" s="13">
        <f t="shared" si="11"/>
        <v>7.9106248710365223</v>
      </c>
      <c r="H42" s="13">
        <f t="shared" si="11"/>
        <v>4.7404739587645945</v>
      </c>
      <c r="I42" s="13">
        <f t="shared" si="11"/>
        <v>13.872606106294761</v>
      </c>
      <c r="J42" s="13">
        <f t="shared" si="11"/>
        <v>29.942836820083684</v>
      </c>
      <c r="K42" s="13">
        <f t="shared" si="11"/>
        <v>5.1528931451612907</v>
      </c>
      <c r="L42" s="13">
        <f t="shared" si="11"/>
        <v>13.242668393782383</v>
      </c>
      <c r="M42" s="39">
        <f t="shared" si="11"/>
        <v>15.455630814879388</v>
      </c>
    </row>
    <row r="43" spans="1:13" x14ac:dyDescent="0.25">
      <c r="A43" s="507" t="s">
        <v>138</v>
      </c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</row>
    <row r="44" spans="1:13" ht="15.75" x14ac:dyDescent="0.25">
      <c r="A44" s="445" t="s">
        <v>137</v>
      </c>
      <c r="B44" s="446"/>
      <c r="C44" s="4" t="s">
        <v>136</v>
      </c>
      <c r="D44" s="22">
        <f>Mulanje!D44+Mulanje!E44+Mulanje!F44+Mulanje!G44+Mulanje!H44+Mulanje!I44</f>
        <v>181</v>
      </c>
      <c r="E44" s="22">
        <f>Luchenza!D44+Luchenza!E44+Luchenza!F44+Luchenza!G44+Luchenza!H44+Luchenza!I44</f>
        <v>24406.98</v>
      </c>
      <c r="F44" s="22">
        <f>Thyolo!D44+Thyolo!E44+Thyolo!F44+Thyolo!G44+Thyolo!H44+Thyolo!I44</f>
        <v>96000</v>
      </c>
      <c r="G44" s="22">
        <f>Muloza!D44+Muloza!E44+Muloza!F44+Muloza!G44+Muloza!H44+Muloza!I44</f>
        <v>35279</v>
      </c>
      <c r="H44" s="22">
        <f>MUST!D44+MUST!E44+MUST!F44+MUST!G44+MUST!H44+MUST!I44</f>
        <v>34850</v>
      </c>
      <c r="I44" s="22">
        <f>Phalombe!D44+Phalombe!E44+Phalombe!F44+Phalombe!G44+Phalombe!H44+Phalombe!I44</f>
        <v>165</v>
      </c>
      <c r="J44" s="22">
        <f>Mikolongwe!D44+Mikolongwe!E44+Mikolongwe!F44+Mikolongwe!G44+Mikolongwe!H44+Mikolongwe!I44</f>
        <v>1493</v>
      </c>
      <c r="K44" s="22">
        <f>Migowi!D44+Migowi!E44+Migowi!F44+Migowi!G44+Migowi!H44+Migowi!I44</f>
        <v>1933</v>
      </c>
      <c r="L44" s="412">
        <f>Nkando!D44+Nkando!E44+Nkando!F44+Nkando!G44+Nkando!H44+Nkando!I44</f>
        <v>4043</v>
      </c>
      <c r="M44" s="34">
        <f>SUM(D44:L44)</f>
        <v>198350.97999999998</v>
      </c>
    </row>
    <row r="45" spans="1:13" ht="15.75" x14ac:dyDescent="0.25">
      <c r="A45" s="510" t="s">
        <v>135</v>
      </c>
      <c r="B45" s="511"/>
      <c r="C45" s="37" t="s">
        <v>134</v>
      </c>
      <c r="D45" s="13">
        <f t="shared" ref="D45:M45" si="12">D44/D9</f>
        <v>1.2949660876284234E-3</v>
      </c>
      <c r="E45" s="13">
        <f t="shared" si="12"/>
        <v>0.53389434540085312</v>
      </c>
      <c r="F45" s="13">
        <f t="shared" si="12"/>
        <v>2.1568186924286676</v>
      </c>
      <c r="G45" s="13">
        <f t="shared" si="12"/>
        <v>1.213254006465369</v>
      </c>
      <c r="H45" s="13">
        <f t="shared" si="12"/>
        <v>0.57713008197400018</v>
      </c>
      <c r="I45" s="13">
        <f t="shared" si="12"/>
        <v>6.2193742932529208E-3</v>
      </c>
      <c r="J45" s="13">
        <f t="shared" si="12"/>
        <v>0.62468619246861923</v>
      </c>
      <c r="K45" s="13">
        <f t="shared" si="12"/>
        <v>0.64952956989247312</v>
      </c>
      <c r="L45" s="13">
        <f t="shared" si="12"/>
        <v>0.61612313319110024</v>
      </c>
      <c r="M45" s="92">
        <f t="shared" si="12"/>
        <v>0.55417995183254265</v>
      </c>
    </row>
    <row r="46" spans="1:13" ht="15.75" x14ac:dyDescent="0.25">
      <c r="A46" s="445" t="s">
        <v>133</v>
      </c>
      <c r="B46" s="446"/>
      <c r="C46" s="4" t="s">
        <v>31</v>
      </c>
      <c r="D46" s="22">
        <f>Mulanje!D46+Mulanje!E46+Mulanje!F46+Mulanje!G46+Mulanje!H46+Mulanje!I46</f>
        <v>60430.47</v>
      </c>
      <c r="E46" s="22">
        <f>Luchenza!D46+Luchenza!E46+Luchenza!F46+Luchenza!G46+Luchenza!H46+Luchenza!I46</f>
        <v>8148758.4125999995</v>
      </c>
      <c r="F46" s="22">
        <f>Thyolo!D46+Thyolo!E46+Thyolo!F46+Thyolo!G46+Thyolo!H46+Thyolo!I46</f>
        <v>19646068.5</v>
      </c>
      <c r="G46" s="22">
        <f>Muloza!D46+Muloza!E46+Muloza!F46+Muloza!G46+Muloza!H46+Muloza!I46</f>
        <v>11778599.73</v>
      </c>
      <c r="H46" s="22">
        <f>MUST!D46+MUST!E46+MUST!F46+MUST!G46+MUST!H46+MUST!I46</f>
        <v>11635369.5</v>
      </c>
      <c r="I46" s="22">
        <f>Phalombe!D46+Phalombe!E46+Phalombe!F46+Phalombe!G46+Phalombe!H46+Phalombe!I46</f>
        <v>48767.399999999994</v>
      </c>
      <c r="J46" s="22">
        <f>Mikolongwe!D46+Mikolongwe!E46+Mikolongwe!F46+Mikolongwe!G46+Mikolongwe!H46+Mikolongwe!I46</f>
        <v>498467.91000000003</v>
      </c>
      <c r="K46" s="22">
        <f>Migowi!D46+Migowi!E46+Migowi!F46+Migowi!G46+Migowi!H46+Migowi!I46</f>
        <v>645370.71</v>
      </c>
      <c r="L46" s="412">
        <f>Nkando!D46+Nkando!E46+Nkando!F46+Nkando!G46+Nkando!H46+Nkando!I46</f>
        <v>1349836.4100000001</v>
      </c>
      <c r="M46" s="34">
        <f>SUM(D46:L46)</f>
        <v>53811669.042599991</v>
      </c>
    </row>
    <row r="47" spans="1:13" ht="15.75" x14ac:dyDescent="0.25">
      <c r="A47" s="445" t="s">
        <v>132</v>
      </c>
      <c r="B47" s="446"/>
      <c r="C47" s="4" t="s">
        <v>117</v>
      </c>
      <c r="D47" s="13">
        <f t="shared" ref="D47:M47" si="13">D46/D9</f>
        <v>0.43235032767650172</v>
      </c>
      <c r="E47" s="13">
        <f t="shared" si="13"/>
        <v>178.25130509898281</v>
      </c>
      <c r="F47" s="13">
        <f t="shared" si="13"/>
        <v>441.38549764097957</v>
      </c>
      <c r="G47" s="13">
        <f t="shared" si="13"/>
        <v>405.06911513859279</v>
      </c>
      <c r="H47" s="13">
        <f t="shared" si="13"/>
        <v>192.68642046865943</v>
      </c>
      <c r="I47" s="13">
        <f t="shared" si="13"/>
        <v>1.8381982661138332</v>
      </c>
      <c r="J47" s="13">
        <f t="shared" si="13"/>
        <v>208.56397907949793</v>
      </c>
      <c r="K47" s="13">
        <f t="shared" si="13"/>
        <v>216.85843749999998</v>
      </c>
      <c r="L47" s="13">
        <f t="shared" si="13"/>
        <v>205.70503047851267</v>
      </c>
      <c r="M47" s="92">
        <f t="shared" si="13"/>
        <v>150.34636157611519</v>
      </c>
    </row>
    <row r="48" spans="1:13" x14ac:dyDescent="0.25">
      <c r="A48" s="507" t="s">
        <v>131</v>
      </c>
      <c r="B48" s="508"/>
      <c r="C48" s="508"/>
      <c r="D48" s="508"/>
      <c r="E48" s="508"/>
      <c r="F48" s="508"/>
      <c r="G48" s="508"/>
      <c r="H48" s="508"/>
      <c r="I48" s="508"/>
      <c r="J48" s="508"/>
      <c r="K48" s="508"/>
      <c r="L48" s="508"/>
      <c r="M48" s="509"/>
    </row>
    <row r="49" spans="1:13" ht="15.75" x14ac:dyDescent="0.25">
      <c r="A49" s="445" t="s">
        <v>130</v>
      </c>
      <c r="B49" s="446"/>
      <c r="C49" s="4" t="s">
        <v>129</v>
      </c>
      <c r="D49" s="22">
        <f>Mulanje!D49+Mulanje!E49+Mulanje!F49+Mulanje!G49+Mulanje!H49+Mulanje!I49</f>
        <v>2614</v>
      </c>
      <c r="E49" s="22">
        <f>Luchenza!D49+Luchenza!E49+Luchenza!F49+Luchenza!G49+Luchenza!H49+Luchenza!I49</f>
        <v>0</v>
      </c>
      <c r="F49" s="22">
        <f>Thyolo!D49+Thyolo!E49+Thyolo!F49+Thyolo!G49+Thyolo!H49+Thyolo!I49</f>
        <v>0</v>
      </c>
      <c r="G49" s="22">
        <f>Muloza!D49+Muloza!E49+Muloza!F49+Muloza!G49+Muloza!H49+Muloza!I49</f>
        <v>0</v>
      </c>
      <c r="H49" s="22">
        <f>MUST!D49+MUST!E49+MUST!F49+MUST!G49+MUST!H49+MUST!I49</f>
        <v>0</v>
      </c>
      <c r="I49" s="22">
        <f>Phalombe!D49+Phalombe!E49+Phalombe!F49+Phalombe!G49+Phalombe!H49+Phalombe!I49</f>
        <v>0</v>
      </c>
      <c r="J49" s="22">
        <f>Mikolongwe!D49+Mikolongwe!E49+Mikolongwe!F49+Mikolongwe!G49+Mikolongwe!H49+Mikolongwe!I49</f>
        <v>0</v>
      </c>
      <c r="K49" s="22">
        <f>Migowi!D49+Migowi!E49+Migowi!F49+Migowi!G49+Migowi!H49+Migowi!I49</f>
        <v>0</v>
      </c>
      <c r="L49" s="412">
        <f>Nkando!D49+Nkando!E49+Nkando!F49+Nkando!G49+Nkando!H49+Nkando!I49</f>
        <v>0</v>
      </c>
      <c r="M49" s="34">
        <f>SUM(D49:L49)</f>
        <v>2614</v>
      </c>
    </row>
    <row r="50" spans="1:13" ht="15.75" x14ac:dyDescent="0.25">
      <c r="A50" s="445" t="s">
        <v>189</v>
      </c>
      <c r="B50" s="446"/>
      <c r="C50" s="4" t="s">
        <v>128</v>
      </c>
      <c r="D50" s="22">
        <f>Mulanje!D50+Mulanje!E50+Mulanje!F50+Mulanje!G50+Mulanje!H50+Mulanje!I50</f>
        <v>261</v>
      </c>
      <c r="E50" s="22">
        <f>Luchenza!D50+Luchenza!E50+Luchenza!F50+Luchenza!G50+Luchenza!H50+Luchenza!I50</f>
        <v>271</v>
      </c>
      <c r="F50" s="22">
        <f>Thyolo!D50+Thyolo!E50+Thyolo!F50+Thyolo!G50+Thyolo!H50+Thyolo!I50</f>
        <v>0</v>
      </c>
      <c r="G50" s="22">
        <f>Muloza!D50+Muloza!E50+Muloza!F50+Muloza!G50+Muloza!H50+Muloza!I50</f>
        <v>0</v>
      </c>
      <c r="H50" s="22">
        <f>MUST!D50+MUST!E50+MUST!F50+MUST!G50+MUST!H50+MUST!I50</f>
        <v>0</v>
      </c>
      <c r="I50" s="22">
        <f>Phalombe!D50+Phalombe!E50+Phalombe!F50+Phalombe!G50+Phalombe!H50+Phalombe!I50</f>
        <v>0</v>
      </c>
      <c r="J50" s="22">
        <f>Mikolongwe!D50+Mikolongwe!E50+Mikolongwe!F50+Mikolongwe!G50+Mikolongwe!H50+Mikolongwe!I50</f>
        <v>0</v>
      </c>
      <c r="K50" s="22">
        <f>Migowi!D50+Migowi!E50+Migowi!F50+Migowi!G50+Migowi!H50+Migowi!I50</f>
        <v>0</v>
      </c>
      <c r="L50" s="412">
        <f>Nkando!D50+Nkando!E50+Nkando!F50+Nkando!G50+Nkando!H50+Nkando!I50</f>
        <v>0</v>
      </c>
      <c r="M50" s="34">
        <f>SUM(D50:L50)</f>
        <v>532</v>
      </c>
    </row>
    <row r="51" spans="1:13" ht="15.75" x14ac:dyDescent="0.25">
      <c r="A51" s="445" t="s">
        <v>127</v>
      </c>
      <c r="B51" s="446"/>
      <c r="C51" s="4" t="s">
        <v>31</v>
      </c>
      <c r="D51" s="22">
        <f>Mulanje!D51+Mulanje!E51+Mulanje!F51+Mulanje!G51+Mulanje!H51+Mulanje!I51</f>
        <v>1745307</v>
      </c>
      <c r="E51" s="22">
        <f>Luchenza!D51+Luchenza!E51+Luchenza!F51+Luchenza!G51+Luchenza!H51+Luchenza!I51</f>
        <v>1812177</v>
      </c>
      <c r="F51" s="22">
        <f>Thyolo!D51+Thyolo!E51+Thyolo!F51+Thyolo!G51+Thyolo!H51+Thyolo!I51</f>
        <v>0</v>
      </c>
      <c r="G51" s="22">
        <f>Muloza!D51+Muloza!E51+Muloza!F51+Muloza!G51+Muloza!H51+Muloza!I51</f>
        <v>0</v>
      </c>
      <c r="H51" s="22">
        <f>MUST!D51+MUST!E51+MUST!F51+MUST!G51+MUST!H51+MUST!I51</f>
        <v>0</v>
      </c>
      <c r="I51" s="22">
        <f>Phalombe!D51+Phalombe!E51+Phalombe!F51+Phalombe!G51+Phalombe!H51+Phalombe!I51</f>
        <v>0</v>
      </c>
      <c r="J51" s="22">
        <f>Mikolongwe!D51+Mikolongwe!E51+Mikolongwe!F51+Mikolongwe!G51+Mikolongwe!H51+Mikolongwe!I51</f>
        <v>0</v>
      </c>
      <c r="K51" s="22">
        <f>Migowi!D51+Migowi!E51+Migowi!F51+Migowi!G51+Migowi!H51+Migowi!I51</f>
        <v>0</v>
      </c>
      <c r="L51" s="412">
        <f>Nkando!D51+Nkando!E51+Nkando!F51+Nkando!G51+Nkando!H51+Nkando!I51</f>
        <v>0</v>
      </c>
      <c r="M51" s="35">
        <f>SUM(D51:L51)</f>
        <v>3557484</v>
      </c>
    </row>
    <row r="52" spans="1:13" ht="15.75" x14ac:dyDescent="0.25">
      <c r="A52" s="445" t="s">
        <v>126</v>
      </c>
      <c r="B52" s="446"/>
      <c r="C52" s="4" t="s">
        <v>31</v>
      </c>
      <c r="D52" s="22">
        <f>Mulanje!D52+Mulanje!E52+Mulanje!F52+Mulanje!G52+Mulanje!H52+Mulanje!I52</f>
        <v>0</v>
      </c>
      <c r="E52" s="22">
        <f>Luchenza!D52+Luchenza!E52+Luchenza!F52+Luchenza!G52+Luchenza!H52+Luchenza!I52</f>
        <v>0</v>
      </c>
      <c r="F52" s="22">
        <f>Thyolo!D52+Thyolo!E52+Thyolo!F52+Thyolo!G52+Thyolo!H52+Thyolo!I52</f>
        <v>0</v>
      </c>
      <c r="G52" s="22">
        <f>Muloza!D52+Muloza!E52+Muloza!F52+Muloza!G52+Muloza!H52+Muloza!I52</f>
        <v>0</v>
      </c>
      <c r="H52" s="22">
        <f>MUST!D52+MUST!E52+MUST!F52+MUST!G52+MUST!H52+MUST!I52</f>
        <v>0</v>
      </c>
      <c r="I52" s="22">
        <f>Phalombe!D52+Phalombe!E52+Phalombe!F52+Phalombe!G52+Phalombe!H52+Phalombe!I52</f>
        <v>0</v>
      </c>
      <c r="J52" s="22">
        <f>Mikolongwe!D52+Mikolongwe!E52+Mikolongwe!F52+Mikolongwe!G52+Mikolongwe!H52+Mikolongwe!I52</f>
        <v>0</v>
      </c>
      <c r="K52" s="22">
        <f>Migowi!D52+Migowi!E52+Migowi!F52+Migowi!G52+Migowi!H52+Migowi!I52</f>
        <v>0</v>
      </c>
      <c r="L52" s="412">
        <f>Nkando!D52+Nkando!E52+Nkando!F52+Nkando!G52+Nkando!H52+Nkando!I52</f>
        <v>0</v>
      </c>
      <c r="M52" s="35">
        <f>SUM(D52:L52)</f>
        <v>0</v>
      </c>
    </row>
    <row r="53" spans="1:13" x14ac:dyDescent="0.25">
      <c r="A53" s="507" t="s">
        <v>125</v>
      </c>
      <c r="B53" s="508"/>
      <c r="C53" s="508"/>
      <c r="D53" s="508"/>
      <c r="E53" s="508"/>
      <c r="F53" s="508"/>
      <c r="G53" s="508"/>
      <c r="H53" s="508"/>
      <c r="I53" s="508"/>
      <c r="J53" s="508"/>
      <c r="K53" s="508"/>
      <c r="L53" s="508"/>
      <c r="M53" s="509"/>
    </row>
    <row r="54" spans="1:13" ht="15.75" x14ac:dyDescent="0.25">
      <c r="A54" s="445" t="s">
        <v>124</v>
      </c>
      <c r="B54" s="446"/>
      <c r="C54" s="4" t="s">
        <v>18</v>
      </c>
      <c r="D54" s="22">
        <f>Mulanje!D54+Mulanje!E54+Mulanje!F54+Mulanje!G54+Mulanje!H54+Mulanje!I54</f>
        <v>57014853.320000008</v>
      </c>
      <c r="E54" s="22">
        <f>Luchenza!D54+Luchenza!E54+Luchenza!F54+Luchenza!G54+Luchenza!H54+Luchenza!I54</f>
        <v>26634969.889999997</v>
      </c>
      <c r="F54" s="22">
        <f>Thyolo!D54+Thyolo!E54+Thyolo!F54+Thyolo!G54+Thyolo!H54+Thyolo!I54</f>
        <v>38481071</v>
      </c>
      <c r="G54" s="22">
        <f>Muloza!D54+Muloza!E54+Muloza!F54+Muloza!G54+Muloza!H54+Muloza!I54</f>
        <v>16825000.289999999</v>
      </c>
      <c r="H54" s="22">
        <f>MUST!D54+MUST!E54+MUST!F54+MUST!G54+MUST!H54+MUST!I54</f>
        <v>28295131.860000003</v>
      </c>
      <c r="I54" s="22">
        <f>Phalombe!D54+Phalombe!E54+Phalombe!F54+Phalombe!G54+Phalombe!H54+Phalombe!I54</f>
        <v>15235047.120000001</v>
      </c>
      <c r="J54" s="22">
        <f>Mikolongwe!D54+Mikolongwe!E54+Mikolongwe!F54+Mikolongwe!G54+Mikolongwe!H54+Mikolongwe!I54</f>
        <v>3158546.63</v>
      </c>
      <c r="K54" s="22">
        <f>Migowi!D54+Migowi!E54+Migowi!F54+Migowi!G54+Migowi!H54+Migowi!I54</f>
        <v>0</v>
      </c>
      <c r="L54" s="412">
        <f>Nkando!D54+Nkando!E54+Nkando!F54+Nkando!G54+Nkando!H54+Nkando!I54</f>
        <v>0</v>
      </c>
      <c r="M54" s="34">
        <f>SUM(D54:L54)</f>
        <v>185644620.11000001</v>
      </c>
    </row>
    <row r="55" spans="1:13" ht="15.75" x14ac:dyDescent="0.25">
      <c r="A55" s="68" t="s">
        <v>123</v>
      </c>
      <c r="B55" s="69"/>
      <c r="C55" s="4" t="s">
        <v>18</v>
      </c>
      <c r="D55" s="22">
        <f>Mulanje!D55+Mulanje!E55+Mulanje!F55+Mulanje!G55+Mulanje!H55+Mulanje!I55</f>
        <v>8932287.1259999983</v>
      </c>
      <c r="E55" s="22">
        <f>Luchenza!D55+Luchenza!E55+Luchenza!F55+Luchenza!G55+Luchenza!H55+Luchenza!I55</f>
        <v>7465428.7510000002</v>
      </c>
      <c r="F55" s="22">
        <f>Thyolo!D55+Thyolo!E55+Thyolo!F55+Thyolo!G55+Thyolo!H55+Thyolo!I55</f>
        <v>8965006.9010000005</v>
      </c>
      <c r="G55" s="22">
        <f>Muloza!D55+Muloza!E55+Muloza!F55+Muloza!G55+Muloza!H55+Muloza!I55</f>
        <v>3844445.2525000004</v>
      </c>
      <c r="H55" s="22">
        <f>MUST!D55+MUST!E55+MUST!F55+MUST!G55+MUST!H55+MUST!I55</f>
        <v>3158418.64</v>
      </c>
      <c r="I55" s="22">
        <f>Phalombe!D55+Phalombe!E55+Phalombe!F55+Phalombe!G55+Phalombe!H55+Phalombe!I55</f>
        <v>4376015.1404999997</v>
      </c>
      <c r="J55" s="22">
        <f>Mikolongwe!D55+Mikolongwe!E55+Mikolongwe!F55+Mikolongwe!G55+Mikolongwe!H55+Mikolongwe!I55</f>
        <v>877962.04</v>
      </c>
      <c r="K55" s="22">
        <f>Migowi!D55+Migowi!E55+Migowi!F55+Migowi!G55+Migowi!H55+Migowi!I55</f>
        <v>1285672.5</v>
      </c>
      <c r="L55" s="412">
        <f>Nkando!D55+Nkando!E55+Nkando!F55+Nkando!G55+Nkando!H55+Nkando!I55</f>
        <v>2401686.42</v>
      </c>
      <c r="M55" s="34">
        <f>SUM(D55:L55)</f>
        <v>41306922.770999998</v>
      </c>
    </row>
    <row r="56" spans="1:13" ht="15.75" x14ac:dyDescent="0.25">
      <c r="A56" s="445" t="s">
        <v>122</v>
      </c>
      <c r="B56" s="446"/>
      <c r="C56" s="4" t="s">
        <v>18</v>
      </c>
      <c r="D56" s="22">
        <f>Mulanje!D56+Mulanje!E56+Mulanje!F56+Mulanje!G56+Mulanje!H56+Mulanje!I56</f>
        <v>16219993.630000001</v>
      </c>
      <c r="E56" s="22">
        <f>Luchenza!D56+Luchenza!E56+Luchenza!F56+Luchenza!G56+Luchenza!H56+Luchenza!I56</f>
        <v>8423542.1799999997</v>
      </c>
      <c r="F56" s="22">
        <f>Thyolo!D56+Thyolo!E56+Thyolo!F56+Thyolo!G56+Thyolo!H56+Thyolo!I56</f>
        <v>9620382</v>
      </c>
      <c r="G56" s="22">
        <f>Muloza!D56+Muloza!E56+Muloza!F56+Muloza!G56+Muloza!H56+Muloza!I56</f>
        <v>6758344.8399999999</v>
      </c>
      <c r="H56" s="22">
        <f>MUST!D56+MUST!E56+MUST!F56+MUST!G56+MUST!H56+MUST!I56</f>
        <v>19961199.09</v>
      </c>
      <c r="I56" s="22">
        <f>Phalombe!D56+Phalombe!E56+Phalombe!F56+Phalombe!G56+Phalombe!H56+Phalombe!I56</f>
        <v>5903701.0800000001</v>
      </c>
      <c r="J56" s="22">
        <f>Mikolongwe!D56+Mikolongwe!E56+Mikolongwe!F56+Mikolongwe!G56+Mikolongwe!H56+Mikolongwe!I56</f>
        <v>250000</v>
      </c>
      <c r="K56" s="22">
        <f>Migowi!D56+Migowi!E56+Migowi!F56+Migowi!G56+Migowi!H56+Migowi!I56</f>
        <v>0</v>
      </c>
      <c r="L56" s="412">
        <f>Nkando!D56+Nkando!E56+Nkando!F56+Nkando!G56+Nkando!H56+Nkando!I56</f>
        <v>0</v>
      </c>
      <c r="M56" s="34">
        <f>SUM(D56:L56)</f>
        <v>67137162.820000008</v>
      </c>
    </row>
    <row r="57" spans="1:13" x14ac:dyDescent="0.25">
      <c r="A57" s="507" t="s">
        <v>121</v>
      </c>
      <c r="B57" s="508"/>
      <c r="C57" s="508"/>
      <c r="D57" s="508"/>
      <c r="E57" s="508"/>
      <c r="F57" s="508"/>
      <c r="G57" s="508"/>
      <c r="H57" s="508"/>
      <c r="I57" s="508"/>
      <c r="J57" s="508"/>
      <c r="K57" s="508"/>
      <c r="L57" s="508"/>
      <c r="M57" s="509"/>
    </row>
    <row r="58" spans="1:13" ht="15.75" x14ac:dyDescent="0.25">
      <c r="A58" s="445" t="s">
        <v>120</v>
      </c>
      <c r="B58" s="446"/>
      <c r="C58" s="4" t="s">
        <v>18</v>
      </c>
      <c r="D58" s="11">
        <f>D41+D46+D51+D52+D54+D55+D56</f>
        <v>85409250.816</v>
      </c>
      <c r="E58" s="11">
        <f t="shared" ref="E58:K58" si="14">E41+E46+E51+E52+E54+E55+E56</f>
        <v>53088053.2936</v>
      </c>
      <c r="F58" s="11">
        <f t="shared" si="14"/>
        <v>79146704.851000011</v>
      </c>
      <c r="G58" s="11">
        <f t="shared" si="14"/>
        <v>39436415.262500003</v>
      </c>
      <c r="H58" s="11">
        <f t="shared" si="14"/>
        <v>63336372.609999999</v>
      </c>
      <c r="I58" s="11">
        <f t="shared" si="14"/>
        <v>25931570.980499998</v>
      </c>
      <c r="J58" s="11">
        <f t="shared" si="14"/>
        <v>4856539.96</v>
      </c>
      <c r="K58" s="11">
        <f t="shared" si="14"/>
        <v>1946378.22</v>
      </c>
      <c r="L58" s="427">
        <f>Nkando!D58+Nkando!E58+Nkando!F58+Nkando!G58+Nkando!H58+Nkando!I58</f>
        <v>3838421.22</v>
      </c>
      <c r="M58" s="34">
        <f>SUM(G58:L58)</f>
        <v>139345698.25299999</v>
      </c>
    </row>
    <row r="59" spans="1:13" ht="15.75" x14ac:dyDescent="0.25">
      <c r="A59" s="445" t="s">
        <v>119</v>
      </c>
      <c r="B59" s="446"/>
      <c r="C59" s="4" t="s">
        <v>117</v>
      </c>
      <c r="D59" s="13">
        <f t="shared" ref="D59:L59" si="15">D58/D9</f>
        <v>611.06123412414502</v>
      </c>
      <c r="E59" s="13">
        <f t="shared" si="15"/>
        <v>1161.2830207503007</v>
      </c>
      <c r="F59" s="13">
        <f t="shared" si="15"/>
        <v>1778.1780465288703</v>
      </c>
      <c r="G59" s="13">
        <f t="shared" si="15"/>
        <v>1356.2286010901714</v>
      </c>
      <c r="H59" s="13">
        <f t="shared" si="15"/>
        <v>1048.8759229941211</v>
      </c>
      <c r="I59" s="13">
        <f t="shared" si="15"/>
        <v>977.4433087259705</v>
      </c>
      <c r="J59" s="13">
        <f t="shared" si="15"/>
        <v>2032.0250878661088</v>
      </c>
      <c r="K59" s="13">
        <f t="shared" si="15"/>
        <v>654.02493951612905</v>
      </c>
      <c r="L59" s="13">
        <f t="shared" si="15"/>
        <v>584.94684852179216</v>
      </c>
      <c r="M59" s="35">
        <f>M58/M9</f>
        <v>389.32296853748619</v>
      </c>
    </row>
    <row r="60" spans="1:13" ht="15.75" x14ac:dyDescent="0.25">
      <c r="A60" s="445" t="s">
        <v>118</v>
      </c>
      <c r="B60" s="446"/>
      <c r="C60" s="4" t="s">
        <v>117</v>
      </c>
      <c r="D60" s="13">
        <f>D58/D22</f>
        <v>859.1740069064474</v>
      </c>
      <c r="E60" s="13">
        <f t="shared" ref="E60:L60" si="16">E58/E22</f>
        <v>1634.2328241834693</v>
      </c>
      <c r="F60" s="13">
        <f t="shared" si="16"/>
        <v>2750.1739075639016</v>
      </c>
      <c r="G60" s="13">
        <f t="shared" si="16"/>
        <v>2079.3216947432247</v>
      </c>
      <c r="H60" s="13">
        <f t="shared" si="16"/>
        <v>1325.8608459284069</v>
      </c>
      <c r="I60" s="13">
        <f t="shared" si="16"/>
        <v>1363.5492714944501</v>
      </c>
      <c r="J60" s="13">
        <f t="shared" si="16"/>
        <v>2489.2567708867246</v>
      </c>
      <c r="K60" s="13">
        <f t="shared" si="16"/>
        <v>789.92622564935061</v>
      </c>
      <c r="L60" s="13">
        <f t="shared" si="16"/>
        <v>759.34661813290086</v>
      </c>
      <c r="M60" s="154">
        <f>M58/M22</f>
        <v>544.54043843834029</v>
      </c>
    </row>
    <row r="61" spans="1:13" ht="15.75" x14ac:dyDescent="0.25">
      <c r="A61" s="445" t="s">
        <v>116</v>
      </c>
      <c r="B61" s="446"/>
      <c r="C61" s="4" t="s">
        <v>3</v>
      </c>
      <c r="D61" s="22">
        <f>Mulanje!I61</f>
        <v>0</v>
      </c>
      <c r="E61" s="22">
        <f>Luchenza!I61</f>
        <v>0</v>
      </c>
      <c r="F61" s="22">
        <f>Thyolo!I61</f>
        <v>0</v>
      </c>
      <c r="G61" s="22">
        <f>Muloza!I61</f>
        <v>0</v>
      </c>
      <c r="H61" s="22">
        <f>MUST!I61</f>
        <v>0</v>
      </c>
      <c r="I61" s="22">
        <f>Phalombe!I61</f>
        <v>0</v>
      </c>
      <c r="J61" s="22">
        <f>Mikolongwe!I61</f>
        <v>0</v>
      </c>
      <c r="K61" s="22">
        <f>Migowi!I61</f>
        <v>0</v>
      </c>
      <c r="L61" s="22">
        <f>Nkando!J61</f>
        <v>0</v>
      </c>
      <c r="M61" s="34">
        <f>SUM(D61:L61)</f>
        <v>0</v>
      </c>
    </row>
    <row r="62" spans="1:13" ht="15.6" customHeight="1" x14ac:dyDescent="0.25">
      <c r="A62" s="445" t="s">
        <v>115</v>
      </c>
      <c r="B62" s="446"/>
      <c r="C62" s="4" t="s">
        <v>114</v>
      </c>
      <c r="D62" s="13">
        <f t="shared" ref="D62:M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13">
        <f t="shared" si="17"/>
        <v>0</v>
      </c>
      <c r="M62" s="35">
        <f t="shared" si="17"/>
        <v>0</v>
      </c>
    </row>
    <row r="63" spans="1:13" ht="15.75" x14ac:dyDescent="0.25">
      <c r="A63" s="502" t="s">
        <v>113</v>
      </c>
      <c r="B63" s="503"/>
      <c r="C63" s="33" t="s">
        <v>3</v>
      </c>
      <c r="D63" s="22">
        <f>Mulanje!I63</f>
        <v>0</v>
      </c>
      <c r="E63" s="22">
        <f>Luchenza!I63</f>
        <v>0</v>
      </c>
      <c r="F63" s="22">
        <f>Thyolo!I63</f>
        <v>0</v>
      </c>
      <c r="G63" s="22">
        <f>Muloza!I63</f>
        <v>0</v>
      </c>
      <c r="H63" s="22">
        <f>MUST!I63</f>
        <v>0</v>
      </c>
      <c r="I63" s="22">
        <f>Phalombe!I63</f>
        <v>0</v>
      </c>
      <c r="J63" s="22">
        <f>Mikolongwe!I63</f>
        <v>0</v>
      </c>
      <c r="K63" s="22">
        <f>Migowi!I63</f>
        <v>0</v>
      </c>
      <c r="L63" s="22">
        <f>Nkando!J63</f>
        <v>0</v>
      </c>
      <c r="M63" s="34">
        <f>SUM(D63:L63)</f>
        <v>0</v>
      </c>
    </row>
    <row r="64" spans="1:13" x14ac:dyDescent="0.25">
      <c r="A64" s="504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6"/>
    </row>
    <row r="65" spans="1:13" ht="14.45" customHeight="1" x14ac:dyDescent="0.25">
      <c r="A65" s="507" t="s">
        <v>112</v>
      </c>
      <c r="B65" s="508"/>
      <c r="C65" s="508"/>
      <c r="D65" s="508"/>
      <c r="E65" s="508"/>
      <c r="F65" s="508"/>
      <c r="G65" s="508"/>
      <c r="H65" s="508"/>
      <c r="I65" s="508"/>
      <c r="J65" s="508"/>
      <c r="K65" s="508"/>
      <c r="L65" s="508"/>
      <c r="M65" s="509"/>
    </row>
    <row r="66" spans="1:13" ht="15.75" x14ac:dyDescent="0.25">
      <c r="A66" s="493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Thyolo!D66</f>
        <v>8</v>
      </c>
      <c r="G66" s="22">
        <f>Muloza!D66</f>
        <v>52</v>
      </c>
      <c r="H66" s="22">
        <f>MUST!D66</f>
        <v>1</v>
      </c>
      <c r="I66" s="22">
        <f>Phalombe!D66</f>
        <v>38</v>
      </c>
      <c r="J66" s="22">
        <f>Mikolongwe!D66</f>
        <v>0</v>
      </c>
      <c r="K66" s="22">
        <f>Migowi!D66</f>
        <v>0</v>
      </c>
      <c r="L66" s="22">
        <f>Nkando!E66</f>
        <v>6</v>
      </c>
      <c r="M66" s="155">
        <f>SUM(D66:L66)</f>
        <v>153</v>
      </c>
    </row>
    <row r="67" spans="1:13" ht="15.75" x14ac:dyDescent="0.25">
      <c r="A67" s="494"/>
      <c r="B67" s="21" t="s">
        <v>106</v>
      </c>
      <c r="C67" s="4" t="s">
        <v>3</v>
      </c>
      <c r="D67" s="22">
        <f>Mulanje!D67+Mulanje!E67+Mulanje!F67+Mulanje!G67+Mulanje!H67+Mulanje!I67</f>
        <v>70</v>
      </c>
      <c r="E67" s="22">
        <f>Luchenza!D67+Luchenza!E67+Luchenza!F67+Luchenza!G67+Luchenza!H67+Luchenza!I67</f>
        <v>54</v>
      </c>
      <c r="F67" s="22">
        <f>Thyolo!D67+Thyolo!E67+Thyolo!F67+Thyolo!G67+Thyolo!H67+Thyolo!I67</f>
        <v>44</v>
      </c>
      <c r="G67" s="22">
        <f>Muloza!D67+Muloza!E67+Muloza!F67+Muloza!G67+Muloza!H67+Muloza!I67</f>
        <v>29</v>
      </c>
      <c r="H67" s="22">
        <f>MUST!D67+MUST!E67+MUST!F67+MUST!G67+MUST!H67+MUST!I67</f>
        <v>17</v>
      </c>
      <c r="I67" s="22">
        <f>Phalombe!D67+Phalombe!E67+Phalombe!F67+Phalombe!G67+Phalombe!H67+Phalombe!I67</f>
        <v>16</v>
      </c>
      <c r="J67" s="22">
        <f>Mikolongwe!D67+Mikolongwe!E67+Mikolongwe!F67+Mikolongwe!G67+Mikolongwe!H67+Mikolongwe!I67</f>
        <v>0</v>
      </c>
      <c r="K67" s="22">
        <f>Migowi!D67+Migowi!E67+Migowi!F67+Migowi!G67+Migowi!H67+Migowi!I67</f>
        <v>0</v>
      </c>
      <c r="L67" s="412">
        <f>Nkando!D67+Nkando!E67+Nkando!F67+Nkando!G67+Nkando!H67+Nkando!I67</f>
        <v>7</v>
      </c>
      <c r="M67" s="155">
        <f>SUM(D67:L67)</f>
        <v>237</v>
      </c>
    </row>
    <row r="68" spans="1:13" ht="26.25" x14ac:dyDescent="0.25">
      <c r="A68" s="494"/>
      <c r="B68" s="21" t="s">
        <v>105</v>
      </c>
      <c r="C68" s="4" t="s">
        <v>3</v>
      </c>
      <c r="D68" s="22">
        <f>Mulanje!D68+Mulanje!E68+Mulanje!F68+Mulanje!G68+Mulanje!H68+Mulanje!I68</f>
        <v>0</v>
      </c>
      <c r="E68" s="22">
        <f>Luchenza!D68+Luchenza!E68+Luchenza!F68+Luchenza!G68+Luchenza!H68+Luchenza!I68</f>
        <v>5</v>
      </c>
      <c r="F68" s="22">
        <f>Thyolo!D68+Thyolo!E68+Thyolo!F68+Thyolo!G68+Thyolo!H68+Thyolo!I68</f>
        <v>2</v>
      </c>
      <c r="G68" s="22">
        <f>Muloza!D68+Muloza!E68+Muloza!F68+Muloza!G68+Muloza!H68+Muloza!I68</f>
        <v>1</v>
      </c>
      <c r="H68" s="22">
        <f>MUST!D68+MUST!E68+MUST!F68+MUST!G68+MUST!H68+MUST!I68</f>
        <v>11</v>
      </c>
      <c r="I68" s="22">
        <f>Phalombe!D68+Phalombe!E68+Phalombe!F68+Phalombe!G68+Phalombe!H68+Phalombe!I68</f>
        <v>0</v>
      </c>
      <c r="J68" s="22">
        <f>Mikolongwe!D68+Mikolongwe!E68+Mikolongwe!F68+Mikolongwe!G68+Mikolongwe!H68+Mikolongwe!I68</f>
        <v>0</v>
      </c>
      <c r="K68" s="22">
        <f>Migowi!D68+Migowi!E68+Migowi!F68+Migowi!G68+Migowi!H68+Migowi!I68</f>
        <v>0</v>
      </c>
      <c r="L68" s="412">
        <f>Nkando!D68+Nkando!E68+Nkando!F68+Nkando!G68+Nkando!H68+Nkando!I68</f>
        <v>0</v>
      </c>
      <c r="M68" s="155">
        <f>SUM(D68:L68)</f>
        <v>19</v>
      </c>
    </row>
    <row r="69" spans="1:13" ht="26.25" x14ac:dyDescent="0.25">
      <c r="A69" s="494"/>
      <c r="B69" s="21" t="s">
        <v>104</v>
      </c>
      <c r="C69" s="4" t="s">
        <v>3</v>
      </c>
      <c r="D69" s="22">
        <f>Mulanje!D69+Mulanje!E69+Mulanje!F69+Mulanje!G69+Mulanje!H69+Mulanje!I69</f>
        <v>60</v>
      </c>
      <c r="E69" s="22">
        <f>Luchenza!D69+Luchenza!E69+Luchenza!F69+Luchenza!G69+Luchenza!H69+Luchenza!I69</f>
        <v>44</v>
      </c>
      <c r="F69" s="22">
        <f>Thyolo!D69+Thyolo!E69+Thyolo!F69+Thyolo!G69+Thyolo!H69+Thyolo!I69</f>
        <v>34</v>
      </c>
      <c r="G69" s="22">
        <f>Muloza!D69+Muloza!E69+Muloza!F69+Muloza!G69+Muloza!H69+Muloza!I69</f>
        <v>15</v>
      </c>
      <c r="H69" s="22">
        <f>MUST!D69+MUST!E69+MUST!F69+MUST!G69+MUST!H69+MUST!I69</f>
        <v>4</v>
      </c>
      <c r="I69" s="22">
        <f>Phalombe!D69+Phalombe!E69+Phalombe!F69+Phalombe!G69+Phalombe!H69+Phalombe!I69</f>
        <v>14</v>
      </c>
      <c r="J69" s="22">
        <f>Mikolongwe!D69+Mikolongwe!E69+Mikolongwe!F69+Mikolongwe!G69+Mikolongwe!H69+Mikolongwe!I69</f>
        <v>0</v>
      </c>
      <c r="K69" s="22">
        <f>Migowi!D69+Migowi!E69+Migowi!F69+Migowi!G69+Migowi!H69+Migowi!I69</f>
        <v>0</v>
      </c>
      <c r="L69" s="412">
        <f>Nkando!D69+Nkando!E69+Nkando!F69+Nkando!G69+Nkando!H69+Nkando!I69</f>
        <v>9</v>
      </c>
      <c r="M69" s="155">
        <f>SUM(D69:L69)</f>
        <v>180</v>
      </c>
    </row>
    <row r="70" spans="1:13" ht="15.75" x14ac:dyDescent="0.25">
      <c r="A70" s="494"/>
      <c r="B70" s="21" t="s">
        <v>190</v>
      </c>
      <c r="C70" s="4" t="s">
        <v>3</v>
      </c>
      <c r="D70" s="3">
        <f>D68+D69</f>
        <v>60</v>
      </c>
      <c r="E70" s="3">
        <f t="shared" ref="E70:M70" si="18">E68+E69</f>
        <v>49</v>
      </c>
      <c r="F70" s="3">
        <f t="shared" si="18"/>
        <v>36</v>
      </c>
      <c r="G70" s="3">
        <f t="shared" si="18"/>
        <v>16</v>
      </c>
      <c r="H70" s="3">
        <f t="shared" si="18"/>
        <v>15</v>
      </c>
      <c r="I70" s="3">
        <f t="shared" si="18"/>
        <v>14</v>
      </c>
      <c r="J70" s="3">
        <f t="shared" si="18"/>
        <v>0</v>
      </c>
      <c r="K70" s="3">
        <f t="shared" si="18"/>
        <v>0</v>
      </c>
      <c r="L70" s="3">
        <f t="shared" si="18"/>
        <v>9</v>
      </c>
      <c r="M70" s="145">
        <f t="shared" si="18"/>
        <v>199</v>
      </c>
    </row>
    <row r="71" spans="1:13" ht="15.75" x14ac:dyDescent="0.25">
      <c r="A71" s="495"/>
      <c r="B71" s="21" t="s">
        <v>81</v>
      </c>
      <c r="C71" s="4" t="s">
        <v>3</v>
      </c>
      <c r="D71" s="22">
        <f>D66+D67-D70</f>
        <v>20</v>
      </c>
      <c r="E71" s="22">
        <f t="shared" ref="E71:L71" si="19">E66+E67-E70</f>
        <v>43</v>
      </c>
      <c r="F71" s="22">
        <f t="shared" si="19"/>
        <v>16</v>
      </c>
      <c r="G71" s="22">
        <f t="shared" si="19"/>
        <v>65</v>
      </c>
      <c r="H71" s="22">
        <f t="shared" si="19"/>
        <v>3</v>
      </c>
      <c r="I71" s="22">
        <f t="shared" si="19"/>
        <v>40</v>
      </c>
      <c r="J71" s="22">
        <f t="shared" si="19"/>
        <v>0</v>
      </c>
      <c r="K71" s="22">
        <f t="shared" si="19"/>
        <v>0</v>
      </c>
      <c r="L71" s="22">
        <f t="shared" si="19"/>
        <v>4</v>
      </c>
      <c r="M71" s="143">
        <f>M66+M67-M70</f>
        <v>191</v>
      </c>
    </row>
    <row r="72" spans="1:13" ht="15.75" x14ac:dyDescent="0.25">
      <c r="A72" s="493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155">
        <f>SUM(D72:L72)</f>
        <v>0</v>
      </c>
    </row>
    <row r="73" spans="1:13" ht="15.75" x14ac:dyDescent="0.25">
      <c r="A73" s="494"/>
      <c r="B73" s="21" t="s">
        <v>106</v>
      </c>
      <c r="C73" s="4" t="s">
        <v>3</v>
      </c>
      <c r="D73" s="22">
        <f>Mulanje!D73+Mulanje!E73+Mulanje!F73+Mulanje!G73+Mulanje!H73+Mulanje!I73</f>
        <v>0</v>
      </c>
      <c r="E73" s="22">
        <f>Luchenza!D73+Luchenza!E73+Luchenza!F73+Luchenza!G73+Luchenza!H73+Luchenza!I73</f>
        <v>0</v>
      </c>
      <c r="F73" s="22">
        <f>Thyolo!D73+Thyolo!E73+Thyolo!F73+Thyolo!G73+Thyolo!H73+Thyolo!I73</f>
        <v>0</v>
      </c>
      <c r="G73" s="22">
        <f>Muloza!D73+Muloza!E73+Muloza!F73+Muloza!G73+Muloza!H73+Muloza!I73</f>
        <v>1</v>
      </c>
      <c r="H73" s="22">
        <f>MUST!D73+MUST!E73+MUST!F73+MUST!G73+MUST!H73+MUST!I73</f>
        <v>1</v>
      </c>
      <c r="I73" s="22">
        <f>Phalombe!D73+Phalombe!E73+Phalombe!F73+Phalombe!G73+Phalombe!H73+Phalombe!I73</f>
        <v>0</v>
      </c>
      <c r="J73" s="22">
        <f>Mikolongwe!D73+Mikolongwe!E73+Mikolongwe!F73+Mikolongwe!G73+Mikolongwe!H73+Mikolongwe!I73</f>
        <v>0</v>
      </c>
      <c r="K73" s="22">
        <f>Migowi!D73+Migowi!E73+Migowi!F73+Migowi!G73+Migowi!H73+Migowi!I73</f>
        <v>0</v>
      </c>
      <c r="L73" s="412">
        <f>Nkando!D73+Nkando!E73+Nkando!F73+Nkando!G73+Nkando!H73+Nkando!I73</f>
        <v>0</v>
      </c>
      <c r="M73" s="155">
        <f>SUM(D73:L73)</f>
        <v>2</v>
      </c>
    </row>
    <row r="74" spans="1:13" ht="26.25" x14ac:dyDescent="0.25">
      <c r="A74" s="494"/>
      <c r="B74" s="21" t="s">
        <v>105</v>
      </c>
      <c r="C74" s="4" t="s">
        <v>3</v>
      </c>
      <c r="D74" s="22">
        <f>Mulanje!D74+Mulanje!E74+Mulanje!F74+Mulanje!G74+Mulanje!H74+Mulanje!I74</f>
        <v>0</v>
      </c>
      <c r="E74" s="22">
        <f>Luchenza!D74+Luchenza!E74+Luchenza!F74+Luchenza!G74+Luchenza!H74+Luchenza!I74</f>
        <v>0</v>
      </c>
      <c r="F74" s="22">
        <f>Thyolo!D74+Thyolo!E74+Thyolo!F74+Thyolo!G74+Thyolo!H74+Thyolo!I74</f>
        <v>0</v>
      </c>
      <c r="G74" s="22">
        <f>Muloza!D74+Muloza!E74+Muloza!F74+Muloza!G74+Muloza!H74+Muloza!I74</f>
        <v>0</v>
      </c>
      <c r="H74" s="22">
        <f>MUST!D74+MUST!E74+MUST!F74+MUST!G74+MUST!H74+MUST!I74</f>
        <v>1</v>
      </c>
      <c r="I74" s="22">
        <f>Phalombe!D74+Phalombe!E74+Phalombe!F74+Phalombe!G74+Phalombe!H74+Phalombe!I74</f>
        <v>0</v>
      </c>
      <c r="J74" s="22">
        <f>Mikolongwe!D74+Mikolongwe!E74+Mikolongwe!F74+Mikolongwe!G74+Mikolongwe!H74+Mikolongwe!I74</f>
        <v>0</v>
      </c>
      <c r="K74" s="22">
        <f>Migowi!D74+Migowi!E74+Migowi!F74+Migowi!G74+Migowi!H74+Migowi!I74</f>
        <v>0</v>
      </c>
      <c r="L74" s="412">
        <f>Nkando!D74+Nkando!E74+Nkando!F74+Nkando!G74+Nkando!H74+Nkando!I74</f>
        <v>0</v>
      </c>
      <c r="M74" s="155">
        <f>SUM(D74:L74)</f>
        <v>1</v>
      </c>
    </row>
    <row r="75" spans="1:13" ht="26.25" x14ac:dyDescent="0.25">
      <c r="A75" s="494"/>
      <c r="B75" s="21" t="s">
        <v>104</v>
      </c>
      <c r="C75" s="4" t="s">
        <v>3</v>
      </c>
      <c r="D75" s="22">
        <f>Mulanje!D75+Mulanje!E75+Mulanje!F75+Mulanje!G75+Mulanje!H75+Mulanje!I75</f>
        <v>0</v>
      </c>
      <c r="E75" s="22">
        <f>Luchenza!D75+Luchenza!E75+Luchenza!F75+Luchenza!G75+Luchenza!H75+Luchenza!I75</f>
        <v>0</v>
      </c>
      <c r="F75" s="22">
        <f>Thyolo!D75+Thyolo!E75+Thyolo!F75+Thyolo!G75+Thyolo!H75+Thyolo!I75</f>
        <v>0</v>
      </c>
      <c r="G75" s="22">
        <f>Muloza!D75+Muloza!E75+Muloza!F75+Muloza!G75+Muloza!H75+Muloza!I75</f>
        <v>1</v>
      </c>
      <c r="H75" s="22">
        <f>MUST!D75+MUST!E75+MUST!F75+MUST!G75+MUST!H75+MUST!I75</f>
        <v>0</v>
      </c>
      <c r="I75" s="22">
        <f>Phalombe!D75+Phalombe!E75+Phalombe!F75+Phalombe!G75+Phalombe!H75+Phalombe!I75</f>
        <v>0</v>
      </c>
      <c r="J75" s="22">
        <f>Mikolongwe!D75+Mikolongwe!E75+Mikolongwe!F75+Mikolongwe!G75+Mikolongwe!H75+Mikolongwe!I75</f>
        <v>0</v>
      </c>
      <c r="K75" s="22">
        <f>Migowi!D75+Migowi!E75+Migowi!F75+Migowi!G75+Migowi!H75+Migowi!I75</f>
        <v>0</v>
      </c>
      <c r="L75" s="412">
        <f>Nkando!D75+Nkando!E75+Nkando!F75+Nkando!G75+Nkando!H75+Nkando!I75</f>
        <v>0</v>
      </c>
      <c r="M75" s="142"/>
    </row>
    <row r="76" spans="1:13" ht="15.75" x14ac:dyDescent="0.25">
      <c r="A76" s="494"/>
      <c r="B76" s="21" t="s">
        <v>190</v>
      </c>
      <c r="C76" s="4" t="s">
        <v>3</v>
      </c>
      <c r="D76" s="3">
        <f>D74+D75</f>
        <v>0</v>
      </c>
      <c r="E76" s="3">
        <f t="shared" ref="E76:M76" si="20">E74+E75</f>
        <v>0</v>
      </c>
      <c r="F76" s="3">
        <f t="shared" si="20"/>
        <v>0</v>
      </c>
      <c r="G76" s="3">
        <f t="shared" si="20"/>
        <v>1</v>
      </c>
      <c r="H76" s="3">
        <f t="shared" si="20"/>
        <v>1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145">
        <f t="shared" si="20"/>
        <v>1</v>
      </c>
    </row>
    <row r="77" spans="1:13" ht="15.75" x14ac:dyDescent="0.25">
      <c r="A77" s="495"/>
      <c r="B77" s="21" t="s">
        <v>81</v>
      </c>
      <c r="C77" s="4" t="s">
        <v>3</v>
      </c>
      <c r="D77" s="22">
        <f>D73+D74-D76</f>
        <v>0</v>
      </c>
      <c r="E77" s="22">
        <f t="shared" ref="E77:M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1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22">
        <f t="shared" si="21"/>
        <v>0</v>
      </c>
      <c r="M77" s="143">
        <f t="shared" si="21"/>
        <v>2</v>
      </c>
    </row>
    <row r="78" spans="1:13" ht="15.6" customHeight="1" x14ac:dyDescent="0.25">
      <c r="A78" s="493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6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155">
        <f>SUM(D78:L78)</f>
        <v>6</v>
      </c>
    </row>
    <row r="79" spans="1:13" ht="15.75" x14ac:dyDescent="0.25">
      <c r="A79" s="494"/>
      <c r="B79" s="21" t="s">
        <v>106</v>
      </c>
      <c r="C79" s="4" t="s">
        <v>3</v>
      </c>
      <c r="D79" s="22">
        <f>Mulanje!D79+Mulanje!E79+Mulanje!F79+Mulanje!G79+Mulanje!H79+Mulanje!I79</f>
        <v>0</v>
      </c>
      <c r="E79" s="22">
        <f>Luchenza!D79+Luchenza!E79+Luchenza!F79+Luchenza!G79+Luchenza!H79+Luchenza!I79</f>
        <v>0</v>
      </c>
      <c r="F79" s="22">
        <f>Thyolo!D79+Thyolo!E79+Thyolo!F79+Thyolo!G79+Thyolo!H79+Thyolo!I79</f>
        <v>0</v>
      </c>
      <c r="G79" s="22">
        <f>Muloza!D79+Muloza!E79+Muloza!F79+Muloza!G79+Muloza!H79+Muloza!I79</f>
        <v>1</v>
      </c>
      <c r="H79" s="22">
        <f>MUST!D79+MUST!E79+MUST!F79+MUST!G79+MUST!H79+MUST!I79</f>
        <v>0</v>
      </c>
      <c r="I79" s="22">
        <f>Phalombe!D79+Phalombe!E79+Phalombe!F79+Phalombe!G79+Phalombe!H79+Phalombe!I79</f>
        <v>0</v>
      </c>
      <c r="J79" s="22">
        <f>Mikolongwe!D79+Mikolongwe!E79+Mikolongwe!F79+Mikolongwe!G79+Mikolongwe!H79+Mikolongwe!I79</f>
        <v>0</v>
      </c>
      <c r="K79" s="22">
        <f>Migowi!D79+Migowi!E79+Migowi!F79+Migowi!G79+Migowi!H79+Migowi!I79</f>
        <v>0</v>
      </c>
      <c r="L79" s="412">
        <f>Nkando!D79+Nkando!E79+Nkando!F79+Nkando!G79+Nkando!H79+Nkando!I79</f>
        <v>0</v>
      </c>
      <c r="M79" s="155">
        <f>SUM(D79:L79)</f>
        <v>1</v>
      </c>
    </row>
    <row r="80" spans="1:13" ht="26.25" x14ac:dyDescent="0.25">
      <c r="A80" s="494"/>
      <c r="B80" s="21" t="s">
        <v>105</v>
      </c>
      <c r="C80" s="4" t="s">
        <v>3</v>
      </c>
      <c r="D80" s="22">
        <f>Mulanje!D80+Mulanje!E80+Mulanje!F80+Mulanje!G80+Mulanje!H80+Mulanje!I80</f>
        <v>0</v>
      </c>
      <c r="E80" s="22">
        <f>Luchenza!D80+Luchenza!E80+Luchenza!F80+Luchenza!G80+Luchenza!H80+Luchenza!I80</f>
        <v>0</v>
      </c>
      <c r="F80" s="22">
        <f>Thyolo!D80+Thyolo!E80+Thyolo!F80+Thyolo!G80+Thyolo!H80+Thyolo!I80</f>
        <v>0</v>
      </c>
      <c r="G80" s="22">
        <f>Muloza!D80+Muloza!E80+Muloza!F80+Muloza!G80+Muloza!H80+Muloza!I80</f>
        <v>0</v>
      </c>
      <c r="H80" s="22">
        <f>MUST!D80+MUST!E80+MUST!F80+MUST!G80+MUST!H80+MUST!I80</f>
        <v>0</v>
      </c>
      <c r="I80" s="22">
        <f>Phalombe!D80+Phalombe!E80+Phalombe!F80+Phalombe!G80+Phalombe!H80+Phalombe!I80</f>
        <v>0</v>
      </c>
      <c r="J80" s="22">
        <f>Mikolongwe!D80+Mikolongwe!E80+Mikolongwe!F80+Mikolongwe!G80+Mikolongwe!H80+Mikolongwe!I80</f>
        <v>0</v>
      </c>
      <c r="K80" s="22">
        <f>Migowi!D80+Migowi!E80+Migowi!F80+Migowi!G80+Migowi!H80+Migowi!I80</f>
        <v>0</v>
      </c>
      <c r="L80" s="412">
        <f>Nkando!D80+Nkando!E80+Nkando!F80+Nkando!G80+Nkando!H80+Nkando!I80</f>
        <v>0</v>
      </c>
      <c r="M80" s="155"/>
    </row>
    <row r="81" spans="1:13" ht="26.25" x14ac:dyDescent="0.25">
      <c r="A81" s="494"/>
      <c r="B81" s="21" t="s">
        <v>104</v>
      </c>
      <c r="C81" s="4" t="s">
        <v>3</v>
      </c>
      <c r="D81" s="22">
        <f>Mulanje!D81+Mulanje!E81+Mulanje!F81+Mulanje!G81+Mulanje!H81+Mulanje!I81</f>
        <v>0</v>
      </c>
      <c r="E81" s="22">
        <f>Luchenza!D81+Luchenza!E81+Luchenza!F81+Luchenza!G81+Luchenza!H81+Luchenza!I81</f>
        <v>0</v>
      </c>
      <c r="F81" s="22">
        <f>Thyolo!D81+Thyolo!E81+Thyolo!F81+Thyolo!G81+Thyolo!H81+Thyolo!I81</f>
        <v>0</v>
      </c>
      <c r="G81" s="22">
        <f>Muloza!D81+Muloza!E81+Muloza!F81+Muloza!G81+Muloza!H81+Muloza!I81</f>
        <v>0</v>
      </c>
      <c r="H81" s="22">
        <f>MUST!D81+MUST!E81+MUST!F81+MUST!G81+MUST!H81+MUST!I81</f>
        <v>0</v>
      </c>
      <c r="I81" s="22">
        <f>Phalombe!D81+Phalombe!E81+Phalombe!F81+Phalombe!G81+Phalombe!H81+Phalombe!I81</f>
        <v>0</v>
      </c>
      <c r="J81" s="22">
        <f>Mikolongwe!D81+Mikolongwe!E81+Mikolongwe!F81+Mikolongwe!G81+Mikolongwe!H81+Mikolongwe!I81</f>
        <v>0</v>
      </c>
      <c r="K81" s="22">
        <f>Migowi!D81+Migowi!E81+Migowi!F81+Migowi!G81+Migowi!H81+Migowi!I81</f>
        <v>0</v>
      </c>
      <c r="L81" s="412">
        <f>Nkando!D81+Nkando!E81+Nkando!F81+Nkando!G81+Nkando!H81+Nkando!I81</f>
        <v>0</v>
      </c>
      <c r="M81" s="142">
        <f>SUM(D81:L81)</f>
        <v>0</v>
      </c>
    </row>
    <row r="82" spans="1:13" ht="15.75" x14ac:dyDescent="0.25">
      <c r="A82" s="494"/>
      <c r="B82" s="21" t="s">
        <v>190</v>
      </c>
      <c r="C82" s="4" t="s">
        <v>3</v>
      </c>
      <c r="D82" s="3">
        <f>D81+D80</f>
        <v>0</v>
      </c>
      <c r="E82" s="3">
        <f t="shared" ref="E82:M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145">
        <f t="shared" si="22"/>
        <v>0</v>
      </c>
    </row>
    <row r="83" spans="1:13" ht="15.75" x14ac:dyDescent="0.25">
      <c r="A83" s="495"/>
      <c r="B83" s="21" t="s">
        <v>81</v>
      </c>
      <c r="C83" s="4" t="s">
        <v>3</v>
      </c>
      <c r="D83" s="22">
        <f>D78+D79-D82</f>
        <v>0</v>
      </c>
      <c r="E83" s="22">
        <f t="shared" ref="E83:M83" si="23">E78+E79-E82</f>
        <v>0</v>
      </c>
      <c r="F83" s="22">
        <f t="shared" si="23"/>
        <v>0</v>
      </c>
      <c r="G83" s="22">
        <f t="shared" si="23"/>
        <v>7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22">
        <f t="shared" si="23"/>
        <v>0</v>
      </c>
      <c r="M83" s="143">
        <f t="shared" si="23"/>
        <v>7</v>
      </c>
    </row>
    <row r="84" spans="1:13" ht="15.75" x14ac:dyDescent="0.25">
      <c r="A84" s="496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155">
        <f>SUM(D84:L84)</f>
        <v>0</v>
      </c>
    </row>
    <row r="85" spans="1:13" ht="15.75" x14ac:dyDescent="0.25">
      <c r="A85" s="497"/>
      <c r="B85" s="21" t="s">
        <v>106</v>
      </c>
      <c r="C85" s="4" t="s">
        <v>3</v>
      </c>
      <c r="D85" s="22">
        <f>Mulanje!D85+Mulanje!E85+Mulanje!F85+Mulanje!G85+Mulanje!H85+Mulanje!I85</f>
        <v>0</v>
      </c>
      <c r="E85" s="22">
        <f>Luchenza!D85+Luchenza!E85+Luchenza!F85+Luchenza!G85+Luchenza!H85+Luchenza!I85</f>
        <v>0</v>
      </c>
      <c r="F85" s="22">
        <f>Thyolo!D85+Thyolo!E85+Thyolo!F85+Thyolo!G85+Thyolo!H85+Thyolo!I85</f>
        <v>0</v>
      </c>
      <c r="G85" s="22">
        <f>Muloza!D85+Muloza!E85+Muloza!F85+Muloza!G85+Muloza!H85+Muloza!I85</f>
        <v>0</v>
      </c>
      <c r="H85" s="22">
        <f>MUST!D85+MUST!E85+MUST!F85+MUST!G85+MUST!H85+MUST!I85</f>
        <v>0</v>
      </c>
      <c r="I85" s="22">
        <f>Phalombe!D85+Phalombe!E85+Phalombe!F85+Phalombe!G85+Phalombe!H85+Phalombe!I85</f>
        <v>0</v>
      </c>
      <c r="J85" s="22">
        <f>Mikolongwe!D85+Mikolongwe!E85+Mikolongwe!F85+Mikolongwe!G85+Mikolongwe!H85+Mikolongwe!I85</f>
        <v>0</v>
      </c>
      <c r="K85" s="22">
        <f>Migowi!D85+Migowi!E85+Migowi!F85+Migowi!G85+Migowi!H85+Migowi!I85</f>
        <v>0</v>
      </c>
      <c r="L85" s="412">
        <f>Nkando!D85+Nkando!E85+Nkando!F85+Nkando!G85+Nkando!H85+Nkando!I85</f>
        <v>0</v>
      </c>
      <c r="M85" s="155">
        <f>SUM(D85:L85)</f>
        <v>0</v>
      </c>
    </row>
    <row r="86" spans="1:13" ht="26.25" x14ac:dyDescent="0.25">
      <c r="A86" s="497"/>
      <c r="B86" s="21" t="s">
        <v>105</v>
      </c>
      <c r="C86" s="4" t="s">
        <v>3</v>
      </c>
      <c r="D86" s="22">
        <f>Mulanje!D86+Mulanje!E86+Mulanje!F86+Mulanje!G86+Mulanje!H86+Mulanje!I86</f>
        <v>0</v>
      </c>
      <c r="E86" s="22">
        <f>Luchenza!D86+Luchenza!E86+Luchenza!F86+Luchenza!G86+Luchenza!H86+Luchenza!I86</f>
        <v>0</v>
      </c>
      <c r="F86" s="22">
        <f>Thyolo!D86+Thyolo!E86+Thyolo!F86+Thyolo!G86+Thyolo!H86+Thyolo!I86</f>
        <v>0</v>
      </c>
      <c r="G86" s="22">
        <f>Muloza!D86+Muloza!E86+Muloza!F86+Muloza!G86+Muloza!H86+Muloza!I86</f>
        <v>0</v>
      </c>
      <c r="H86" s="22">
        <f>MUST!D86+MUST!E86+MUST!F86+MUST!G86+MUST!H86+MUST!I86</f>
        <v>0</v>
      </c>
      <c r="I86" s="22">
        <f>Phalombe!D86+Phalombe!E86+Phalombe!F86+Phalombe!G86+Phalombe!H86+Phalombe!I86</f>
        <v>0</v>
      </c>
      <c r="J86" s="22">
        <f>Mikolongwe!D86+Mikolongwe!E86+Mikolongwe!F86+Mikolongwe!G86+Mikolongwe!H86+Mikolongwe!I86</f>
        <v>0</v>
      </c>
      <c r="K86" s="22">
        <f>Migowi!D86+Migowi!E86+Migowi!F86+Migowi!G86+Migowi!H86+Migowi!I86</f>
        <v>0</v>
      </c>
      <c r="L86" s="412">
        <f>Nkando!D86+Nkando!E86+Nkando!F86+Nkando!G86+Nkando!H86+Nkando!I86</f>
        <v>0</v>
      </c>
      <c r="M86" s="155"/>
    </row>
    <row r="87" spans="1:13" ht="26.25" x14ac:dyDescent="0.25">
      <c r="A87" s="497"/>
      <c r="B87" s="21" t="s">
        <v>104</v>
      </c>
      <c r="C87" s="4" t="s">
        <v>3</v>
      </c>
      <c r="D87" s="22">
        <f>Mulanje!D87+Mulanje!E87+Mulanje!F87+Mulanje!G87+Mulanje!H87+Mulanje!I87</f>
        <v>0</v>
      </c>
      <c r="E87" s="22">
        <f>Luchenza!D87+Luchenza!E87+Luchenza!F87+Luchenza!G87+Luchenza!H87+Luchenza!I87</f>
        <v>0</v>
      </c>
      <c r="F87" s="22">
        <f>Thyolo!D87+Thyolo!E87+Thyolo!F87+Thyolo!G87+Thyolo!H87+Thyolo!I87</f>
        <v>0</v>
      </c>
      <c r="G87" s="22">
        <f>Muloza!D87+Muloza!E87+Muloza!F87+Muloza!G87+Muloza!H87+Muloza!I87</f>
        <v>0</v>
      </c>
      <c r="H87" s="22">
        <f>MUST!D87+MUST!E87+MUST!F87+MUST!G87+MUST!H87+MUST!I87</f>
        <v>0</v>
      </c>
      <c r="I87" s="22">
        <f>Phalombe!D87+Phalombe!E87+Phalombe!F87+Phalombe!G87+Phalombe!H87+Phalombe!I87</f>
        <v>0</v>
      </c>
      <c r="J87" s="22">
        <f>Mikolongwe!D87+Mikolongwe!E87+Mikolongwe!F87+Mikolongwe!G87+Mikolongwe!H87+Mikolongwe!I87</f>
        <v>0</v>
      </c>
      <c r="K87" s="22">
        <f>Migowi!D87+Migowi!E87+Migowi!F87+Migowi!G87+Migowi!H87+Migowi!I87</f>
        <v>0</v>
      </c>
      <c r="L87" s="412">
        <f>Nkando!D87+Nkando!E87+Nkando!F87+Nkando!G87+Nkando!H87+Nkando!I87</f>
        <v>0</v>
      </c>
      <c r="M87" s="142">
        <f>SUM(D87:L87)</f>
        <v>0</v>
      </c>
    </row>
    <row r="88" spans="1:13" ht="15.75" x14ac:dyDescent="0.25">
      <c r="A88" s="497"/>
      <c r="B88" s="21" t="s">
        <v>190</v>
      </c>
      <c r="C88" s="4" t="s">
        <v>3</v>
      </c>
      <c r="D88" s="3">
        <f>D87+D86</f>
        <v>0</v>
      </c>
      <c r="E88" s="3">
        <f t="shared" ref="E88:L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142"/>
    </row>
    <row r="89" spans="1:13" ht="15.75" x14ac:dyDescent="0.25">
      <c r="A89" s="498"/>
      <c r="B89" s="32" t="s">
        <v>81</v>
      </c>
      <c r="C89" s="4" t="s">
        <v>3</v>
      </c>
      <c r="D89" s="22">
        <f>D84+D85-D88</f>
        <v>0</v>
      </c>
      <c r="E89" s="22">
        <f t="shared" ref="E89:L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22">
        <f t="shared" si="25"/>
        <v>0</v>
      </c>
      <c r="M89" s="143">
        <f t="shared" ref="M89" si="26">M84+M85-M86-M87</f>
        <v>0</v>
      </c>
    </row>
    <row r="90" spans="1:13" ht="15.75" x14ac:dyDescent="0.25">
      <c r="A90" s="496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L90" si="27">E66+E72+E78+E84</f>
        <v>38</v>
      </c>
      <c r="F90" s="122">
        <f t="shared" si="27"/>
        <v>8</v>
      </c>
      <c r="G90" s="122">
        <f t="shared" si="27"/>
        <v>58</v>
      </c>
      <c r="H90" s="122">
        <f t="shared" si="27"/>
        <v>1</v>
      </c>
      <c r="I90" s="122">
        <f t="shared" si="27"/>
        <v>38</v>
      </c>
      <c r="J90" s="122">
        <f t="shared" si="27"/>
        <v>0</v>
      </c>
      <c r="K90" s="122">
        <f t="shared" si="27"/>
        <v>0</v>
      </c>
      <c r="L90" s="122">
        <f t="shared" si="27"/>
        <v>6</v>
      </c>
      <c r="M90" s="155">
        <f>SUM(D90:L90)</f>
        <v>159</v>
      </c>
    </row>
    <row r="91" spans="1:13" ht="15.75" x14ac:dyDescent="0.25">
      <c r="A91" s="497"/>
      <c r="B91" s="21" t="s">
        <v>106</v>
      </c>
      <c r="C91" s="4" t="s">
        <v>3</v>
      </c>
      <c r="D91" s="122">
        <f t="shared" ref="D91:L93" si="28">D67+D73+D79+D85</f>
        <v>70</v>
      </c>
      <c r="E91" s="122">
        <f t="shared" si="28"/>
        <v>54</v>
      </c>
      <c r="F91" s="122">
        <f t="shared" si="28"/>
        <v>44</v>
      </c>
      <c r="G91" s="122">
        <f t="shared" si="28"/>
        <v>31</v>
      </c>
      <c r="H91" s="122">
        <f t="shared" si="28"/>
        <v>18</v>
      </c>
      <c r="I91" s="122">
        <f t="shared" si="28"/>
        <v>16</v>
      </c>
      <c r="J91" s="122">
        <f t="shared" si="28"/>
        <v>0</v>
      </c>
      <c r="K91" s="122">
        <f t="shared" si="28"/>
        <v>0</v>
      </c>
      <c r="L91" s="122">
        <f t="shared" si="28"/>
        <v>7</v>
      </c>
      <c r="M91" s="155">
        <f>SUM(D91:L91)</f>
        <v>240</v>
      </c>
    </row>
    <row r="92" spans="1:13" ht="26.25" x14ac:dyDescent="0.25">
      <c r="A92" s="497"/>
      <c r="B92" s="21" t="s">
        <v>105</v>
      </c>
      <c r="C92" s="4" t="s">
        <v>3</v>
      </c>
      <c r="D92" s="122">
        <f t="shared" si="28"/>
        <v>0</v>
      </c>
      <c r="E92" s="122">
        <f t="shared" si="28"/>
        <v>5</v>
      </c>
      <c r="F92" s="122">
        <f t="shared" si="28"/>
        <v>2</v>
      </c>
      <c r="G92" s="122">
        <f t="shared" si="28"/>
        <v>1</v>
      </c>
      <c r="H92" s="122">
        <f t="shared" si="28"/>
        <v>12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122">
        <f t="shared" si="28"/>
        <v>0</v>
      </c>
      <c r="M92" s="155">
        <f>SUM(D92:L92)</f>
        <v>20</v>
      </c>
    </row>
    <row r="93" spans="1:13" ht="26.25" x14ac:dyDescent="0.25">
      <c r="A93" s="497"/>
      <c r="B93" s="21" t="s">
        <v>104</v>
      </c>
      <c r="C93" s="4"/>
      <c r="D93" s="122">
        <f t="shared" si="28"/>
        <v>60</v>
      </c>
      <c r="E93" s="122">
        <f t="shared" si="28"/>
        <v>44</v>
      </c>
      <c r="F93" s="122">
        <f t="shared" si="28"/>
        <v>34</v>
      </c>
      <c r="G93" s="122">
        <f t="shared" si="28"/>
        <v>16</v>
      </c>
      <c r="H93" s="122">
        <f t="shared" si="28"/>
        <v>4</v>
      </c>
      <c r="I93" s="122">
        <f t="shared" si="28"/>
        <v>14</v>
      </c>
      <c r="J93" s="122">
        <f t="shared" si="28"/>
        <v>0</v>
      </c>
      <c r="K93" s="122">
        <f t="shared" si="28"/>
        <v>0</v>
      </c>
      <c r="L93" s="122">
        <f t="shared" si="28"/>
        <v>9</v>
      </c>
      <c r="M93" s="155">
        <f>SUM(D93:L93)</f>
        <v>181</v>
      </c>
    </row>
    <row r="94" spans="1:13" ht="15.75" x14ac:dyDescent="0.25">
      <c r="A94" s="497"/>
      <c r="B94" s="21" t="s">
        <v>190</v>
      </c>
      <c r="C94" s="4" t="s">
        <v>3</v>
      </c>
      <c r="D94" s="123">
        <f>D93+D92</f>
        <v>60</v>
      </c>
      <c r="E94" s="123">
        <f t="shared" ref="E94:M94" si="29">E93+E92</f>
        <v>49</v>
      </c>
      <c r="F94" s="123">
        <f t="shared" si="29"/>
        <v>36</v>
      </c>
      <c r="G94" s="123">
        <f t="shared" si="29"/>
        <v>17</v>
      </c>
      <c r="H94" s="123">
        <f t="shared" si="29"/>
        <v>16</v>
      </c>
      <c r="I94" s="123">
        <f t="shared" si="29"/>
        <v>14</v>
      </c>
      <c r="J94" s="123">
        <f t="shared" si="29"/>
        <v>0</v>
      </c>
      <c r="K94" s="123">
        <f t="shared" si="29"/>
        <v>0</v>
      </c>
      <c r="L94" s="123">
        <f t="shared" si="29"/>
        <v>9</v>
      </c>
      <c r="M94" s="156">
        <f t="shared" si="29"/>
        <v>201</v>
      </c>
    </row>
    <row r="95" spans="1:13" ht="16.5" thickBot="1" x14ac:dyDescent="0.3">
      <c r="A95" s="498"/>
      <c r="B95" s="21" t="s">
        <v>81</v>
      </c>
      <c r="C95" s="4" t="s">
        <v>3</v>
      </c>
      <c r="D95" s="124">
        <f>D90+D91-D94</f>
        <v>20</v>
      </c>
      <c r="E95" s="124">
        <f t="shared" ref="E95:M95" si="30">E90+E91-E94</f>
        <v>43</v>
      </c>
      <c r="F95" s="124">
        <f t="shared" si="30"/>
        <v>16</v>
      </c>
      <c r="G95" s="124">
        <f t="shared" si="30"/>
        <v>72</v>
      </c>
      <c r="H95" s="124">
        <f t="shared" si="30"/>
        <v>3</v>
      </c>
      <c r="I95" s="124">
        <f t="shared" si="30"/>
        <v>40</v>
      </c>
      <c r="J95" s="124">
        <f t="shared" si="30"/>
        <v>0</v>
      </c>
      <c r="K95" s="124">
        <f t="shared" si="30"/>
        <v>0</v>
      </c>
      <c r="L95" s="124">
        <f t="shared" si="30"/>
        <v>4</v>
      </c>
      <c r="M95" s="157">
        <f t="shared" si="30"/>
        <v>198</v>
      </c>
    </row>
    <row r="96" spans="1:13" ht="16.149999999999999" customHeight="1" thickBot="1" x14ac:dyDescent="0.3">
      <c r="A96" s="499"/>
      <c r="B96" s="500"/>
      <c r="C96" s="500"/>
      <c r="D96" s="500"/>
      <c r="E96" s="500"/>
      <c r="F96" s="500"/>
      <c r="G96" s="500"/>
      <c r="H96" s="500"/>
      <c r="I96" s="500"/>
      <c r="J96" s="500"/>
      <c r="K96" s="500"/>
      <c r="L96" s="500"/>
      <c r="M96" s="501"/>
    </row>
    <row r="97" spans="1:13" ht="15.75" customHeight="1" thickBot="1" x14ac:dyDescent="0.3">
      <c r="A97" s="490" t="s">
        <v>191</v>
      </c>
      <c r="B97" s="491"/>
      <c r="C97" s="491"/>
      <c r="D97" s="491"/>
      <c r="E97" s="491"/>
      <c r="F97" s="491"/>
      <c r="G97" s="491"/>
      <c r="H97" s="491"/>
      <c r="I97" s="491"/>
      <c r="J97" s="491"/>
      <c r="K97" s="491"/>
      <c r="L97" s="491"/>
      <c r="M97" s="492"/>
    </row>
    <row r="98" spans="1:13" ht="15.75" x14ac:dyDescent="0.25">
      <c r="A98" s="73" t="s">
        <v>192</v>
      </c>
      <c r="B98" s="63"/>
      <c r="C98" s="4" t="s">
        <v>3</v>
      </c>
      <c r="D98" s="22">
        <f>Mulanje!D98+Mulanje!E98+Mulanje!F98+Mulanje!G98+Mulanje!H98+Mulanje!I98</f>
        <v>80</v>
      </c>
      <c r="E98" s="22">
        <f>Luchenza!D98+Luchenza!E98+Luchenza!F98+Luchenza!G98+Luchenza!H98+Luchenza!I98</f>
        <v>51</v>
      </c>
      <c r="F98" s="22">
        <f>Thyolo!D98+Thyolo!E98+Thyolo!F98+Thyolo!G98+Thyolo!H98+Thyolo!I98</f>
        <v>45</v>
      </c>
      <c r="G98" s="22">
        <f>Muloza!D98+Muloza!E98+Muloza!F98+Muloza!G98+Muloza!H98+Muloza!I98</f>
        <v>36</v>
      </c>
      <c r="H98" s="22">
        <f>MUST!D98+MUST!E98+MUST!F98+MUST!G98+MUST!H98+MUST!I98</f>
        <v>4</v>
      </c>
      <c r="I98" s="22">
        <f>Phalombe!D98+Phalombe!E98+Phalombe!F98+Phalombe!G98+Phalombe!H98+Phalombe!I98</f>
        <v>26</v>
      </c>
      <c r="J98" s="22">
        <f>Mikolongwe!D98+Mikolongwe!E98+Mikolongwe!F98+Mikolongwe!G98+Mikolongwe!H98+Mikolongwe!I98</f>
        <v>0</v>
      </c>
      <c r="K98" s="22">
        <f>Migowi!D98+Migowi!E98+Migowi!F98+Migowi!G98+Migowi!H98+Migowi!I98</f>
        <v>0</v>
      </c>
      <c r="L98" s="425">
        <f>Nkando!D98+Nkando!E98+Nkando!F98+Nkando!G98+Nkando!H98+Nkando!I98</f>
        <v>0</v>
      </c>
      <c r="M98" s="152">
        <f>SUM(D98:L98)</f>
        <v>242</v>
      </c>
    </row>
    <row r="99" spans="1:13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25">
      <c r="A100" s="482" t="s">
        <v>103</v>
      </c>
      <c r="B100" s="483"/>
      <c r="C100" s="483"/>
      <c r="D100" s="483"/>
      <c r="E100" s="483"/>
      <c r="F100" s="483"/>
      <c r="G100" s="483"/>
      <c r="H100" s="483"/>
      <c r="I100" s="483"/>
      <c r="J100" s="483"/>
      <c r="K100" s="483"/>
      <c r="L100" s="483"/>
      <c r="M100" s="484"/>
    </row>
    <row r="101" spans="1:13" ht="15.75" x14ac:dyDescent="0.25">
      <c r="A101" s="445" t="s">
        <v>102</v>
      </c>
      <c r="B101" s="446"/>
      <c r="C101" s="4" t="s">
        <v>3</v>
      </c>
      <c r="D101" s="22">
        <f>Mulanje!I101</f>
        <v>0</v>
      </c>
      <c r="E101" s="22">
        <f>Luchenza!I101</f>
        <v>0</v>
      </c>
      <c r="F101" s="22">
        <f>Thyolo!I101</f>
        <v>0</v>
      </c>
      <c r="G101" s="22">
        <f>Muloza!I101</f>
        <v>0</v>
      </c>
      <c r="H101" s="22">
        <f>MUST!I101</f>
        <v>0</v>
      </c>
      <c r="I101" s="22">
        <f>Phalombe!I101</f>
        <v>0</v>
      </c>
      <c r="J101" s="22">
        <f>Mikolongwe!I101</f>
        <v>0</v>
      </c>
      <c r="K101" s="22">
        <f>Migowi!I101</f>
        <v>0</v>
      </c>
      <c r="L101" s="22">
        <f>Nkando!I101</f>
        <v>0</v>
      </c>
      <c r="M101" s="28">
        <f>SUM(D101:L101)</f>
        <v>0</v>
      </c>
    </row>
    <row r="102" spans="1:13" ht="15.75" x14ac:dyDescent="0.25">
      <c r="A102" s="445" t="s">
        <v>101</v>
      </c>
      <c r="B102" s="446"/>
      <c r="C102" s="4" t="s">
        <v>3</v>
      </c>
      <c r="D102" s="22">
        <f>Mulanje!I102</f>
        <v>0</v>
      </c>
      <c r="E102" s="22">
        <f>Luchenza!I102</f>
        <v>0</v>
      </c>
      <c r="F102" s="22">
        <f>Thyolo!I102</f>
        <v>0</v>
      </c>
      <c r="G102" s="22">
        <f>Muloza!I102</f>
        <v>0</v>
      </c>
      <c r="H102" s="22">
        <f>MUST!I102</f>
        <v>0</v>
      </c>
      <c r="I102" s="22">
        <f>Phalombe!I102</f>
        <v>0</v>
      </c>
      <c r="J102" s="22">
        <f>Mikolongwe!I102</f>
        <v>0</v>
      </c>
      <c r="K102" s="22">
        <f>Migowi!I102</f>
        <v>0</v>
      </c>
      <c r="L102" s="22">
        <f>Nkando!I102</f>
        <v>0</v>
      </c>
      <c r="M102" s="28">
        <f>SUM(D102:L102)</f>
        <v>0</v>
      </c>
    </row>
    <row r="103" spans="1:13" ht="15.6" customHeight="1" x14ac:dyDescent="0.25">
      <c r="A103" s="460" t="s">
        <v>100</v>
      </c>
      <c r="B103" s="461"/>
      <c r="C103" s="4" t="s">
        <v>3</v>
      </c>
      <c r="D103" s="22">
        <f>Mulanje!I103</f>
        <v>0</v>
      </c>
      <c r="E103" s="22">
        <f>Luchenza!I103</f>
        <v>0</v>
      </c>
      <c r="F103" s="22">
        <f>Thyolo!I103</f>
        <v>0</v>
      </c>
      <c r="G103" s="22">
        <f>Muloza!I103</f>
        <v>0</v>
      </c>
      <c r="H103" s="22">
        <f>MUST!I103</f>
        <v>0</v>
      </c>
      <c r="I103" s="22">
        <f>Phalombe!I103</f>
        <v>0</v>
      </c>
      <c r="J103" s="22">
        <f>Mikolongwe!I103</f>
        <v>0</v>
      </c>
      <c r="K103" s="22">
        <f>Migowi!I103</f>
        <v>0</v>
      </c>
      <c r="L103" s="22">
        <f>Nkando!I103</f>
        <v>0</v>
      </c>
      <c r="M103" s="28">
        <f>SUM(D103:L103)</f>
        <v>0</v>
      </c>
    </row>
    <row r="104" spans="1:13" ht="15.75" x14ac:dyDescent="0.25">
      <c r="A104" s="460" t="s">
        <v>99</v>
      </c>
      <c r="B104" s="461"/>
      <c r="C104" s="4" t="s">
        <v>3</v>
      </c>
      <c r="D104" s="22">
        <f>Mulanje!I104</f>
        <v>0</v>
      </c>
      <c r="E104" s="22">
        <f>Luchenza!I104</f>
        <v>0</v>
      </c>
      <c r="F104" s="22">
        <f>Thyolo!I104</f>
        <v>0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22">
        <f>Nkando!I104</f>
        <v>0</v>
      </c>
      <c r="M104" s="28">
        <f>SUM(D104:L104)</f>
        <v>0</v>
      </c>
    </row>
    <row r="105" spans="1:13" ht="15.75" x14ac:dyDescent="0.25">
      <c r="A105" s="485" t="s">
        <v>98</v>
      </c>
      <c r="B105" s="486"/>
      <c r="C105" s="4" t="s">
        <v>3</v>
      </c>
      <c r="D105" s="29">
        <f>SUM(D101:D104)</f>
        <v>0</v>
      </c>
      <c r="E105" s="29">
        <f t="shared" ref="E105:M105" si="31">SUM(E101:E104)</f>
        <v>0</v>
      </c>
      <c r="F105" s="29">
        <f t="shared" si="31"/>
        <v>0</v>
      </c>
      <c r="G105" s="29">
        <f t="shared" si="31"/>
        <v>0</v>
      </c>
      <c r="H105" s="29">
        <f t="shared" si="31"/>
        <v>0</v>
      </c>
      <c r="I105" s="29">
        <f t="shared" si="31"/>
        <v>0</v>
      </c>
      <c r="J105" s="29">
        <f t="shared" si="31"/>
        <v>0</v>
      </c>
      <c r="K105" s="29">
        <f t="shared" si="31"/>
        <v>0</v>
      </c>
      <c r="L105" s="29">
        <f t="shared" si="31"/>
        <v>0</v>
      </c>
      <c r="M105" s="50">
        <f t="shared" si="31"/>
        <v>0</v>
      </c>
    </row>
    <row r="106" spans="1:13" ht="15.6" customHeight="1" x14ac:dyDescent="0.25">
      <c r="A106" s="487" t="s">
        <v>212</v>
      </c>
      <c r="B106" s="488"/>
      <c r="C106" s="488"/>
      <c r="D106" s="488"/>
      <c r="E106" s="488"/>
      <c r="F106" s="488"/>
      <c r="G106" s="488"/>
      <c r="H106" s="488"/>
      <c r="I106" s="488"/>
      <c r="J106" s="488"/>
      <c r="K106" s="488"/>
      <c r="L106" s="488"/>
      <c r="M106" s="489"/>
    </row>
    <row r="107" spans="1:13" ht="15.75" x14ac:dyDescent="0.25">
      <c r="A107" s="445" t="s">
        <v>195</v>
      </c>
      <c r="B107" s="446"/>
      <c r="C107" s="4" t="s">
        <v>3</v>
      </c>
      <c r="D107" s="22">
        <f>Mulanje!I107</f>
        <v>0</v>
      </c>
      <c r="E107" s="22">
        <f>Luchenza!I107</f>
        <v>0</v>
      </c>
      <c r="F107" s="22">
        <f>Thyolo!I107</f>
        <v>0</v>
      </c>
      <c r="G107" s="22">
        <f>Muloza!I107</f>
        <v>0</v>
      </c>
      <c r="H107" s="22">
        <f>MUST!I107</f>
        <v>0</v>
      </c>
      <c r="I107" s="22">
        <f>Phalombe!I107</f>
        <v>0</v>
      </c>
      <c r="J107" s="22">
        <f>Mikolongwe!I107</f>
        <v>0</v>
      </c>
      <c r="K107" s="22">
        <f>Migowi!I107</f>
        <v>0</v>
      </c>
      <c r="L107" s="22">
        <f>Nkando!I107</f>
        <v>0</v>
      </c>
      <c r="M107" s="28">
        <f>SUM(D107:L107)</f>
        <v>0</v>
      </c>
    </row>
    <row r="108" spans="1:13" ht="15.75" x14ac:dyDescent="0.25">
      <c r="A108" s="445" t="s">
        <v>196</v>
      </c>
      <c r="B108" s="446"/>
      <c r="C108" s="4" t="s">
        <v>3</v>
      </c>
      <c r="D108" s="22">
        <f>Mulanje!I108</f>
        <v>0</v>
      </c>
      <c r="E108" s="22">
        <f>Luchenza!I108</f>
        <v>0</v>
      </c>
      <c r="F108" s="22">
        <f>Thyolo!I108</f>
        <v>0</v>
      </c>
      <c r="G108" s="22">
        <f>Muloza!I108</f>
        <v>0</v>
      </c>
      <c r="H108" s="22">
        <f>MUST!I108</f>
        <v>0</v>
      </c>
      <c r="I108" s="22">
        <f>Phalombe!I108</f>
        <v>0</v>
      </c>
      <c r="J108" s="22">
        <f>Mikolongwe!I108</f>
        <v>0</v>
      </c>
      <c r="K108" s="22">
        <f>Migowi!I108</f>
        <v>0</v>
      </c>
      <c r="L108" s="22">
        <f>Nkando!I108</f>
        <v>0</v>
      </c>
      <c r="M108" s="28">
        <f>SUM(D108:L108)</f>
        <v>0</v>
      </c>
    </row>
    <row r="109" spans="1:13" ht="15.75" x14ac:dyDescent="0.25">
      <c r="A109" s="445" t="s">
        <v>197</v>
      </c>
      <c r="B109" s="446"/>
      <c r="C109" s="4" t="s">
        <v>3</v>
      </c>
      <c r="D109" s="22">
        <f>Mulanje!I109</f>
        <v>0</v>
      </c>
      <c r="E109" s="22">
        <f>Luchenza!I109</f>
        <v>0</v>
      </c>
      <c r="F109" s="22">
        <f>Thyolo!I109</f>
        <v>0</v>
      </c>
      <c r="G109" s="22">
        <f>Muloza!I109</f>
        <v>0</v>
      </c>
      <c r="H109" s="22">
        <f>MUST!I109</f>
        <v>0</v>
      </c>
      <c r="I109" s="22">
        <f>Phalombe!I109</f>
        <v>0</v>
      </c>
      <c r="J109" s="22">
        <f>Mikolongwe!I109</f>
        <v>0</v>
      </c>
      <c r="K109" s="22">
        <f>Migowi!I109</f>
        <v>0</v>
      </c>
      <c r="L109" s="22">
        <f>Nkando!I109</f>
        <v>0</v>
      </c>
      <c r="M109" s="28">
        <f>SUM(D109:L109)</f>
        <v>0</v>
      </c>
    </row>
    <row r="110" spans="1:13" ht="15.75" x14ac:dyDescent="0.25">
      <c r="A110" s="445" t="s">
        <v>198</v>
      </c>
      <c r="B110" s="446"/>
      <c r="C110" s="4" t="s">
        <v>3</v>
      </c>
      <c r="D110" s="22">
        <f>Mulanje!I110</f>
        <v>0</v>
      </c>
      <c r="E110" s="22">
        <f>Luchenza!I110</f>
        <v>0</v>
      </c>
      <c r="F110" s="22">
        <f>Thyolo!I110</f>
        <v>0</v>
      </c>
      <c r="G110" s="22">
        <f>Muloza!I110</f>
        <v>0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22">
        <f>Nkando!I110</f>
        <v>0</v>
      </c>
      <c r="M110" s="28">
        <f>SUM(D110:L110)</f>
        <v>0</v>
      </c>
    </row>
    <row r="111" spans="1:13" ht="15.75" x14ac:dyDescent="0.25">
      <c r="A111" s="478" t="s">
        <v>97</v>
      </c>
      <c r="B111" s="479"/>
      <c r="C111" s="4" t="s">
        <v>3</v>
      </c>
      <c r="D111" s="29">
        <f>SUM(D107:D110)</f>
        <v>0</v>
      </c>
      <c r="E111" s="29">
        <f t="shared" ref="E111:M111" si="32">SUM(E107:E110)</f>
        <v>0</v>
      </c>
      <c r="F111" s="29">
        <f t="shared" si="32"/>
        <v>0</v>
      </c>
      <c r="G111" s="29">
        <f t="shared" si="32"/>
        <v>0</v>
      </c>
      <c r="H111" s="29">
        <f t="shared" si="32"/>
        <v>0</v>
      </c>
      <c r="I111" s="29">
        <f t="shared" si="32"/>
        <v>0</v>
      </c>
      <c r="J111" s="29">
        <f t="shared" si="32"/>
        <v>0</v>
      </c>
      <c r="K111" s="29">
        <f t="shared" si="32"/>
        <v>0</v>
      </c>
      <c r="L111" s="29">
        <f t="shared" si="32"/>
        <v>0</v>
      </c>
      <c r="M111" s="50">
        <f t="shared" si="32"/>
        <v>0</v>
      </c>
    </row>
    <row r="112" spans="1:13" ht="15.6" customHeight="1" x14ac:dyDescent="0.25">
      <c r="A112" s="482" t="s">
        <v>212</v>
      </c>
      <c r="B112" s="483"/>
      <c r="C112" s="483"/>
      <c r="D112" s="483"/>
      <c r="E112" s="483"/>
      <c r="F112" s="483"/>
      <c r="G112" s="483"/>
      <c r="H112" s="483"/>
      <c r="I112" s="483"/>
      <c r="J112" s="483"/>
      <c r="K112" s="483"/>
      <c r="L112" s="483"/>
      <c r="M112" s="484"/>
    </row>
    <row r="113" spans="1:13" ht="15.75" x14ac:dyDescent="0.25">
      <c r="A113" s="445" t="s">
        <v>199</v>
      </c>
      <c r="B113" s="446"/>
      <c r="C113" s="4" t="s">
        <v>3</v>
      </c>
      <c r="D113" s="22">
        <f>Mulanje!I113</f>
        <v>0</v>
      </c>
      <c r="E113" s="22">
        <f>Luchenza!I113</f>
        <v>0</v>
      </c>
      <c r="F113" s="22">
        <f>Thyolo!I113</f>
        <v>0</v>
      </c>
      <c r="G113" s="22">
        <f>Muloza!I113</f>
        <v>0</v>
      </c>
      <c r="H113" s="22">
        <f>MUST!I113</f>
        <v>0</v>
      </c>
      <c r="I113" s="22">
        <f>Phalombe!I113</f>
        <v>0</v>
      </c>
      <c r="J113" s="22">
        <f>Mikolongwe!I113</f>
        <v>0</v>
      </c>
      <c r="K113" s="22">
        <f>Migowi!I113</f>
        <v>0</v>
      </c>
      <c r="L113" s="22">
        <f>Nkando!I113</f>
        <v>0</v>
      </c>
      <c r="M113" s="28">
        <f>SUM(D113:L113)</f>
        <v>0</v>
      </c>
    </row>
    <row r="114" spans="1:13" ht="15.75" x14ac:dyDescent="0.25">
      <c r="A114" s="445" t="s">
        <v>200</v>
      </c>
      <c r="B114" s="446"/>
      <c r="C114" s="4" t="s">
        <v>3</v>
      </c>
      <c r="D114" s="22">
        <f>Mulanje!I114</f>
        <v>0</v>
      </c>
      <c r="E114" s="22">
        <f>Luchenza!I114</f>
        <v>0</v>
      </c>
      <c r="F114" s="22">
        <f>Thyolo!I114</f>
        <v>0</v>
      </c>
      <c r="G114" s="22">
        <f>Muloza!I114</f>
        <v>0</v>
      </c>
      <c r="H114" s="22">
        <f>MUST!I114</f>
        <v>0</v>
      </c>
      <c r="I114" s="22">
        <f>Phalombe!I114</f>
        <v>0</v>
      </c>
      <c r="J114" s="22">
        <f>Mikolongwe!I114</f>
        <v>0</v>
      </c>
      <c r="K114" s="22">
        <f>Migowi!I114</f>
        <v>0</v>
      </c>
      <c r="L114" s="22">
        <f>Nkando!I114</f>
        <v>0</v>
      </c>
      <c r="M114" s="28">
        <f>SUM(D114:L114)</f>
        <v>0</v>
      </c>
    </row>
    <row r="115" spans="1:13" ht="15.75" x14ac:dyDescent="0.25">
      <c r="A115" s="445" t="s">
        <v>201</v>
      </c>
      <c r="B115" s="446"/>
      <c r="C115" s="4" t="s">
        <v>3</v>
      </c>
      <c r="D115" s="22">
        <f>Mulanje!I115</f>
        <v>0</v>
      </c>
      <c r="E115" s="22">
        <f>Luchenza!I115</f>
        <v>0</v>
      </c>
      <c r="F115" s="22">
        <f>Thyolo!I115</f>
        <v>0</v>
      </c>
      <c r="G115" s="22">
        <f>Muloza!I115</f>
        <v>0</v>
      </c>
      <c r="H115" s="22">
        <f>MUST!I115</f>
        <v>0</v>
      </c>
      <c r="I115" s="22">
        <f>Phalombe!I115</f>
        <v>0</v>
      </c>
      <c r="J115" s="22">
        <f>Mikolongwe!I115</f>
        <v>0</v>
      </c>
      <c r="K115" s="22">
        <f>Migowi!I115</f>
        <v>0</v>
      </c>
      <c r="L115" s="22">
        <f>Nkando!I115</f>
        <v>0</v>
      </c>
      <c r="M115" s="28">
        <f>SUM(D115:L115)</f>
        <v>0</v>
      </c>
    </row>
    <row r="116" spans="1:13" ht="15.75" x14ac:dyDescent="0.25">
      <c r="A116" s="445" t="s">
        <v>202</v>
      </c>
      <c r="B116" s="446"/>
      <c r="C116" s="4" t="s">
        <v>3</v>
      </c>
      <c r="D116" s="22">
        <f>Mulanje!I116</f>
        <v>0</v>
      </c>
      <c r="E116" s="22">
        <f>Luchenza!I116</f>
        <v>0</v>
      </c>
      <c r="F116" s="22">
        <f>Thyolo!I116</f>
        <v>0</v>
      </c>
      <c r="G116" s="22">
        <f>Muloza!I116</f>
        <v>0</v>
      </c>
      <c r="H116" s="22">
        <f>MUST!I116</f>
        <v>0</v>
      </c>
      <c r="I116" s="22">
        <f>Phalombe!I116</f>
        <v>0</v>
      </c>
      <c r="J116" s="22">
        <f>Mikolongwe!I116</f>
        <v>0</v>
      </c>
      <c r="K116" s="22">
        <f>Migowi!I116</f>
        <v>0</v>
      </c>
      <c r="L116" s="22">
        <f>Nkando!I116</f>
        <v>0</v>
      </c>
      <c r="M116" s="28">
        <f>SUM(D116:L116)</f>
        <v>0</v>
      </c>
    </row>
    <row r="117" spans="1:13" ht="15.75" x14ac:dyDescent="0.25">
      <c r="A117" s="478" t="s">
        <v>96</v>
      </c>
      <c r="B117" s="479"/>
      <c r="C117" s="4" t="s">
        <v>3</v>
      </c>
      <c r="D117" s="29">
        <f>SUM(D113:D116)</f>
        <v>0</v>
      </c>
      <c r="E117" s="29">
        <f t="shared" ref="E117:L117" si="33">SUM(E113:E116)</f>
        <v>0</v>
      </c>
      <c r="F117" s="29">
        <f t="shared" si="33"/>
        <v>0</v>
      </c>
      <c r="G117" s="29">
        <f t="shared" si="33"/>
        <v>0</v>
      </c>
      <c r="H117" s="29">
        <f t="shared" si="33"/>
        <v>0</v>
      </c>
      <c r="I117" s="29">
        <f t="shared" si="33"/>
        <v>0</v>
      </c>
      <c r="J117" s="29">
        <f t="shared" si="33"/>
        <v>0</v>
      </c>
      <c r="K117" s="29">
        <f t="shared" si="33"/>
        <v>0</v>
      </c>
      <c r="L117" s="29">
        <f t="shared" si="33"/>
        <v>0</v>
      </c>
      <c r="M117" s="50">
        <f>SUM(M113:M116)</f>
        <v>0</v>
      </c>
    </row>
    <row r="118" spans="1:13" ht="15.75" x14ac:dyDescent="0.25">
      <c r="A118" s="70" t="s">
        <v>193</v>
      </c>
      <c r="B118" s="71"/>
      <c r="C118" s="4" t="s">
        <v>3</v>
      </c>
      <c r="D118" s="29">
        <f>D111+D117</f>
        <v>0</v>
      </c>
      <c r="E118" s="29">
        <f t="shared" ref="E118:M118" si="34">E111+E117</f>
        <v>0</v>
      </c>
      <c r="F118" s="29">
        <f t="shared" si="34"/>
        <v>0</v>
      </c>
      <c r="G118" s="29">
        <f t="shared" si="34"/>
        <v>0</v>
      </c>
      <c r="H118" s="29">
        <f t="shared" si="34"/>
        <v>0</v>
      </c>
      <c r="I118" s="29">
        <f t="shared" si="34"/>
        <v>0</v>
      </c>
      <c r="J118" s="29">
        <f t="shared" si="34"/>
        <v>0</v>
      </c>
      <c r="K118" s="29">
        <f t="shared" si="34"/>
        <v>0</v>
      </c>
      <c r="L118" s="29">
        <f t="shared" si="34"/>
        <v>0</v>
      </c>
      <c r="M118" s="50">
        <f t="shared" si="34"/>
        <v>0</v>
      </c>
    </row>
    <row r="119" spans="1:13" ht="15.75" x14ac:dyDescent="0.25">
      <c r="A119" s="478" t="s">
        <v>194</v>
      </c>
      <c r="B119" s="479"/>
      <c r="C119" s="4" t="s">
        <v>3</v>
      </c>
      <c r="D119" s="29">
        <f>D118+D105</f>
        <v>0</v>
      </c>
      <c r="E119" s="29">
        <f t="shared" ref="E119:L119" si="35">E118+E105</f>
        <v>0</v>
      </c>
      <c r="F119" s="29">
        <f t="shared" si="35"/>
        <v>0</v>
      </c>
      <c r="G119" s="29">
        <f t="shared" si="35"/>
        <v>0</v>
      </c>
      <c r="H119" s="29">
        <f t="shared" si="35"/>
        <v>0</v>
      </c>
      <c r="I119" s="29">
        <f t="shared" si="35"/>
        <v>0</v>
      </c>
      <c r="J119" s="29">
        <f t="shared" si="35"/>
        <v>0</v>
      </c>
      <c r="K119" s="29">
        <f t="shared" si="35"/>
        <v>0</v>
      </c>
      <c r="L119" s="29">
        <f t="shared" si="35"/>
        <v>0</v>
      </c>
      <c r="M119" s="50">
        <f>M118+M105</f>
        <v>0</v>
      </c>
    </row>
    <row r="120" spans="1:13" x14ac:dyDescent="0.25">
      <c r="A120" s="442" t="s">
        <v>203</v>
      </c>
      <c r="B120" s="443"/>
      <c r="C120" s="443"/>
      <c r="D120" s="443"/>
      <c r="E120" s="443"/>
      <c r="F120" s="443"/>
      <c r="G120" s="443"/>
      <c r="H120" s="443"/>
      <c r="I120" s="443"/>
      <c r="J120" s="443"/>
      <c r="K120" s="443"/>
      <c r="L120" s="443"/>
      <c r="M120" s="444"/>
    </row>
    <row r="121" spans="1:13" ht="15.75" x14ac:dyDescent="0.25">
      <c r="A121" s="445" t="s">
        <v>95</v>
      </c>
      <c r="B121" s="446"/>
      <c r="C121" s="4" t="s">
        <v>3</v>
      </c>
      <c r="D121" s="22">
        <f>Mulanje!I121</f>
        <v>0</v>
      </c>
      <c r="E121" s="22">
        <f>Luchenza!I121</f>
        <v>0</v>
      </c>
      <c r="F121" s="22">
        <f>Thyolo!I121</f>
        <v>0</v>
      </c>
      <c r="G121" s="22">
        <f>Muloza!I121</f>
        <v>0</v>
      </c>
      <c r="H121" s="22">
        <f>MUST!I121</f>
        <v>0</v>
      </c>
      <c r="I121" s="22">
        <f>Phalombe!I121</f>
        <v>0</v>
      </c>
      <c r="J121" s="22">
        <f>Mikolongwe!I121</f>
        <v>0</v>
      </c>
      <c r="K121" s="22">
        <f>Migowi!I121</f>
        <v>0</v>
      </c>
      <c r="L121" s="22">
        <f>Nkando!I121</f>
        <v>0</v>
      </c>
      <c r="M121" s="28">
        <f>SUM(D121:L121)</f>
        <v>0</v>
      </c>
    </row>
    <row r="122" spans="1:13" ht="15.75" x14ac:dyDescent="0.25">
      <c r="A122" s="445" t="s">
        <v>94</v>
      </c>
      <c r="B122" s="446"/>
      <c r="C122" s="4" t="s">
        <v>3</v>
      </c>
      <c r="D122" s="22">
        <f>Mulanje!I122</f>
        <v>0</v>
      </c>
      <c r="E122" s="22">
        <f>Luchenza!I122</f>
        <v>0</v>
      </c>
      <c r="F122" s="22">
        <f>Thyolo!I122</f>
        <v>0</v>
      </c>
      <c r="G122" s="22">
        <f>Muloza!I122</f>
        <v>0</v>
      </c>
      <c r="H122" s="22">
        <f>MUST!I122</f>
        <v>0</v>
      </c>
      <c r="I122" s="22">
        <f>Phalombe!I122</f>
        <v>0</v>
      </c>
      <c r="J122" s="22">
        <f>Mikolongwe!I122</f>
        <v>0</v>
      </c>
      <c r="K122" s="22">
        <f>Migowi!I122</f>
        <v>0</v>
      </c>
      <c r="L122" s="22">
        <f>Nkando!I122</f>
        <v>0</v>
      </c>
      <c r="M122" s="28">
        <f>SUM(D122:L122)</f>
        <v>0</v>
      </c>
    </row>
    <row r="123" spans="1:13" ht="15.75" x14ac:dyDescent="0.25">
      <c r="A123" s="480" t="s">
        <v>93</v>
      </c>
      <c r="B123" s="481"/>
      <c r="C123" s="26" t="s">
        <v>6</v>
      </c>
      <c r="D123" s="25" t="e">
        <f t="shared" ref="D123:M123" si="36">D122/D121</f>
        <v>#DIV/0!</v>
      </c>
      <c r="E123" s="25" t="e">
        <f t="shared" si="36"/>
        <v>#DIV/0!</v>
      </c>
      <c r="F123" s="25" t="e">
        <f t="shared" si="36"/>
        <v>#DIV/0!</v>
      </c>
      <c r="G123" s="25" t="e">
        <f t="shared" si="36"/>
        <v>#DIV/0!</v>
      </c>
      <c r="H123" s="25" t="e">
        <f t="shared" si="36"/>
        <v>#DIV/0!</v>
      </c>
      <c r="I123" s="25" t="e">
        <f t="shared" si="36"/>
        <v>#DIV/0!</v>
      </c>
      <c r="J123" s="25" t="e">
        <f t="shared" si="36"/>
        <v>#DIV/0!</v>
      </c>
      <c r="K123" s="25" t="e">
        <f t="shared" si="36"/>
        <v>#DIV/0!</v>
      </c>
      <c r="L123" s="25" t="e">
        <f t="shared" si="36"/>
        <v>#DIV/0!</v>
      </c>
      <c r="M123" s="98" t="e">
        <f t="shared" si="36"/>
        <v>#DIV/0!</v>
      </c>
    </row>
    <row r="124" spans="1:13" x14ac:dyDescent="0.25">
      <c r="A124" s="453" t="s">
        <v>92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5"/>
    </row>
    <row r="125" spans="1:13" ht="15.75" x14ac:dyDescent="0.25">
      <c r="A125" s="475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16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155">
        <f>SUM(D125:L125)</f>
        <v>16</v>
      </c>
    </row>
    <row r="126" spans="1:13" ht="15.75" x14ac:dyDescent="0.25">
      <c r="A126" s="476"/>
      <c r="B126" s="21" t="s">
        <v>84</v>
      </c>
      <c r="C126" s="4" t="s">
        <v>3</v>
      </c>
      <c r="D126" s="22">
        <f>Mulanje!D126+Mulanje!E126+Mulanje!F126+Mulanje!G126+Mulanje!H126+Mulanje!I126</f>
        <v>0</v>
      </c>
      <c r="E126" s="22">
        <f>Luchenza!D126+Luchenza!E126+Luchenza!F126+Luchenza!G126+Luchenza!H126+Luchenza!I126</f>
        <v>0</v>
      </c>
      <c r="F126" s="22">
        <f>Thyolo!D126+Thyolo!E126+Thyolo!F126+Thyolo!G126+Thyolo!H126+Thyolo!I126</f>
        <v>0</v>
      </c>
      <c r="G126" s="22">
        <f>Muloza!D126+Muloza!E126+Muloza!F126+Muloza!G126+Muloza!H126+Muloza!I126</f>
        <v>15</v>
      </c>
      <c r="H126" s="22">
        <f>MUST!D126+MUST!E126+MUST!F126+MUST!G126+MUST!H126+MUST!I126</f>
        <v>0</v>
      </c>
      <c r="I126" s="22">
        <f>Phalombe!D126+Phalombe!E126+Phalombe!F126+Phalombe!G126+Phalombe!H126+Phalombe!I126</f>
        <v>0</v>
      </c>
      <c r="J126" s="22">
        <f>Mikolongwe!D126+Mikolongwe!E126+Mikolongwe!F126+Mikolongwe!G126+Mikolongwe!H126+Mikolongwe!I126</f>
        <v>0</v>
      </c>
      <c r="K126" s="22">
        <f>Migowi!D126+Migowi!E126+Migowi!F126+Migowi!G126+Migowi!H126+Migowi!I126</f>
        <v>0</v>
      </c>
      <c r="L126" s="22">
        <f>Nkando!D126+Nkando!E126+Nkando!F126+Nkando!G126+Nkando!H126+Nkando!I126</f>
        <v>0</v>
      </c>
      <c r="M126" s="155">
        <f>SUM(D126:L126)</f>
        <v>15</v>
      </c>
    </row>
    <row r="127" spans="1:13" ht="15.75" x14ac:dyDescent="0.25">
      <c r="A127" s="476"/>
      <c r="B127" s="72" t="s">
        <v>88</v>
      </c>
      <c r="C127" s="4" t="s">
        <v>3</v>
      </c>
      <c r="D127" s="22">
        <f>Mulanje!D127+Mulanje!E127+Mulanje!F127+Mulanje!G127+Mulanje!H127+Mulanje!I127</f>
        <v>0</v>
      </c>
      <c r="E127" s="22">
        <f>Luchenza!D127+Luchenza!E127+Luchenza!F127+Luchenza!G127+Luchenza!H127+Luchenza!I127</f>
        <v>0</v>
      </c>
      <c r="F127" s="22">
        <f>Thyolo!D127+Thyolo!E127+Thyolo!F127+Thyolo!G127+Thyolo!H127+Thyolo!I127</f>
        <v>0</v>
      </c>
      <c r="G127" s="22">
        <f>Muloza!D127+Muloza!E127+Muloza!F127+Muloza!G127+Muloza!H127+Muloza!I127</f>
        <v>0</v>
      </c>
      <c r="H127" s="22">
        <f>MUST!D127+MUST!E127+MUST!F127+MUST!G127+MUST!H127+MUST!I127</f>
        <v>0</v>
      </c>
      <c r="I127" s="22">
        <f>Phalombe!D127+Phalombe!E127+Phalombe!F127+Phalombe!G127+Phalombe!H127+Phalombe!I127</f>
        <v>0</v>
      </c>
      <c r="J127" s="22">
        <f>Mikolongwe!D127+Mikolongwe!E127+Mikolongwe!F127+Mikolongwe!G127+Mikolongwe!H127+Mikolongwe!I127</f>
        <v>0</v>
      </c>
      <c r="K127" s="22">
        <f>Migowi!D127+Migowi!E127+Migowi!F127+Migowi!G127+Migowi!H127+Migowi!I127</f>
        <v>0</v>
      </c>
      <c r="L127" s="22">
        <f>Nkando!D127+Nkando!E127+Nkando!F127+Nkando!G127+Nkando!H127+Nkando!I127</f>
        <v>0</v>
      </c>
      <c r="M127" s="155">
        <f>SUM(D127:L127)</f>
        <v>0</v>
      </c>
    </row>
    <row r="128" spans="1:13" ht="15.75" x14ac:dyDescent="0.25">
      <c r="A128" s="476"/>
      <c r="B128" s="21" t="s">
        <v>82</v>
      </c>
      <c r="C128" s="4" t="s">
        <v>3</v>
      </c>
      <c r="D128" s="22">
        <f>Mulanje!D128+Mulanje!E128+Mulanje!F128+Mulanje!G128+Mulanje!H128+Mulanje!I128</f>
        <v>0</v>
      </c>
      <c r="E128" s="22">
        <f>Luchenza!D128+Luchenza!E128+Luchenza!F128+Luchenza!G128+Luchenza!H128+Luchenza!I128</f>
        <v>0</v>
      </c>
      <c r="F128" s="22">
        <f>Thyolo!D128+Thyolo!E128+Thyolo!F128+Thyolo!G128+Thyolo!H128+Thyolo!I128</f>
        <v>0</v>
      </c>
      <c r="G128" s="22">
        <f>Muloza!D128+Muloza!E128+Muloza!F128+Muloza!G128+Muloza!H128+Muloza!I128</f>
        <v>22</v>
      </c>
      <c r="H128" s="22">
        <f>MUST!D128+MUST!E128+MUST!F128+MUST!G128+MUST!H128+MUST!I128</f>
        <v>0</v>
      </c>
      <c r="I128" s="22">
        <f>Phalombe!D128+Phalombe!E128+Phalombe!F128+Phalombe!G128+Phalombe!H128+Phalombe!I128</f>
        <v>0</v>
      </c>
      <c r="J128" s="22">
        <f>Mikolongwe!D128+Mikolongwe!E128+Mikolongwe!F128+Mikolongwe!G128+Mikolongwe!H128+Mikolongwe!I128</f>
        <v>0</v>
      </c>
      <c r="K128" s="22">
        <f>Migowi!D128+Migowi!E128+Migowi!F128+Migowi!G128+Migowi!H128+Migowi!I128</f>
        <v>0</v>
      </c>
      <c r="L128" s="22">
        <f>Nkando!D128+Nkando!E128+Nkando!F128+Nkando!G128+Nkando!H128+Nkando!I128</f>
        <v>0</v>
      </c>
      <c r="M128" s="155">
        <f>SUM(D128:L128)</f>
        <v>22</v>
      </c>
    </row>
    <row r="129" spans="1:13" ht="15.75" x14ac:dyDescent="0.25">
      <c r="A129" s="477"/>
      <c r="B129" s="21" t="s">
        <v>81</v>
      </c>
      <c r="C129" s="4" t="s">
        <v>3</v>
      </c>
      <c r="D129" s="126">
        <f t="shared" ref="D129:M129" si="37">D125+D126-D127-D128</f>
        <v>0</v>
      </c>
      <c r="E129" s="126">
        <f t="shared" si="37"/>
        <v>0</v>
      </c>
      <c r="F129" s="126">
        <f t="shared" si="37"/>
        <v>0</v>
      </c>
      <c r="G129" s="126">
        <f t="shared" si="37"/>
        <v>9</v>
      </c>
      <c r="H129" s="126">
        <f t="shared" si="37"/>
        <v>0</v>
      </c>
      <c r="I129" s="126">
        <f t="shared" si="37"/>
        <v>0</v>
      </c>
      <c r="J129" s="126">
        <f t="shared" si="37"/>
        <v>0</v>
      </c>
      <c r="K129" s="126">
        <f t="shared" si="37"/>
        <v>0</v>
      </c>
      <c r="L129" s="126">
        <f t="shared" si="37"/>
        <v>0</v>
      </c>
      <c r="M129" s="31">
        <f t="shared" si="37"/>
        <v>9</v>
      </c>
    </row>
    <row r="130" spans="1:13" ht="15.75" x14ac:dyDescent="0.25">
      <c r="A130" s="475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155">
        <f>SUM(D130:L130)</f>
        <v>0</v>
      </c>
    </row>
    <row r="131" spans="1:13" ht="15.75" x14ac:dyDescent="0.25">
      <c r="A131" s="476"/>
      <c r="B131" s="21" t="s">
        <v>84</v>
      </c>
      <c r="C131" s="4" t="s">
        <v>3</v>
      </c>
      <c r="D131" s="22">
        <f>Mulanje!D131+Mulanje!E131+Mulanje!F131+Mulanje!G131+Mulanje!H131+Mulanje!I131</f>
        <v>0</v>
      </c>
      <c r="E131" s="22">
        <f>Luchenza!D131+Luchenza!E131+Luchenza!F131+Luchenza!G131+Luchenza!H131+Luchenza!I131</f>
        <v>0</v>
      </c>
      <c r="F131" s="22">
        <f>Thyolo!D131+Thyolo!E131+Thyolo!F131+Thyolo!G131+Thyolo!H131+Thyolo!I131</f>
        <v>0</v>
      </c>
      <c r="G131" s="22">
        <f>Muloza!D131+Muloza!E131+Muloza!F131+Muloza!G131+Muloza!H131+Muloza!I131</f>
        <v>0</v>
      </c>
      <c r="H131" s="22">
        <f>MUST!D131+MUST!E131+MUST!F131+MUST!G131+MUST!H131+MUST!I131</f>
        <v>0</v>
      </c>
      <c r="I131" s="22">
        <f>Phalombe!D131+Phalombe!E131+Phalombe!F131+Phalombe!G131+Phalombe!H131+Phalombe!I131</f>
        <v>0</v>
      </c>
      <c r="J131" s="22">
        <f>Mikolongwe!D131+Mikolongwe!E131+Mikolongwe!F131+Mikolongwe!G131+Mikolongwe!H131+Mikolongwe!I131</f>
        <v>0</v>
      </c>
      <c r="K131" s="22">
        <f>Migowi!D131+Migowi!E131+Migowi!F131+Migowi!G131+Migowi!H131+Migowi!I131</f>
        <v>0</v>
      </c>
      <c r="L131" s="22">
        <f>Nkando!D131+Nkando!E131+Nkando!F131+Nkando!G131+Nkando!H131+Nkando!I131</f>
        <v>0</v>
      </c>
      <c r="M131" s="155">
        <f>SUM(D131:L131)</f>
        <v>0</v>
      </c>
    </row>
    <row r="132" spans="1:13" ht="15.75" x14ac:dyDescent="0.25">
      <c r="A132" s="476"/>
      <c r="B132" s="72" t="s">
        <v>88</v>
      </c>
      <c r="C132" s="4" t="s">
        <v>3</v>
      </c>
      <c r="D132" s="22">
        <f>Mulanje!D132+Mulanje!E132+Mulanje!F132+Mulanje!G132+Mulanje!H132+Mulanje!I132</f>
        <v>0</v>
      </c>
      <c r="E132" s="22">
        <f>Luchenza!D132+Luchenza!E132+Luchenza!F132+Luchenza!G132+Luchenza!H132+Luchenza!I132</f>
        <v>0</v>
      </c>
      <c r="F132" s="22">
        <f>Thyolo!D132+Thyolo!E132+Thyolo!F132+Thyolo!G132+Thyolo!H132+Thyolo!I132</f>
        <v>0</v>
      </c>
      <c r="G132" s="22">
        <f>Muloza!D132+Muloza!E132+Muloza!F132+Muloza!G132+Muloza!H132+Muloza!I132</f>
        <v>0</v>
      </c>
      <c r="H132" s="22">
        <f>MUST!D132+MUST!E132+MUST!F132+MUST!G132+MUST!H132+MUST!I132</f>
        <v>0</v>
      </c>
      <c r="I132" s="22">
        <f>Phalombe!D132+Phalombe!E132+Phalombe!F132+Phalombe!G132+Phalombe!H132+Phalombe!I132</f>
        <v>0</v>
      </c>
      <c r="J132" s="22">
        <f>Mikolongwe!D132+Mikolongwe!E132+Mikolongwe!F132+Mikolongwe!G132+Mikolongwe!H132+Mikolongwe!I132</f>
        <v>0</v>
      </c>
      <c r="K132" s="22">
        <f>Migowi!D132+Migowi!E132+Migowi!F132+Migowi!G132+Migowi!H132+Migowi!I132</f>
        <v>0</v>
      </c>
      <c r="L132" s="22">
        <f>Nkando!D132+Nkando!E132+Nkando!F132+Nkando!G132+Nkando!H132+Nkando!I132</f>
        <v>0</v>
      </c>
      <c r="M132" s="155">
        <f>SUM(D132:L132)</f>
        <v>0</v>
      </c>
    </row>
    <row r="133" spans="1:13" ht="15.75" x14ac:dyDescent="0.25">
      <c r="A133" s="476"/>
      <c r="B133" s="21" t="s">
        <v>82</v>
      </c>
      <c r="C133" s="4" t="s">
        <v>3</v>
      </c>
      <c r="D133" s="22">
        <f>Mulanje!D133+Mulanje!E133+Mulanje!F133+Mulanje!G133+Mulanje!H133+Mulanje!I133</f>
        <v>0</v>
      </c>
      <c r="E133" s="22">
        <f>Luchenza!D133+Luchenza!E133+Luchenza!F133+Luchenza!G133+Luchenza!H133+Luchenza!I133</f>
        <v>0</v>
      </c>
      <c r="F133" s="22">
        <f>Thyolo!D133+Thyolo!E133+Thyolo!F133+Thyolo!G133+Thyolo!H133+Thyolo!I133</f>
        <v>0</v>
      </c>
      <c r="G133" s="22">
        <f>Muloza!D133+Muloza!E133+Muloza!F133+Muloza!G133+Muloza!H133+Muloza!I133</f>
        <v>0</v>
      </c>
      <c r="H133" s="22">
        <f>MUST!D133+MUST!E133+MUST!F133+MUST!G133+MUST!H133+MUST!I133</f>
        <v>0</v>
      </c>
      <c r="I133" s="22">
        <f>Phalombe!D133+Phalombe!E133+Phalombe!F133+Phalombe!G133+Phalombe!H133+Phalombe!I133</f>
        <v>0</v>
      </c>
      <c r="J133" s="22">
        <f>Mikolongwe!D133+Mikolongwe!E133+Mikolongwe!F133+Mikolongwe!G133+Mikolongwe!H133+Mikolongwe!I133</f>
        <v>0</v>
      </c>
      <c r="K133" s="22">
        <f>Migowi!D133+Migowi!E133+Migowi!F133+Migowi!G133+Migowi!H133+Migowi!I133</f>
        <v>0</v>
      </c>
      <c r="L133" s="22">
        <f>Nkando!D133+Nkando!E133+Nkando!F133+Nkando!G133+Nkando!H133+Nkando!I133</f>
        <v>0</v>
      </c>
      <c r="M133" s="155">
        <f>SUM(D133:L133)</f>
        <v>0</v>
      </c>
    </row>
    <row r="134" spans="1:13" ht="15.75" x14ac:dyDescent="0.25">
      <c r="A134" s="477"/>
      <c r="B134" s="21" t="s">
        <v>81</v>
      </c>
      <c r="C134" s="4" t="s">
        <v>3</v>
      </c>
      <c r="D134" s="126">
        <f t="shared" ref="D134:M134" si="38">D130+D131-D132-D133</f>
        <v>0</v>
      </c>
      <c r="E134" s="126">
        <f t="shared" si="38"/>
        <v>0</v>
      </c>
      <c r="F134" s="126">
        <f t="shared" si="38"/>
        <v>0</v>
      </c>
      <c r="G134" s="126">
        <f t="shared" si="38"/>
        <v>0</v>
      </c>
      <c r="H134" s="126">
        <f t="shared" si="38"/>
        <v>0</v>
      </c>
      <c r="I134" s="126">
        <f t="shared" si="38"/>
        <v>0</v>
      </c>
      <c r="J134" s="126">
        <f t="shared" si="38"/>
        <v>0</v>
      </c>
      <c r="K134" s="126">
        <f t="shared" si="38"/>
        <v>0</v>
      </c>
      <c r="L134" s="126">
        <f t="shared" si="38"/>
        <v>0</v>
      </c>
      <c r="M134" s="31">
        <f t="shared" si="38"/>
        <v>0</v>
      </c>
    </row>
    <row r="135" spans="1:13" ht="15.75" x14ac:dyDescent="0.25">
      <c r="A135" s="475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155">
        <f>SUM(D135:L135)</f>
        <v>0</v>
      </c>
    </row>
    <row r="136" spans="1:13" ht="15.75" x14ac:dyDescent="0.25">
      <c r="A136" s="476"/>
      <c r="B136" s="21" t="s">
        <v>84</v>
      </c>
      <c r="C136" s="4" t="s">
        <v>3</v>
      </c>
      <c r="D136" s="22">
        <f>Mulanje!D136+Mulanje!E136+Mulanje!F136+Mulanje!G136+Mulanje!H136+Mulanje!I136</f>
        <v>0</v>
      </c>
      <c r="E136" s="22">
        <f>Luchenza!D136+Luchenza!E136+Luchenza!F136+Luchenza!G136+Luchenza!H136+Luchenza!I136</f>
        <v>0</v>
      </c>
      <c r="F136" s="22">
        <f>Thyolo!D136+Thyolo!E136+Thyolo!F136+Thyolo!G136+Thyolo!H136+Thyolo!I136</f>
        <v>0</v>
      </c>
      <c r="G136" s="22">
        <f>Muloza!D136+Muloza!E136+Muloza!F136+Muloza!G136+Muloza!H136+Muloza!I136</f>
        <v>0</v>
      </c>
      <c r="H136" s="22">
        <f>MUST!D136+MUST!E136+MUST!F136+MUST!G136+MUST!H136+MUST!I136</f>
        <v>0</v>
      </c>
      <c r="I136" s="22">
        <f>Phalombe!D136+Phalombe!E136+Phalombe!F136+Phalombe!G136+Phalombe!H136+Phalombe!I136</f>
        <v>0</v>
      </c>
      <c r="J136" s="22">
        <f>Mikolongwe!D136+Mikolongwe!E136+Mikolongwe!F136+Mikolongwe!G136+Mikolongwe!H136+Mikolongwe!I136</f>
        <v>0</v>
      </c>
      <c r="K136" s="22">
        <f>Migowi!D136+Migowi!E136+Migowi!F136+Migowi!G136+Migowi!H136+Migowi!I136</f>
        <v>0</v>
      </c>
      <c r="L136" s="22">
        <f>Nkando!D136+Nkando!E136+Nkando!F136+Nkando!G136+Nkando!H136+Nkando!I136</f>
        <v>0</v>
      </c>
      <c r="M136" s="155">
        <f>SUM(D136:L136)</f>
        <v>0</v>
      </c>
    </row>
    <row r="137" spans="1:13" ht="15.75" x14ac:dyDescent="0.25">
      <c r="A137" s="476"/>
      <c r="B137" s="72" t="s">
        <v>88</v>
      </c>
      <c r="C137" s="4" t="s">
        <v>3</v>
      </c>
      <c r="D137" s="22">
        <f>Mulanje!D137+Mulanje!E137+Mulanje!F137+Mulanje!G137+Mulanje!H137+Mulanje!I137</f>
        <v>0</v>
      </c>
      <c r="E137" s="22">
        <f>Luchenza!D137+Luchenza!E137+Luchenza!F137+Luchenza!G137+Luchenza!H137+Luchenza!I137</f>
        <v>0</v>
      </c>
      <c r="F137" s="22">
        <f>Thyolo!D137+Thyolo!E137+Thyolo!F137+Thyolo!G137+Thyolo!H137+Thyolo!I137</f>
        <v>0</v>
      </c>
      <c r="G137" s="22">
        <f>Muloza!D137+Muloza!E137+Muloza!F137+Muloza!G137+Muloza!H137+Muloza!I137</f>
        <v>0</v>
      </c>
      <c r="H137" s="22">
        <f>MUST!D137+MUST!E137+MUST!F137+MUST!G137+MUST!H137+MUST!I137</f>
        <v>0</v>
      </c>
      <c r="I137" s="22">
        <f>Phalombe!D137+Phalombe!E137+Phalombe!F137+Phalombe!G137+Phalombe!H137+Phalombe!I137</f>
        <v>0</v>
      </c>
      <c r="J137" s="22">
        <f>Mikolongwe!D137+Mikolongwe!E137+Mikolongwe!F137+Mikolongwe!G137+Mikolongwe!H137+Mikolongwe!I137</f>
        <v>0</v>
      </c>
      <c r="K137" s="22">
        <f>Migowi!D137+Migowi!E137+Migowi!F137+Migowi!G137+Migowi!H137+Migowi!I137</f>
        <v>0</v>
      </c>
      <c r="L137" s="22">
        <f>Nkando!D137+Nkando!E137+Nkando!F137+Nkando!G137+Nkando!H137+Nkando!I137</f>
        <v>0</v>
      </c>
      <c r="M137" s="155">
        <f>SUM(D137:L137)</f>
        <v>0</v>
      </c>
    </row>
    <row r="138" spans="1:13" ht="15.75" x14ac:dyDescent="0.25">
      <c r="A138" s="476"/>
      <c r="B138" s="21" t="s">
        <v>82</v>
      </c>
      <c r="C138" s="4" t="s">
        <v>3</v>
      </c>
      <c r="D138" s="22">
        <f>Mulanje!D138+Mulanje!E138+Mulanje!F138+Mulanje!G138+Mulanje!H138+Mulanje!I138</f>
        <v>0</v>
      </c>
      <c r="E138" s="22">
        <f>Luchenza!D138+Luchenza!E138+Luchenza!F138+Luchenza!G138+Luchenza!H138+Luchenza!I138</f>
        <v>0</v>
      </c>
      <c r="F138" s="22">
        <f>Thyolo!D138+Thyolo!E138+Thyolo!F138+Thyolo!G138+Thyolo!H138+Thyolo!I138</f>
        <v>0</v>
      </c>
      <c r="G138" s="22">
        <f>Muloza!D138+Muloza!E138+Muloza!F138+Muloza!G138+Muloza!H138+Muloza!I138</f>
        <v>0</v>
      </c>
      <c r="H138" s="22">
        <f>MUST!D138+MUST!E138+MUST!F138+MUST!G138+MUST!H138+MUST!I138</f>
        <v>0</v>
      </c>
      <c r="I138" s="22">
        <f>Phalombe!D138+Phalombe!E138+Phalombe!F138+Phalombe!G138+Phalombe!H138+Phalombe!I138</f>
        <v>0</v>
      </c>
      <c r="J138" s="22">
        <f>Mikolongwe!D138+Mikolongwe!E138+Mikolongwe!F138+Mikolongwe!G138+Mikolongwe!H138+Mikolongwe!I138</f>
        <v>0</v>
      </c>
      <c r="K138" s="22">
        <f>Migowi!D138+Migowi!E138+Migowi!F138+Migowi!G138+Migowi!H138+Migowi!I138</f>
        <v>0</v>
      </c>
      <c r="L138" s="22">
        <f>Nkando!D138+Nkando!E138+Nkando!F138+Nkando!G138+Nkando!H138+Nkando!I138</f>
        <v>0</v>
      </c>
      <c r="M138" s="155">
        <f>SUM(D138:L138)</f>
        <v>0</v>
      </c>
    </row>
    <row r="139" spans="1:13" ht="15.75" x14ac:dyDescent="0.25">
      <c r="A139" s="477"/>
      <c r="B139" s="21" t="s">
        <v>81</v>
      </c>
      <c r="C139" s="4" t="s">
        <v>3</v>
      </c>
      <c r="D139" s="126">
        <f t="shared" ref="D139:M139" si="39">D135+D136-D137-D138</f>
        <v>0</v>
      </c>
      <c r="E139" s="126">
        <f t="shared" si="39"/>
        <v>0</v>
      </c>
      <c r="F139" s="126">
        <f t="shared" si="39"/>
        <v>0</v>
      </c>
      <c r="G139" s="126">
        <f t="shared" si="39"/>
        <v>0</v>
      </c>
      <c r="H139" s="126">
        <f t="shared" si="39"/>
        <v>0</v>
      </c>
      <c r="I139" s="126">
        <f t="shared" si="39"/>
        <v>0</v>
      </c>
      <c r="J139" s="126">
        <f t="shared" si="39"/>
        <v>0</v>
      </c>
      <c r="K139" s="126">
        <f t="shared" si="39"/>
        <v>0</v>
      </c>
      <c r="L139" s="126">
        <f t="shared" si="39"/>
        <v>0</v>
      </c>
      <c r="M139" s="31">
        <f t="shared" si="39"/>
        <v>0</v>
      </c>
    </row>
    <row r="140" spans="1:13" ht="15.75" x14ac:dyDescent="0.25">
      <c r="A140" s="475" t="s">
        <v>87</v>
      </c>
      <c r="B140" s="21" t="s">
        <v>85</v>
      </c>
      <c r="C140" s="4" t="s">
        <v>3</v>
      </c>
      <c r="D140" s="22">
        <f>Mulanje!D140</f>
        <v>124</v>
      </c>
      <c r="E140" s="22">
        <f>Luchenza!D140</f>
        <v>36</v>
      </c>
      <c r="F140" s="22">
        <f>Thyolo!D140</f>
        <v>14</v>
      </c>
      <c r="G140" s="22">
        <f>Muloza!D140</f>
        <v>16</v>
      </c>
      <c r="H140" s="22">
        <f>MUST!D140</f>
        <v>0</v>
      </c>
      <c r="I140" s="22">
        <f>Phalombe!D140</f>
        <v>15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155">
        <f>SUM(D140:L140)</f>
        <v>205</v>
      </c>
    </row>
    <row r="141" spans="1:13" ht="15.75" x14ac:dyDescent="0.25">
      <c r="A141" s="476"/>
      <c r="B141" s="21" t="s">
        <v>84</v>
      </c>
      <c r="C141" s="4" t="s">
        <v>3</v>
      </c>
      <c r="D141" s="22">
        <f>Mulanje!D141+Mulanje!E141+Mulanje!F141+Mulanje!G141+Mulanje!H141+Mulanje!I141</f>
        <v>38</v>
      </c>
      <c r="E141" s="22">
        <f>Luchenza!D141+Luchenza!E141+Luchenza!F141+Luchenza!G141+Luchenza!H141+Luchenza!I141</f>
        <v>80</v>
      </c>
      <c r="F141" s="22">
        <f>Thyolo!D141+Thyolo!E141+Thyolo!F141+Thyolo!G141+Thyolo!H141+Thyolo!I141</f>
        <v>36</v>
      </c>
      <c r="G141" s="22">
        <f>Muloza!D141+Muloza!E141+Muloza!F141+Muloza!G141+Muloza!H141+Muloza!I141</f>
        <v>6</v>
      </c>
      <c r="H141" s="22">
        <f>MUST!D141+MUST!E141+MUST!F141+MUST!G141+MUST!H141+MUST!I141</f>
        <v>0</v>
      </c>
      <c r="I141" s="22">
        <f>Phalombe!D141+Phalombe!E141+Phalombe!F141+Phalombe!G141+Phalombe!H141+Phalombe!I141</f>
        <v>17</v>
      </c>
      <c r="J141" s="22">
        <f>Mikolongwe!D141+Mikolongwe!E141+Mikolongwe!F141+Mikolongwe!G141+Mikolongwe!H141+Mikolongwe!I141</f>
        <v>0</v>
      </c>
      <c r="K141" s="22">
        <f>Migowi!D141+Migowi!E141+Migowi!F141+Migowi!G141+Migowi!H141+Migowi!I141</f>
        <v>0</v>
      </c>
      <c r="L141" s="22">
        <f>Nkando!D141+Nkando!E141+Nkando!F141+Nkando!G141+Nkando!H141+Nkando!I141</f>
        <v>0</v>
      </c>
      <c r="M141" s="155">
        <f>SUM(D141:L141)</f>
        <v>177</v>
      </c>
    </row>
    <row r="142" spans="1:13" ht="15.75" x14ac:dyDescent="0.25">
      <c r="A142" s="476"/>
      <c r="B142" s="21" t="s">
        <v>83</v>
      </c>
      <c r="C142" s="4" t="s">
        <v>3</v>
      </c>
      <c r="D142" s="22">
        <f>Mulanje!D142+Mulanje!E142+Mulanje!F142+Mulanje!G142+Mulanje!H142+Mulanje!I142</f>
        <v>64</v>
      </c>
      <c r="E142" s="22">
        <f>Luchenza!D142+Luchenza!E142+Luchenza!F142+Luchenza!G142+Luchenza!H142+Luchenza!I142</f>
        <v>63</v>
      </c>
      <c r="F142" s="22">
        <f>Thyolo!D142+Thyolo!E142+Thyolo!F142+Thyolo!G142+Thyolo!H142+Thyolo!I142</f>
        <v>37</v>
      </c>
      <c r="G142" s="22">
        <f>Muloza!D142+Muloza!E142+Muloza!F142+Muloza!G142+Muloza!H142+Muloza!I142</f>
        <v>0</v>
      </c>
      <c r="H142" s="22">
        <f>MUST!D142+MUST!E142+MUST!F142+MUST!G142+MUST!H142+MUST!I142</f>
        <v>0</v>
      </c>
      <c r="I142" s="22">
        <f>Phalombe!D142+Phalombe!E142+Phalombe!F142+Phalombe!G142+Phalombe!H142+Phalombe!I142</f>
        <v>3</v>
      </c>
      <c r="J142" s="22">
        <f>Mikolongwe!D142+Mikolongwe!E142+Mikolongwe!F142+Mikolongwe!G142+Mikolongwe!H142+Mikolongwe!I142</f>
        <v>0</v>
      </c>
      <c r="K142" s="22">
        <f>Migowi!D142+Migowi!E142+Migowi!F142+Migowi!G142+Migowi!H142+Migowi!I142</f>
        <v>0</v>
      </c>
      <c r="L142" s="22">
        <f>Nkando!D142+Nkando!E142+Nkando!F142+Nkando!G142+Nkando!H142+Nkando!I142</f>
        <v>0</v>
      </c>
      <c r="M142" s="155">
        <f>SUM(D142:L142)</f>
        <v>167</v>
      </c>
    </row>
    <row r="143" spans="1:13" ht="15.75" x14ac:dyDescent="0.25">
      <c r="A143" s="476"/>
      <c r="B143" s="21" t="s">
        <v>82</v>
      </c>
      <c r="C143" s="4" t="s">
        <v>3</v>
      </c>
      <c r="D143" s="22">
        <f>Mulanje!D143+Mulanje!E143+Mulanje!F143+Mulanje!G143+Mulanje!H143+Mulanje!I143</f>
        <v>70</v>
      </c>
      <c r="E143" s="22">
        <f>Luchenza!D143+Luchenza!E143+Luchenza!F143+Luchenza!G143+Luchenza!H143+Luchenza!I143</f>
        <v>41</v>
      </c>
      <c r="F143" s="22">
        <f>Thyolo!D143+Thyolo!E143+Thyolo!F143+Thyolo!G143+Thyolo!H143+Thyolo!I143</f>
        <v>0</v>
      </c>
      <c r="G143" s="22">
        <f>Muloza!D143+Muloza!E143+Muloza!F143+Muloza!G143+Muloza!H143+Muloza!I143</f>
        <v>22</v>
      </c>
      <c r="H143" s="22">
        <f>MUST!D143+MUST!E143+MUST!F143+MUST!G143+MUST!H143+MUST!I143</f>
        <v>0</v>
      </c>
      <c r="I143" s="22">
        <f>Phalombe!D143+Phalombe!E143+Phalombe!F143+Phalombe!G143+Phalombe!H143+Phalombe!I143</f>
        <v>3</v>
      </c>
      <c r="J143" s="22">
        <f>Mikolongwe!D143+Mikolongwe!E143+Mikolongwe!F143+Mikolongwe!G143+Mikolongwe!H143+Mikolongwe!I143</f>
        <v>0</v>
      </c>
      <c r="K143" s="22">
        <f>Migowi!D143+Migowi!E143+Migowi!F143+Migowi!G143+Migowi!H143+Migowi!I143</f>
        <v>0</v>
      </c>
      <c r="L143" s="22">
        <f>Nkando!D143+Nkando!E143+Nkando!F143+Nkando!G143+Nkando!H143+Nkando!I143</f>
        <v>0</v>
      </c>
      <c r="M143" s="155">
        <f>SUM(D143:L143)</f>
        <v>136</v>
      </c>
    </row>
    <row r="144" spans="1:13" ht="15.75" x14ac:dyDescent="0.25">
      <c r="A144" s="477"/>
      <c r="B144" s="21" t="s">
        <v>81</v>
      </c>
      <c r="C144" s="4" t="s">
        <v>3</v>
      </c>
      <c r="D144" s="126">
        <f t="shared" ref="D144:M144" si="40">D140+D141-D142-D143</f>
        <v>28</v>
      </c>
      <c r="E144" s="126">
        <f t="shared" si="40"/>
        <v>12</v>
      </c>
      <c r="F144" s="126">
        <f t="shared" si="40"/>
        <v>13</v>
      </c>
      <c r="G144" s="126">
        <f t="shared" si="40"/>
        <v>0</v>
      </c>
      <c r="H144" s="126">
        <f t="shared" si="40"/>
        <v>0</v>
      </c>
      <c r="I144" s="126">
        <f t="shared" si="40"/>
        <v>26</v>
      </c>
      <c r="J144" s="126">
        <f t="shared" si="40"/>
        <v>0</v>
      </c>
      <c r="K144" s="126">
        <f t="shared" si="40"/>
        <v>0</v>
      </c>
      <c r="L144" s="126">
        <f t="shared" si="40"/>
        <v>0</v>
      </c>
      <c r="M144" s="31">
        <f t="shared" si="40"/>
        <v>79</v>
      </c>
    </row>
    <row r="145" spans="1:13" ht="15.75" x14ac:dyDescent="0.25">
      <c r="A145" s="475" t="s">
        <v>86</v>
      </c>
      <c r="B145" s="21" t="s">
        <v>85</v>
      </c>
      <c r="C145" s="4" t="s">
        <v>3</v>
      </c>
      <c r="D145" s="127">
        <f t="shared" ref="D145:M149" si="41">D125+D130+D135+D140</f>
        <v>124</v>
      </c>
      <c r="E145" s="127">
        <f t="shared" si="41"/>
        <v>36</v>
      </c>
      <c r="F145" s="127">
        <f t="shared" si="41"/>
        <v>14</v>
      </c>
      <c r="G145" s="127">
        <f t="shared" si="41"/>
        <v>32</v>
      </c>
      <c r="H145" s="127">
        <f t="shared" si="41"/>
        <v>0</v>
      </c>
      <c r="I145" s="127">
        <f t="shared" si="41"/>
        <v>15</v>
      </c>
      <c r="J145" s="127">
        <f t="shared" si="41"/>
        <v>0</v>
      </c>
      <c r="K145" s="127">
        <f t="shared" si="41"/>
        <v>0</v>
      </c>
      <c r="L145" s="127">
        <f t="shared" si="41"/>
        <v>0</v>
      </c>
      <c r="M145" s="99">
        <f t="shared" si="41"/>
        <v>221</v>
      </c>
    </row>
    <row r="146" spans="1:13" ht="15.75" x14ac:dyDescent="0.25">
      <c r="A146" s="476"/>
      <c r="B146" s="21" t="s">
        <v>84</v>
      </c>
      <c r="C146" s="4" t="s">
        <v>3</v>
      </c>
      <c r="D146" s="127">
        <f t="shared" si="41"/>
        <v>38</v>
      </c>
      <c r="E146" s="127">
        <f t="shared" si="41"/>
        <v>80</v>
      </c>
      <c r="F146" s="127">
        <f t="shared" si="41"/>
        <v>36</v>
      </c>
      <c r="G146" s="127">
        <f t="shared" si="41"/>
        <v>21</v>
      </c>
      <c r="H146" s="127">
        <f t="shared" si="41"/>
        <v>0</v>
      </c>
      <c r="I146" s="127">
        <f t="shared" si="41"/>
        <v>17</v>
      </c>
      <c r="J146" s="127">
        <f t="shared" si="41"/>
        <v>0</v>
      </c>
      <c r="K146" s="127">
        <f t="shared" si="41"/>
        <v>0</v>
      </c>
      <c r="L146" s="127">
        <f t="shared" si="41"/>
        <v>0</v>
      </c>
      <c r="M146" s="99">
        <f t="shared" si="41"/>
        <v>192</v>
      </c>
    </row>
    <row r="147" spans="1:13" ht="15.75" x14ac:dyDescent="0.25">
      <c r="A147" s="476"/>
      <c r="B147" s="21" t="s">
        <v>83</v>
      </c>
      <c r="C147" s="4" t="s">
        <v>3</v>
      </c>
      <c r="D147" s="127">
        <f t="shared" si="41"/>
        <v>64</v>
      </c>
      <c r="E147" s="127">
        <f t="shared" si="41"/>
        <v>63</v>
      </c>
      <c r="F147" s="127">
        <f t="shared" si="41"/>
        <v>37</v>
      </c>
      <c r="G147" s="127">
        <f t="shared" si="41"/>
        <v>0</v>
      </c>
      <c r="H147" s="127">
        <f t="shared" si="41"/>
        <v>0</v>
      </c>
      <c r="I147" s="127">
        <f t="shared" si="41"/>
        <v>3</v>
      </c>
      <c r="J147" s="127">
        <f t="shared" si="41"/>
        <v>0</v>
      </c>
      <c r="K147" s="127">
        <f t="shared" si="41"/>
        <v>0</v>
      </c>
      <c r="L147" s="127">
        <f t="shared" si="41"/>
        <v>0</v>
      </c>
      <c r="M147" s="99">
        <f t="shared" si="41"/>
        <v>167</v>
      </c>
    </row>
    <row r="148" spans="1:13" ht="15.75" x14ac:dyDescent="0.25">
      <c r="A148" s="476"/>
      <c r="B148" s="21" t="s">
        <v>82</v>
      </c>
      <c r="C148" s="4" t="s">
        <v>3</v>
      </c>
      <c r="D148" s="127">
        <f t="shared" si="41"/>
        <v>70</v>
      </c>
      <c r="E148" s="127">
        <f t="shared" si="41"/>
        <v>41</v>
      </c>
      <c r="F148" s="127">
        <f t="shared" si="41"/>
        <v>0</v>
      </c>
      <c r="G148" s="127">
        <f t="shared" si="41"/>
        <v>44</v>
      </c>
      <c r="H148" s="127">
        <f t="shared" si="41"/>
        <v>0</v>
      </c>
      <c r="I148" s="127">
        <f t="shared" si="41"/>
        <v>3</v>
      </c>
      <c r="J148" s="127">
        <f t="shared" si="41"/>
        <v>0</v>
      </c>
      <c r="K148" s="127">
        <f t="shared" si="41"/>
        <v>0</v>
      </c>
      <c r="L148" s="127">
        <f t="shared" si="41"/>
        <v>0</v>
      </c>
      <c r="M148" s="99">
        <f t="shared" si="41"/>
        <v>158</v>
      </c>
    </row>
    <row r="149" spans="1:13" ht="15.75" x14ac:dyDescent="0.25">
      <c r="A149" s="477"/>
      <c r="B149" s="21" t="s">
        <v>81</v>
      </c>
      <c r="C149" s="4" t="s">
        <v>3</v>
      </c>
      <c r="D149" s="126">
        <f t="shared" ref="D149:L149" si="42">D145+D146-D147-D148</f>
        <v>28</v>
      </c>
      <c r="E149" s="126">
        <f t="shared" si="42"/>
        <v>12</v>
      </c>
      <c r="F149" s="126">
        <f t="shared" si="42"/>
        <v>13</v>
      </c>
      <c r="G149" s="126">
        <f t="shared" si="42"/>
        <v>9</v>
      </c>
      <c r="H149" s="126">
        <f t="shared" si="42"/>
        <v>0</v>
      </c>
      <c r="I149" s="126">
        <f t="shared" si="42"/>
        <v>26</v>
      </c>
      <c r="J149" s="126">
        <f t="shared" si="42"/>
        <v>0</v>
      </c>
      <c r="K149" s="126">
        <f t="shared" si="42"/>
        <v>0</v>
      </c>
      <c r="L149" s="126">
        <f t="shared" si="42"/>
        <v>0</v>
      </c>
      <c r="M149" s="99">
        <f t="shared" si="41"/>
        <v>88</v>
      </c>
    </row>
    <row r="150" spans="1:13" x14ac:dyDescent="0.25">
      <c r="A150" s="442" t="s">
        <v>80</v>
      </c>
      <c r="B150" s="443"/>
      <c r="C150" s="443"/>
      <c r="D150" s="443"/>
      <c r="E150" s="443"/>
      <c r="F150" s="443"/>
      <c r="G150" s="443"/>
      <c r="H150" s="443"/>
      <c r="I150" s="443"/>
      <c r="J150" s="443"/>
      <c r="K150" s="443"/>
      <c r="L150" s="443"/>
      <c r="M150" s="444"/>
    </row>
    <row r="151" spans="1:13" ht="15.6" customHeight="1" x14ac:dyDescent="0.25">
      <c r="A151" s="472" t="s">
        <v>79</v>
      </c>
      <c r="B151" s="473"/>
      <c r="C151" s="473"/>
      <c r="D151" s="473"/>
      <c r="E151" s="473"/>
      <c r="F151" s="473"/>
      <c r="G151" s="473"/>
      <c r="H151" s="473"/>
      <c r="I151" s="473"/>
      <c r="J151" s="473"/>
      <c r="K151" s="473"/>
      <c r="L151" s="473"/>
      <c r="M151" s="474"/>
    </row>
    <row r="152" spans="1:13" ht="15.75" x14ac:dyDescent="0.25">
      <c r="A152" s="46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75" x14ac:dyDescent="0.25">
      <c r="A153" s="463"/>
      <c r="B153" s="17" t="s">
        <v>73</v>
      </c>
      <c r="C153" s="4" t="s">
        <v>57</v>
      </c>
      <c r="D153" s="22">
        <f>Mulanje!D153+Mulanje!E153+Mulanje!F153+Mulanje!G153+Mulanje!H153+Mulanje!I153</f>
        <v>57</v>
      </c>
      <c r="E153" s="22">
        <f>Luchenza!D153+Luchenza!E153+Luchenza!F153+Luchenza!G153+Luchenza!H153+Luchenza!I153</f>
        <v>223</v>
      </c>
      <c r="F153" s="22">
        <f>Thyolo!D153+Thyolo!E153+Thyolo!F153+Thyolo!G153+Thyolo!H153+Thyolo!I153</f>
        <v>106</v>
      </c>
      <c r="G153" s="22">
        <f>Muloza!D153+Muloza!E153+Muloza!F153+Muloza!G153+Muloza!H153+Muloza!I153</f>
        <v>29</v>
      </c>
      <c r="H153" s="22">
        <f>MUST!D153+MUST!E153+MUST!F153+MUST!G153+MUST!H153+MUST!I153</f>
        <v>6</v>
      </c>
      <c r="I153" s="22">
        <f>Phalombe!D153+Phalombe!E153+Phalombe!F153+Phalombe!G153+Phalombe!H153+Phalombe!I153</f>
        <v>15</v>
      </c>
      <c r="J153" s="22">
        <f>Mikolongwe!D153+Mikolongwe!E153+Mikolongwe!F153+Mikolongwe!G153+Mikolongwe!H153+Mikolongwe!I153</f>
        <v>8</v>
      </c>
      <c r="K153" s="22">
        <f>Migowi!D153+Migowi!E153+Migowi!F153+Migowi!G153+Migowi!H153+Migowi!I153</f>
        <v>1</v>
      </c>
      <c r="L153" s="412">
        <f>Nkando!D153+Nkando!E153+Nkando!F153+Nkando!G153+Nkando!H153+Nkando!I153</f>
        <v>6</v>
      </c>
      <c r="M153" s="31">
        <f t="shared" ref="M153:M165" si="43">SUM(D153:L153)</f>
        <v>451</v>
      </c>
    </row>
    <row r="154" spans="1:13" ht="15.75" x14ac:dyDescent="0.25">
      <c r="A154" s="463"/>
      <c r="B154" s="17" t="s">
        <v>72</v>
      </c>
      <c r="C154" s="4" t="s">
        <v>57</v>
      </c>
      <c r="D154" s="22">
        <f>Mulanje!D154+Mulanje!E154+Mulanje!F154+Mulanje!G154+Mulanje!H154+Mulanje!I154</f>
        <v>24</v>
      </c>
      <c r="E154" s="22">
        <f>Luchenza!D154+Luchenza!E154+Luchenza!F154+Luchenza!G154+Luchenza!H154+Luchenza!I154</f>
        <v>131</v>
      </c>
      <c r="F154" s="22">
        <f>Thyolo!D154+Thyolo!E154+Thyolo!F154+Thyolo!G154+Thyolo!H154+Thyolo!I154</f>
        <v>76</v>
      </c>
      <c r="G154" s="22">
        <f>Muloza!D154+Muloza!E154+Muloza!F154+Muloza!G154+Muloza!H154+Muloza!I154</f>
        <v>18</v>
      </c>
      <c r="H154" s="22">
        <f>MUST!D154+MUST!E154+MUST!F154+MUST!G154+MUST!H154+MUST!I154</f>
        <v>7</v>
      </c>
      <c r="I154" s="22">
        <f>Phalombe!D154+Phalombe!E154+Phalombe!F154+Phalombe!G154+Phalombe!H154+Phalombe!I154</f>
        <v>10</v>
      </c>
      <c r="J154" s="22">
        <f>Mikolongwe!D154+Mikolongwe!E154+Mikolongwe!F154+Mikolongwe!G154+Mikolongwe!H154+Mikolongwe!I154</f>
        <v>2</v>
      </c>
      <c r="K154" s="22">
        <f>Migowi!D154+Migowi!E154+Migowi!F154+Migowi!G154+Migowi!H154+Migowi!I154</f>
        <v>0</v>
      </c>
      <c r="L154" s="412">
        <f>Nkando!D154+Nkando!E154+Nkando!F154+Nkando!G154+Nkando!H154+Nkando!I154</f>
        <v>3</v>
      </c>
      <c r="M154" s="31">
        <f t="shared" si="43"/>
        <v>271</v>
      </c>
    </row>
    <row r="155" spans="1:13" ht="15.75" x14ac:dyDescent="0.25">
      <c r="A155" s="463"/>
      <c r="B155" s="17" t="s">
        <v>53</v>
      </c>
      <c r="C155" s="4" t="s">
        <v>57</v>
      </c>
      <c r="D155" s="22">
        <f>Mulanje!D155+Mulanje!E155+Mulanje!F155+Mulanje!G155+Mulanje!H155+Mulanje!I155</f>
        <v>20</v>
      </c>
      <c r="E155" s="22">
        <f>Luchenza!D155+Luchenza!E155+Luchenza!F155+Luchenza!G155+Luchenza!H155+Luchenza!I155</f>
        <v>43</v>
      </c>
      <c r="F155" s="22">
        <f>Thyolo!D155+Thyolo!E155+Thyolo!F155+Thyolo!G155+Thyolo!H155+Thyolo!I155</f>
        <v>53</v>
      </c>
      <c r="G155" s="22">
        <f>Muloza!D155+Muloza!E155+Muloza!F155+Muloza!G155+Muloza!H155+Muloza!I155</f>
        <v>1</v>
      </c>
      <c r="H155" s="22">
        <f>MUST!D155+MUST!E155+MUST!F155+MUST!G155+MUST!H155+MUST!I155</f>
        <v>8</v>
      </c>
      <c r="I155" s="22">
        <f>Phalombe!D155+Phalombe!E155+Phalombe!F155+Phalombe!G155+Phalombe!H155+Phalombe!I155</f>
        <v>12</v>
      </c>
      <c r="J155" s="22">
        <f>Mikolongwe!D155+Mikolongwe!E155+Mikolongwe!F155+Mikolongwe!G155+Mikolongwe!H155+Mikolongwe!I155</f>
        <v>0</v>
      </c>
      <c r="K155" s="22">
        <f>Migowi!D155+Migowi!E155+Migowi!F155+Migowi!G155+Migowi!H155+Migowi!I155</f>
        <v>0</v>
      </c>
      <c r="L155" s="412">
        <f>Nkando!D155+Nkando!E155+Nkando!F155+Nkando!G155+Nkando!H155+Nkando!I155</f>
        <v>0</v>
      </c>
      <c r="M155" s="31">
        <f t="shared" si="43"/>
        <v>137</v>
      </c>
    </row>
    <row r="156" spans="1:13" ht="15.75" x14ac:dyDescent="0.25">
      <c r="A156" s="463"/>
      <c r="B156" s="17" t="s">
        <v>71</v>
      </c>
      <c r="C156" s="4" t="s">
        <v>57</v>
      </c>
      <c r="D156" s="22">
        <f>Mulanje!D156+Mulanje!E156+Mulanje!F156+Mulanje!G156+Mulanje!H156+Mulanje!I156</f>
        <v>5</v>
      </c>
      <c r="E156" s="22">
        <f>Luchenza!D156+Luchenza!E156+Luchenza!F156+Luchenza!G156+Luchenza!H156+Luchenza!I156</f>
        <v>7</v>
      </c>
      <c r="F156" s="22">
        <f>Thyolo!D156+Thyolo!E156+Thyolo!F156+Thyolo!G156+Thyolo!H156+Thyolo!I156</f>
        <v>5</v>
      </c>
      <c r="G156" s="22">
        <f>Muloza!D156+Muloza!E156+Muloza!F156+Muloza!G156+Muloza!H156+Muloza!I156</f>
        <v>0</v>
      </c>
      <c r="H156" s="22">
        <f>MUST!D156+MUST!E156+MUST!F156+MUST!G156+MUST!H156+MUST!I156</f>
        <v>0</v>
      </c>
      <c r="I156" s="22">
        <f>Phalombe!D156+Phalombe!E156+Phalombe!F156+Phalombe!G156+Phalombe!H156+Phalombe!I156</f>
        <v>5</v>
      </c>
      <c r="J156" s="22">
        <f>Mikolongwe!D156+Mikolongwe!E156+Mikolongwe!F156+Mikolongwe!G156+Mikolongwe!H156+Mikolongwe!I156</f>
        <v>0</v>
      </c>
      <c r="K156" s="22">
        <f>Migowi!D156+Migowi!E156+Migowi!F156+Migowi!G156+Migowi!H156+Migowi!I156</f>
        <v>0</v>
      </c>
      <c r="L156" s="412">
        <f>Nkando!D156+Nkando!E156+Nkando!F156+Nkando!G156+Nkando!H156+Nkando!I156</f>
        <v>0</v>
      </c>
      <c r="M156" s="31">
        <f t="shared" si="43"/>
        <v>22</v>
      </c>
    </row>
    <row r="157" spans="1:13" ht="15.75" x14ac:dyDescent="0.25">
      <c r="A157" s="463"/>
      <c r="B157" s="17" t="s">
        <v>52</v>
      </c>
      <c r="C157" s="4" t="s">
        <v>57</v>
      </c>
      <c r="D157" s="22">
        <f>Mulanje!D157+Mulanje!E157+Mulanje!F157+Mulanje!G157+Mulanje!H157+Mulanje!I157</f>
        <v>0</v>
      </c>
      <c r="E157" s="22">
        <f>Luchenza!D157+Luchenza!E157+Luchenza!F157+Luchenza!G157+Luchenza!H157+Luchenza!I157</f>
        <v>21</v>
      </c>
      <c r="F157" s="22">
        <f>Thyolo!D157+Thyolo!E157+Thyolo!F157+Thyolo!G157+Thyolo!H157+Thyolo!I157</f>
        <v>20</v>
      </c>
      <c r="G157" s="22">
        <f>Muloza!D157+Muloza!E157+Muloza!F157+Muloza!G157+Muloza!H157+Muloza!I157</f>
        <v>1</v>
      </c>
      <c r="H157" s="22">
        <f>MUST!D157+MUST!E157+MUST!F157+MUST!G157+MUST!H157+MUST!I157</f>
        <v>0</v>
      </c>
      <c r="I157" s="22">
        <f>Phalombe!D157+Phalombe!E157+Phalombe!F157+Phalombe!G157+Phalombe!H157+Phalombe!I157</f>
        <v>9</v>
      </c>
      <c r="J157" s="22">
        <f>Mikolongwe!D157+Mikolongwe!E157+Mikolongwe!F157+Mikolongwe!G157+Mikolongwe!H157+Mikolongwe!I157</f>
        <v>2</v>
      </c>
      <c r="K157" s="22">
        <f>Migowi!D157+Migowi!E157+Migowi!F157+Migowi!G157+Migowi!H157+Migowi!I157</f>
        <v>0</v>
      </c>
      <c r="L157" s="412">
        <f>Nkando!D157+Nkando!E157+Nkando!F157+Nkando!G157+Nkando!H157+Nkando!I157</f>
        <v>0</v>
      </c>
      <c r="M157" s="31">
        <f t="shared" si="43"/>
        <v>53</v>
      </c>
    </row>
    <row r="158" spans="1:13" ht="15.75" x14ac:dyDescent="0.25">
      <c r="A158" s="463"/>
      <c r="B158" s="17" t="s">
        <v>51</v>
      </c>
      <c r="C158" s="4" t="s">
        <v>57</v>
      </c>
      <c r="D158" s="22">
        <f>Mulanje!D158+Mulanje!E158+Mulanje!F158+Mulanje!G158+Mulanje!H158+Mulanje!I158</f>
        <v>1</v>
      </c>
      <c r="E158" s="22">
        <f>Luchenza!D158+Luchenza!E158+Luchenza!F158+Luchenza!G158+Luchenza!H158+Luchenza!I158</f>
        <v>16</v>
      </c>
      <c r="F158" s="22">
        <f>Thyolo!D158+Thyolo!E158+Thyolo!F158+Thyolo!G158+Thyolo!H158+Thyolo!I158</f>
        <v>4</v>
      </c>
      <c r="G158" s="22">
        <f>Muloza!D158+Muloza!E158+Muloza!F158+Muloza!G158+Muloza!H158+Muloza!I158</f>
        <v>1</v>
      </c>
      <c r="H158" s="22">
        <f>MUST!D158+MUST!E158+MUST!F158+MUST!G158+MUST!H158+MUST!I158</f>
        <v>0</v>
      </c>
      <c r="I158" s="22">
        <f>Phalombe!D158+Phalombe!E158+Phalombe!F158+Phalombe!G158+Phalombe!H158+Phalombe!I158</f>
        <v>9</v>
      </c>
      <c r="J158" s="22">
        <f>Mikolongwe!D158+Mikolongwe!E158+Mikolongwe!F158+Mikolongwe!G158+Mikolongwe!H158+Mikolongwe!I158</f>
        <v>3</v>
      </c>
      <c r="K158" s="22">
        <f>Migowi!D158+Migowi!E158+Migowi!F158+Migowi!G158+Migowi!H158+Migowi!I158</f>
        <v>0</v>
      </c>
      <c r="L158" s="412">
        <f>Nkando!D158+Nkando!E158+Nkando!F158+Nkando!G158+Nkando!H158+Nkando!I158</f>
        <v>0</v>
      </c>
      <c r="M158" s="31">
        <f t="shared" si="43"/>
        <v>34</v>
      </c>
    </row>
    <row r="159" spans="1:13" ht="15.75" x14ac:dyDescent="0.25">
      <c r="A159" s="463"/>
      <c r="B159" s="17" t="s">
        <v>62</v>
      </c>
      <c r="C159" s="4" t="s">
        <v>57</v>
      </c>
      <c r="D159" s="22">
        <f>Mulanje!D159+Mulanje!E159+Mulanje!F159+Mulanje!G159+Mulanje!H159+Mulanje!I159</f>
        <v>2</v>
      </c>
      <c r="E159" s="22">
        <f>Luchenza!D159+Luchenza!E159+Luchenza!F159+Luchenza!G159+Luchenza!H159+Luchenza!I159</f>
        <v>0</v>
      </c>
      <c r="F159" s="22">
        <f>Thyolo!D159+Thyolo!E159+Thyolo!F159+Thyolo!G159+Thyolo!H159+Thyolo!I159</f>
        <v>0</v>
      </c>
      <c r="G159" s="22">
        <f>Muloza!D159+Muloza!E159+Muloza!F159+Muloza!G159+Muloza!H159+Muloza!I159</f>
        <v>1</v>
      </c>
      <c r="H159" s="22">
        <f>MUST!D159+MUST!E159+MUST!F159+MUST!G159+MUST!H159+MUST!I159</f>
        <v>0</v>
      </c>
      <c r="I159" s="22">
        <f>Phalombe!D159+Phalombe!E159+Phalombe!F159+Phalombe!G159+Phalombe!H159+Phalombe!I159</f>
        <v>3</v>
      </c>
      <c r="J159" s="22">
        <f>Mikolongwe!D159+Mikolongwe!E159+Mikolongwe!F159+Mikolongwe!G159+Mikolongwe!H159+Mikolongwe!I159</f>
        <v>0</v>
      </c>
      <c r="K159" s="22">
        <f>Migowi!D159+Migowi!E159+Migowi!F159+Migowi!G159+Migowi!H159+Migowi!I159</f>
        <v>0</v>
      </c>
      <c r="L159" s="412">
        <f>Nkando!D159+Nkando!E159+Nkando!F159+Nkando!G159+Nkando!H159+Nkando!I159</f>
        <v>0</v>
      </c>
      <c r="M159" s="31">
        <f t="shared" si="43"/>
        <v>6</v>
      </c>
    </row>
    <row r="160" spans="1:13" ht="15.75" x14ac:dyDescent="0.25">
      <c r="A160" s="463"/>
      <c r="B160" s="17" t="s">
        <v>50</v>
      </c>
      <c r="C160" s="4" t="s">
        <v>57</v>
      </c>
      <c r="D160" s="22">
        <f>Mulanje!D160+Mulanje!E160+Mulanje!F160+Mulanje!G160+Mulanje!H160+Mulanje!I160</f>
        <v>2</v>
      </c>
      <c r="E160" s="22">
        <f>Luchenza!D160+Luchenza!E160+Luchenza!F160+Luchenza!G160+Luchenza!H160+Luchenza!I160</f>
        <v>7</v>
      </c>
      <c r="F160" s="22">
        <f>Thyolo!D160+Thyolo!E160+Thyolo!F160+Thyolo!G160+Thyolo!H160+Thyolo!I160</f>
        <v>5</v>
      </c>
      <c r="G160" s="22">
        <f>Muloza!D160+Muloza!E160+Muloza!F160+Muloza!G160+Muloza!H160+Muloza!I160</f>
        <v>0</v>
      </c>
      <c r="H160" s="22">
        <f>MUST!D160+MUST!E160+MUST!F160+MUST!G160+MUST!H160+MUST!I160</f>
        <v>0</v>
      </c>
      <c r="I160" s="22">
        <f>Phalombe!D160+Phalombe!E160+Phalombe!F160+Phalombe!G160+Phalombe!H160+Phalombe!I160</f>
        <v>4</v>
      </c>
      <c r="J160" s="22">
        <f>Mikolongwe!D160+Mikolongwe!E160+Mikolongwe!F160+Mikolongwe!G160+Mikolongwe!H160+Mikolongwe!I160</f>
        <v>0</v>
      </c>
      <c r="K160" s="22">
        <f>Migowi!D160+Migowi!E160+Migowi!F160+Migowi!G160+Migowi!H160+Migowi!I160</f>
        <v>0</v>
      </c>
      <c r="L160" s="412">
        <f>Nkando!D160+Nkando!E160+Nkando!F160+Nkando!G160+Nkando!H160+Nkando!I160</f>
        <v>0</v>
      </c>
      <c r="M160" s="31">
        <f t="shared" si="43"/>
        <v>18</v>
      </c>
    </row>
    <row r="161" spans="1:13" ht="15.75" x14ac:dyDescent="0.25">
      <c r="A161" s="463"/>
      <c r="B161" s="17" t="s">
        <v>49</v>
      </c>
      <c r="C161" s="4" t="s">
        <v>57</v>
      </c>
      <c r="D161" s="22">
        <f>Mulanje!D161+Mulanje!E161+Mulanje!F161+Mulanje!G161+Mulanje!H161+Mulanje!I161</f>
        <v>1</v>
      </c>
      <c r="E161" s="22">
        <f>Luchenza!D161+Luchenza!E161+Luchenza!F161+Luchenza!G161+Luchenza!H161+Luchenza!I161</f>
        <v>3</v>
      </c>
      <c r="F161" s="22">
        <f>Thyolo!D161+Thyolo!E161+Thyolo!F161+Thyolo!G161+Thyolo!H161+Thyolo!I161</f>
        <v>7</v>
      </c>
      <c r="G161" s="22">
        <f>Muloza!D161+Muloza!E161+Muloza!F161+Muloza!G161+Muloza!H161+Muloza!I161</f>
        <v>2</v>
      </c>
      <c r="H161" s="22">
        <f>MUST!D161+MUST!E161+MUST!F161+MUST!G161+MUST!H161+MUST!I161</f>
        <v>0</v>
      </c>
      <c r="I161" s="22">
        <f>Phalombe!D161+Phalombe!E161+Phalombe!F161+Phalombe!G161+Phalombe!H161+Phalombe!I161</f>
        <v>3</v>
      </c>
      <c r="J161" s="22">
        <f>Mikolongwe!D161+Mikolongwe!E161+Mikolongwe!F161+Mikolongwe!G161+Mikolongwe!H161+Mikolongwe!I161</f>
        <v>0</v>
      </c>
      <c r="K161" s="22">
        <f>Migowi!D161+Migowi!E161+Migowi!F161+Migowi!G161+Migowi!H161+Migowi!I161</f>
        <v>0</v>
      </c>
      <c r="L161" s="412">
        <f>Nkando!D161+Nkando!E161+Nkando!F161+Nkando!G161+Nkando!H161+Nkando!I161</f>
        <v>0</v>
      </c>
      <c r="M161" s="31">
        <f t="shared" si="43"/>
        <v>16</v>
      </c>
    </row>
    <row r="162" spans="1:13" ht="15.75" x14ac:dyDescent="0.25">
      <c r="A162" s="463"/>
      <c r="B162" s="17" t="s">
        <v>77</v>
      </c>
      <c r="C162" s="4" t="s">
        <v>57</v>
      </c>
      <c r="D162" s="22">
        <f>Mulanje!D162+Mulanje!E162+Mulanje!F162+Mulanje!G162+Mulanje!H162+Mulanje!I162</f>
        <v>1</v>
      </c>
      <c r="E162" s="22">
        <f>Luchenza!D162+Luchenza!E162+Luchenza!F162+Luchenza!G162+Luchenza!H162+Luchenza!I162</f>
        <v>1</v>
      </c>
      <c r="F162" s="22">
        <f>Thyolo!D162+Thyolo!E162+Thyolo!F162+Thyolo!G162+Thyolo!H162+Thyolo!I162</f>
        <v>6</v>
      </c>
      <c r="G162" s="22">
        <f>Muloza!D162+Muloza!E162+Muloza!F162+Muloza!G162+Muloza!H162+Muloza!I162</f>
        <v>2</v>
      </c>
      <c r="H162" s="22">
        <f>MUST!D162+MUST!E162+MUST!F162+MUST!G162+MUST!H162+MUST!I162</f>
        <v>1</v>
      </c>
      <c r="I162" s="22">
        <f>Phalombe!D162+Phalombe!E162+Phalombe!F162+Phalombe!G162+Phalombe!H162+Phalombe!I162</f>
        <v>0</v>
      </c>
      <c r="J162" s="22">
        <f>Mikolongwe!D162+Mikolongwe!E162+Mikolongwe!F162+Mikolongwe!G162+Mikolongwe!H162+Mikolongwe!I162</f>
        <v>0</v>
      </c>
      <c r="K162" s="22">
        <f>Migowi!D162+Migowi!E162+Migowi!F162+Migowi!G162+Migowi!H162+Migowi!I162</f>
        <v>0</v>
      </c>
      <c r="L162" s="412">
        <f>Nkando!D162+Nkando!E162+Nkando!F162+Nkando!G162+Nkando!H162+Nkando!I162</f>
        <v>0</v>
      </c>
      <c r="M162" s="31">
        <f t="shared" si="43"/>
        <v>11</v>
      </c>
    </row>
    <row r="163" spans="1:13" ht="15.75" x14ac:dyDescent="0.25">
      <c r="A163" s="463"/>
      <c r="B163" s="17" t="s">
        <v>69</v>
      </c>
      <c r="C163" s="4" t="s">
        <v>57</v>
      </c>
      <c r="D163" s="22">
        <f>Mulanje!D163+Mulanje!E163+Mulanje!F163+Mulanje!G163+Mulanje!H163+Mulanje!I163</f>
        <v>3</v>
      </c>
      <c r="E163" s="22">
        <f>Luchenza!D163+Luchenza!E163+Luchenza!F163+Luchenza!G163+Luchenza!H163+Luchenza!I163</f>
        <v>3</v>
      </c>
      <c r="F163" s="22">
        <f>Thyolo!D163+Thyolo!E163+Thyolo!F163+Thyolo!G163+Thyolo!H163+Thyolo!I163</f>
        <v>0</v>
      </c>
      <c r="G163" s="22">
        <f>Muloza!D163+Muloza!E163+Muloza!F163+Muloza!G163+Muloza!H163+Muloza!I163</f>
        <v>0</v>
      </c>
      <c r="H163" s="22">
        <f>MUST!D163+MUST!E163+MUST!F163+MUST!G163+MUST!H163+MUST!I163</f>
        <v>0</v>
      </c>
      <c r="I163" s="22">
        <f>Phalombe!D163+Phalombe!E163+Phalombe!F163+Phalombe!G163+Phalombe!H163+Phalombe!I163</f>
        <v>0</v>
      </c>
      <c r="J163" s="22">
        <f>Mikolongwe!D163+Mikolongwe!E163+Mikolongwe!F163+Mikolongwe!G163+Mikolongwe!H163+Mikolongwe!I163</f>
        <v>0</v>
      </c>
      <c r="K163" s="22">
        <f>Migowi!D163+Migowi!E163+Migowi!F163+Migowi!G163+Migowi!H163+Migowi!I163</f>
        <v>0</v>
      </c>
      <c r="L163" s="412">
        <f>Nkando!D163+Nkando!E163+Nkando!F163+Nkando!G163+Nkando!H163+Nkando!I163</f>
        <v>0</v>
      </c>
      <c r="M163" s="31">
        <f t="shared" si="43"/>
        <v>6</v>
      </c>
    </row>
    <row r="164" spans="1:13" ht="15.75" x14ac:dyDescent="0.25">
      <c r="A164" s="463"/>
      <c r="B164" s="17" t="s">
        <v>68</v>
      </c>
      <c r="C164" s="4" t="s">
        <v>57</v>
      </c>
      <c r="D164" s="22">
        <f>Mulanje!D164+Mulanje!E164+Mulanje!F164+Mulanje!G164+Mulanje!H164+Mulanje!I164</f>
        <v>0</v>
      </c>
      <c r="E164" s="22">
        <f>Luchenza!D164+Luchenza!E164+Luchenza!F164+Luchenza!G164+Luchenza!H164+Luchenza!I164</f>
        <v>0</v>
      </c>
      <c r="F164" s="22">
        <f>Thyolo!D164+Thyolo!E164+Thyolo!F164+Thyolo!G164+Thyolo!H164+Thyolo!I164</f>
        <v>0</v>
      </c>
      <c r="G164" s="22">
        <f>Muloza!D164+Muloza!E164+Muloza!F164+Muloza!G164+Muloza!H164+Muloza!I164</f>
        <v>0</v>
      </c>
      <c r="H164" s="22">
        <f>MUST!D164+MUST!E164+MUST!F164+MUST!G164+MUST!H164+MUST!I164</f>
        <v>0</v>
      </c>
      <c r="I164" s="22">
        <f>Phalombe!D164+Phalombe!E164+Phalombe!F164+Phalombe!G164+Phalombe!H164+Phalombe!I164</f>
        <v>0</v>
      </c>
      <c r="J164" s="22">
        <f>Mikolongwe!D164+Mikolongwe!E164+Mikolongwe!F164+Mikolongwe!G164+Mikolongwe!H164+Mikolongwe!I164</f>
        <v>0</v>
      </c>
      <c r="K164" s="22">
        <f>Migowi!D164+Migowi!E164+Migowi!F164+Migowi!G164+Migowi!H164+Migowi!I164</f>
        <v>0</v>
      </c>
      <c r="L164" s="412">
        <f>Nkando!D164+Nkando!E164+Nkando!F164+Nkando!G164+Nkando!H164+Nkando!I164</f>
        <v>0</v>
      </c>
      <c r="M164" s="31">
        <f t="shared" si="43"/>
        <v>0</v>
      </c>
    </row>
    <row r="165" spans="1:13" ht="15.75" x14ac:dyDescent="0.25">
      <c r="A165" s="464"/>
      <c r="B165" s="17" t="s">
        <v>76</v>
      </c>
      <c r="C165" s="4" t="s">
        <v>57</v>
      </c>
      <c r="D165" s="22">
        <f>Mulanje!D165+Mulanje!E165+Mulanje!F165+Mulanje!G165+Mulanje!H165+Mulanje!I165</f>
        <v>0</v>
      </c>
      <c r="E165" s="22">
        <f>Luchenza!D165+Luchenza!E165+Luchenza!F165+Luchenza!G165+Luchenza!H165+Luchenza!I165</f>
        <v>0</v>
      </c>
      <c r="F165" s="22">
        <f>Thyolo!D165+Thyolo!E165+Thyolo!F165+Thyolo!G165+Thyolo!H165+Thyolo!I165</f>
        <v>0</v>
      </c>
      <c r="G165" s="22">
        <f>Muloza!D165+Muloza!E165+Muloza!F165+Muloza!G165+Muloza!H165+Muloza!I165</f>
        <v>0</v>
      </c>
      <c r="H165" s="22">
        <f>MUST!D165+MUST!E165+MUST!F165+MUST!G165+MUST!H165+MUST!I165</f>
        <v>0</v>
      </c>
      <c r="I165" s="22">
        <f>Phalombe!D165+Phalombe!E165+Phalombe!F165+Phalombe!G165+Phalombe!H165+Phalombe!I165</f>
        <v>0</v>
      </c>
      <c r="J165" s="22">
        <f>Mikolongwe!D165+Mikolongwe!E165+Mikolongwe!F165+Mikolongwe!G165+Mikolongwe!H165+Mikolongwe!I165</f>
        <v>0</v>
      </c>
      <c r="K165" s="22">
        <f>Migowi!D165+Migowi!E165+Migowi!F165+Migowi!G165+Migowi!H165+Migowi!I165</f>
        <v>0</v>
      </c>
      <c r="L165" s="412">
        <f>Nkando!D165+Nkando!E165+Nkando!F165+Nkando!G165+Nkando!H165+Nkando!I165</f>
        <v>0</v>
      </c>
      <c r="M165" s="31">
        <f t="shared" si="43"/>
        <v>0</v>
      </c>
    </row>
    <row r="166" spans="1:13" ht="15.75" x14ac:dyDescent="0.25">
      <c r="A166" s="46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412">
        <f>Nkando!D166+Nkando!E166+Nkando!F166+Nkando!G166+Nkando!H166+Nkando!I166</f>
        <v>0</v>
      </c>
      <c r="M166" s="31"/>
    </row>
    <row r="167" spans="1:13" ht="15.75" x14ac:dyDescent="0.25">
      <c r="A167" s="463"/>
      <c r="B167" s="17" t="s">
        <v>74</v>
      </c>
      <c r="C167" s="4" t="s">
        <v>57</v>
      </c>
      <c r="D167" s="22">
        <f>Mulanje!D167+Mulanje!E167+Mulanje!F167+Mulanje!G167+Mulanje!H167+Mulanje!I167</f>
        <v>0</v>
      </c>
      <c r="E167" s="22">
        <f>Luchenza!D167+Luchenza!E167+Luchenza!F167+Luchenza!G167+Luchenza!H167+Luchenza!I167</f>
        <v>0</v>
      </c>
      <c r="F167" s="22">
        <f>Thyolo!D167+Thyolo!E167+Thyolo!F167+Thyolo!G167+Thyolo!H167+Thyolo!I167</f>
        <v>27</v>
      </c>
      <c r="G167" s="22">
        <f>Muloza!D167+Muloza!E167+Muloza!F167+Muloza!G167+Muloza!H167+Muloza!I167</f>
        <v>0</v>
      </c>
      <c r="H167" s="22">
        <f>MUST!D167+MUST!E167+MUST!F167+MUST!G167+MUST!H167+MUST!I167</f>
        <v>0</v>
      </c>
      <c r="I167" s="22">
        <f>Phalombe!D167+Phalombe!E167+Phalombe!F167+Phalombe!G167+Phalombe!H167+Phalombe!I167</f>
        <v>0</v>
      </c>
      <c r="J167" s="22">
        <f>Mikolongwe!D167+Mikolongwe!E167+Mikolongwe!F167+Mikolongwe!G167+Mikolongwe!H167+Mikolongwe!I167</f>
        <v>0</v>
      </c>
      <c r="K167" s="22">
        <f>Migowi!D167+Migowi!E167+Migowi!F167+Migowi!G167+Migowi!H167+Migowi!I167</f>
        <v>0</v>
      </c>
      <c r="L167" s="412">
        <f>Nkando!D167+Nkando!E167+Nkando!F167+Nkando!G167+Nkando!H167+Nkando!I167</f>
        <v>0</v>
      </c>
      <c r="M167" s="31">
        <f t="shared" ref="M167:M175" si="44">SUM(D167:L167)</f>
        <v>27</v>
      </c>
    </row>
    <row r="168" spans="1:13" ht="15.75" x14ac:dyDescent="0.25">
      <c r="A168" s="463"/>
      <c r="B168" s="17" t="s">
        <v>73</v>
      </c>
      <c r="C168" s="4" t="s">
        <v>57</v>
      </c>
      <c r="D168" s="22">
        <f>Mulanje!D168+Mulanje!E168+Mulanje!F168+Mulanje!G168+Mulanje!H168+Mulanje!I168</f>
        <v>0</v>
      </c>
      <c r="E168" s="22">
        <f>Luchenza!D168+Luchenza!E168+Luchenza!F168+Luchenza!G168+Luchenza!H168+Luchenza!I168</f>
        <v>0</v>
      </c>
      <c r="F168" s="22">
        <f>Thyolo!D168+Thyolo!E168+Thyolo!F168+Thyolo!G168+Thyolo!H168+Thyolo!I168</f>
        <v>0</v>
      </c>
      <c r="G168" s="22">
        <f>Muloza!D168+Muloza!E168+Muloza!F168+Muloza!G168+Muloza!H168+Muloza!I168</f>
        <v>0</v>
      </c>
      <c r="H168" s="22">
        <f>MUST!D168+MUST!E168+MUST!F168+MUST!G168+MUST!H168+MUST!I168</f>
        <v>0</v>
      </c>
      <c r="I168" s="22">
        <f>Phalombe!D168+Phalombe!E168+Phalombe!F168+Phalombe!G168+Phalombe!H168+Phalombe!I168</f>
        <v>0</v>
      </c>
      <c r="J168" s="22">
        <f>Mikolongwe!D168+Mikolongwe!E168+Mikolongwe!F168+Mikolongwe!G168+Mikolongwe!H168+Mikolongwe!I168</f>
        <v>0</v>
      </c>
      <c r="K168" s="22">
        <f>Migowi!D168+Migowi!E168+Migowi!F168+Migowi!G168+Migowi!H168+Migowi!I168</f>
        <v>0</v>
      </c>
      <c r="L168" s="412">
        <f>Nkando!D168+Nkando!E168+Nkando!F168+Nkando!G168+Nkando!H168+Nkando!I168</f>
        <v>0</v>
      </c>
      <c r="M168" s="31">
        <f t="shared" si="44"/>
        <v>0</v>
      </c>
    </row>
    <row r="169" spans="1:13" ht="15.75" x14ac:dyDescent="0.25">
      <c r="A169" s="463"/>
      <c r="B169" s="17" t="s">
        <v>72</v>
      </c>
      <c r="C169" s="4" t="s">
        <v>57</v>
      </c>
      <c r="D169" s="22">
        <f>Mulanje!D169+Mulanje!E169+Mulanje!F169+Mulanje!G169+Mulanje!H169+Mulanje!I169</f>
        <v>0</v>
      </c>
      <c r="E169" s="22">
        <f>Luchenza!D169+Luchenza!E169+Luchenza!F169+Luchenza!G169+Luchenza!H169+Luchenza!I169</f>
        <v>0</v>
      </c>
      <c r="F169" s="22">
        <f>Thyolo!D169+Thyolo!E169+Thyolo!F169+Thyolo!G169+Thyolo!H169+Thyolo!I169</f>
        <v>0</v>
      </c>
      <c r="G169" s="22">
        <f>Muloza!D169+Muloza!E169+Muloza!F169+Muloza!G169+Muloza!H169+Muloza!I169</f>
        <v>0</v>
      </c>
      <c r="H169" s="22">
        <f>MUST!D169+MUST!E169+MUST!F169+MUST!G169+MUST!H169+MUST!I169</f>
        <v>0</v>
      </c>
      <c r="I169" s="22">
        <f>Phalombe!D169+Phalombe!E169+Phalombe!F169+Phalombe!G169+Phalombe!H169+Phalombe!I169</f>
        <v>0</v>
      </c>
      <c r="J169" s="22">
        <f>Mikolongwe!D169+Mikolongwe!E169+Mikolongwe!F169+Mikolongwe!G169+Mikolongwe!H169+Mikolongwe!I169</f>
        <v>0</v>
      </c>
      <c r="K169" s="22">
        <f>Migowi!D169+Migowi!E169+Migowi!F169+Migowi!G169+Migowi!H169+Migowi!I169</f>
        <v>0</v>
      </c>
      <c r="L169" s="412">
        <f>Nkando!D169+Nkando!E169+Nkando!F169+Nkando!G169+Nkando!H169+Nkando!I169</f>
        <v>0</v>
      </c>
      <c r="M169" s="31">
        <f t="shared" si="44"/>
        <v>0</v>
      </c>
    </row>
    <row r="170" spans="1:13" ht="15.75" x14ac:dyDescent="0.25">
      <c r="A170" s="463"/>
      <c r="B170" s="17" t="s">
        <v>71</v>
      </c>
      <c r="C170" s="4" t="s">
        <v>57</v>
      </c>
      <c r="D170" s="22">
        <f>Mulanje!D170+Mulanje!E170+Mulanje!F170+Mulanje!G170+Mulanje!H170+Mulanje!I170</f>
        <v>0</v>
      </c>
      <c r="E170" s="22">
        <f>Luchenza!D170+Luchenza!E170+Luchenza!F170+Luchenza!G170+Luchenza!H170+Luchenza!I170</f>
        <v>0</v>
      </c>
      <c r="F170" s="22">
        <f>Thyolo!D170+Thyolo!E170+Thyolo!F170+Thyolo!G170+Thyolo!H170+Thyolo!I170</f>
        <v>1</v>
      </c>
      <c r="G170" s="22">
        <f>Muloza!D170+Muloza!E170+Muloza!F170+Muloza!G170+Muloza!H170+Muloza!I170</f>
        <v>0</v>
      </c>
      <c r="H170" s="22">
        <f>MUST!D170+MUST!E170+MUST!F170+MUST!G170+MUST!H170+MUST!I170</f>
        <v>0</v>
      </c>
      <c r="I170" s="22">
        <f>Phalombe!D170+Phalombe!E170+Phalombe!F170+Phalombe!G170+Phalombe!H170+Phalombe!I170</f>
        <v>0</v>
      </c>
      <c r="J170" s="22">
        <f>Mikolongwe!D170+Mikolongwe!E170+Mikolongwe!F170+Mikolongwe!G170+Mikolongwe!H170+Mikolongwe!I170</f>
        <v>0</v>
      </c>
      <c r="K170" s="22">
        <f>Migowi!D170+Migowi!E170+Migowi!F170+Migowi!G170+Migowi!H170+Migowi!I170</f>
        <v>0</v>
      </c>
      <c r="L170" s="412">
        <f>Nkando!D170+Nkando!E170+Nkando!F170+Nkando!G170+Nkando!H170+Nkando!I170</f>
        <v>0</v>
      </c>
      <c r="M170" s="31">
        <f t="shared" si="44"/>
        <v>1</v>
      </c>
    </row>
    <row r="171" spans="1:13" ht="15.75" x14ac:dyDescent="0.25">
      <c r="A171" s="463"/>
      <c r="B171" s="17" t="s">
        <v>52</v>
      </c>
      <c r="C171" s="4" t="s">
        <v>57</v>
      </c>
      <c r="D171" s="22">
        <f>Mulanje!D171+Mulanje!E171+Mulanje!F171+Mulanje!G171+Mulanje!H171+Mulanje!I171</f>
        <v>0</v>
      </c>
      <c r="E171" s="22">
        <f>Luchenza!D171+Luchenza!E171+Luchenza!F171+Luchenza!G171+Luchenza!H171+Luchenza!I171</f>
        <v>0</v>
      </c>
      <c r="F171" s="22">
        <f>Thyolo!D171+Thyolo!E171+Thyolo!F171+Thyolo!G171+Thyolo!H171+Thyolo!I171</f>
        <v>0</v>
      </c>
      <c r="G171" s="22">
        <f>Muloza!D171+Muloza!E171+Muloza!F171+Muloza!G171+Muloza!H171+Muloza!I171</f>
        <v>0</v>
      </c>
      <c r="H171" s="22">
        <f>MUST!D171+MUST!E171+MUST!F171+MUST!G171+MUST!H171+MUST!I171</f>
        <v>0</v>
      </c>
      <c r="I171" s="22">
        <f>Phalombe!D171+Phalombe!E171+Phalombe!F171+Phalombe!G171+Phalombe!H171+Phalombe!I171</f>
        <v>0</v>
      </c>
      <c r="J171" s="22">
        <f>Mikolongwe!D171+Mikolongwe!E171+Mikolongwe!F171+Mikolongwe!G171+Mikolongwe!H171+Mikolongwe!I171</f>
        <v>0</v>
      </c>
      <c r="K171" s="22">
        <f>Migowi!D171+Migowi!E171+Migowi!F171+Migowi!G171+Migowi!H171+Migowi!I171</f>
        <v>0</v>
      </c>
      <c r="L171" s="412">
        <f>Nkando!D171+Nkando!E171+Nkando!F171+Nkando!G171+Nkando!H171+Nkando!I171</f>
        <v>0</v>
      </c>
      <c r="M171" s="31">
        <f t="shared" si="44"/>
        <v>0</v>
      </c>
    </row>
    <row r="172" spans="1:13" ht="15.75" x14ac:dyDescent="0.25">
      <c r="A172" s="463"/>
      <c r="B172" s="17" t="s">
        <v>62</v>
      </c>
      <c r="C172" s="4" t="s">
        <v>57</v>
      </c>
      <c r="D172" s="22">
        <f>Mulanje!D172+Mulanje!E172+Mulanje!F172+Mulanje!G172+Mulanje!H172+Mulanje!I172</f>
        <v>0</v>
      </c>
      <c r="E172" s="22">
        <f>Luchenza!D172+Luchenza!E172+Luchenza!F172+Luchenza!G172+Luchenza!H172+Luchenza!I172</f>
        <v>0</v>
      </c>
      <c r="F172" s="22">
        <f>Thyolo!D172+Thyolo!E172+Thyolo!F172+Thyolo!G172+Thyolo!H172+Thyolo!I172</f>
        <v>0</v>
      </c>
      <c r="G172" s="22">
        <f>Muloza!D172+Muloza!E172+Muloza!F172+Muloza!G172+Muloza!H172+Muloza!I172</f>
        <v>0</v>
      </c>
      <c r="H172" s="22">
        <f>MUST!D172+MUST!E172+MUST!F172+MUST!G172+MUST!H172+MUST!I172</f>
        <v>0</v>
      </c>
      <c r="I172" s="22">
        <f>Phalombe!D172+Phalombe!E172+Phalombe!F172+Phalombe!G172+Phalombe!H172+Phalombe!I172</f>
        <v>0</v>
      </c>
      <c r="J172" s="22">
        <f>Mikolongwe!D172+Mikolongwe!E172+Mikolongwe!F172+Mikolongwe!G172+Mikolongwe!H172+Mikolongwe!I172</f>
        <v>0</v>
      </c>
      <c r="K172" s="22">
        <f>Migowi!D172+Migowi!E172+Migowi!F172+Migowi!G172+Migowi!H172+Migowi!I172</f>
        <v>0</v>
      </c>
      <c r="L172" s="412">
        <f>Nkando!D172+Nkando!E172+Nkando!F172+Nkando!G172+Nkando!H172+Nkando!I172</f>
        <v>0</v>
      </c>
      <c r="M172" s="31">
        <f t="shared" si="44"/>
        <v>0</v>
      </c>
    </row>
    <row r="173" spans="1:13" ht="15.75" x14ac:dyDescent="0.25">
      <c r="A173" s="463"/>
      <c r="B173" s="17" t="s">
        <v>61</v>
      </c>
      <c r="C173" s="4" t="s">
        <v>57</v>
      </c>
      <c r="D173" s="22">
        <f>Mulanje!D173+Mulanje!E173+Mulanje!F173+Mulanje!G173+Mulanje!H173+Mulanje!I173</f>
        <v>0</v>
      </c>
      <c r="E173" s="22">
        <f>Luchenza!D173+Luchenza!E173+Luchenza!F173+Luchenza!G173+Luchenza!H173+Luchenza!I173</f>
        <v>0</v>
      </c>
      <c r="F173" s="22">
        <f>Thyolo!D173+Thyolo!E173+Thyolo!F173+Thyolo!G173+Thyolo!H173+Thyolo!I173</f>
        <v>0</v>
      </c>
      <c r="G173" s="22">
        <f>Muloza!D173+Muloza!E173+Muloza!F173+Muloza!G173+Muloza!H173+Muloza!I173</f>
        <v>0</v>
      </c>
      <c r="H173" s="22">
        <f>MUST!D173+MUST!E173+MUST!F173+MUST!G173+MUST!H173+MUST!I173</f>
        <v>0</v>
      </c>
      <c r="I173" s="22">
        <f>Phalombe!D173+Phalombe!E173+Phalombe!F173+Phalombe!G173+Phalombe!H173+Phalombe!I173</f>
        <v>0</v>
      </c>
      <c r="J173" s="22">
        <f>Mikolongwe!D173+Mikolongwe!E173+Mikolongwe!F173+Mikolongwe!G173+Mikolongwe!H173+Mikolongwe!I173</f>
        <v>0</v>
      </c>
      <c r="K173" s="22">
        <f>Migowi!D173+Migowi!E173+Migowi!F173+Migowi!G173+Migowi!H173+Migowi!I173</f>
        <v>0</v>
      </c>
      <c r="L173" s="412">
        <f>Nkando!D173+Nkando!E173+Nkando!F173+Nkando!G173+Nkando!H173+Nkando!I173</f>
        <v>0</v>
      </c>
      <c r="M173" s="31">
        <f t="shared" si="44"/>
        <v>0</v>
      </c>
    </row>
    <row r="174" spans="1:13" ht="15.75" x14ac:dyDescent="0.25">
      <c r="A174" s="463"/>
      <c r="B174" s="17" t="s">
        <v>60</v>
      </c>
      <c r="C174" s="4" t="s">
        <v>57</v>
      </c>
      <c r="D174" s="22">
        <f>Mulanje!D174+Mulanje!E174+Mulanje!F174+Mulanje!G174+Mulanje!H174+Mulanje!I174</f>
        <v>0</v>
      </c>
      <c r="E174" s="22">
        <f>Luchenza!D174+Luchenza!E174+Luchenza!F174+Luchenza!G174+Luchenza!H174+Luchenza!I174</f>
        <v>0</v>
      </c>
      <c r="F174" s="22">
        <f>Thyolo!D174+Thyolo!E174+Thyolo!F174+Thyolo!G174+Thyolo!H174+Thyolo!I174</f>
        <v>0</v>
      </c>
      <c r="G174" s="22">
        <f>Muloza!D174+Muloza!E174+Muloza!F174+Muloza!G174+Muloza!H174+Muloza!I174</f>
        <v>0</v>
      </c>
      <c r="H174" s="22">
        <f>MUST!D174+MUST!E174+MUST!F174+MUST!G174+MUST!H174+MUST!I174</f>
        <v>0</v>
      </c>
      <c r="I174" s="22">
        <f>Phalombe!D174+Phalombe!E174+Phalombe!F174+Phalombe!G174+Phalombe!H174+Phalombe!I174</f>
        <v>0</v>
      </c>
      <c r="J174" s="22">
        <f>Mikolongwe!D174+Mikolongwe!E174+Mikolongwe!F174+Mikolongwe!G174+Mikolongwe!H174+Mikolongwe!I174</f>
        <v>0</v>
      </c>
      <c r="K174" s="22">
        <f>Migowi!D174+Migowi!E174+Migowi!F174+Migowi!G174+Migowi!H174+Migowi!I174</f>
        <v>0</v>
      </c>
      <c r="L174" s="412">
        <f>Nkando!D174+Nkando!E174+Nkando!F174+Nkando!G174+Nkando!H174+Nkando!I174</f>
        <v>0</v>
      </c>
      <c r="M174" s="31">
        <f t="shared" si="44"/>
        <v>0</v>
      </c>
    </row>
    <row r="175" spans="1:13" ht="15.75" x14ac:dyDescent="0.25">
      <c r="A175" s="464"/>
      <c r="B175" s="17" t="s">
        <v>69</v>
      </c>
      <c r="C175" s="4" t="s">
        <v>57</v>
      </c>
      <c r="D175" s="22">
        <f>Mulanje!D175+Mulanje!E175+Mulanje!F175+Mulanje!G175+Mulanje!H175+Mulanje!I175</f>
        <v>0</v>
      </c>
      <c r="E175" s="22">
        <f>Luchenza!D175+Luchenza!E175+Luchenza!F175+Luchenza!G175+Luchenza!H175+Luchenza!I175</f>
        <v>0</v>
      </c>
      <c r="F175" s="22">
        <f>Thyolo!D175+Thyolo!E175+Thyolo!F175+Thyolo!G175+Thyolo!H175+Thyolo!I175</f>
        <v>0</v>
      </c>
      <c r="G175" s="22">
        <f>Muloza!D175+Muloza!E175+Muloza!F175+Muloza!G175+Muloza!H175+Muloza!I175</f>
        <v>0</v>
      </c>
      <c r="H175" s="22">
        <f>MUST!D175+MUST!E175+MUST!F175+MUST!G175+MUST!H175+MUST!I175</f>
        <v>0</v>
      </c>
      <c r="I175" s="22">
        <f>Phalombe!D175+Phalombe!E175+Phalombe!F175+Phalombe!G175+Phalombe!H175+Phalombe!I175</f>
        <v>0</v>
      </c>
      <c r="J175" s="22">
        <f>Mikolongwe!D175+Mikolongwe!E175+Mikolongwe!F175+Mikolongwe!G175+Mikolongwe!H175+Mikolongwe!I175</f>
        <v>0</v>
      </c>
      <c r="K175" s="22">
        <f>Migowi!D175+Migowi!E175+Migowi!F175+Migowi!G175+Migowi!H175+Migowi!I175</f>
        <v>0</v>
      </c>
      <c r="L175" s="412">
        <f>Nkando!D175+Nkando!E175+Nkando!F175+Nkando!G175+Nkando!H175+Nkando!I175</f>
        <v>0</v>
      </c>
      <c r="M175" s="31">
        <f t="shared" si="44"/>
        <v>0</v>
      </c>
    </row>
    <row r="176" spans="1:13" ht="15.75" x14ac:dyDescent="0.25">
      <c r="A176" s="46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412">
        <v>0</v>
      </c>
      <c r="M176" s="31"/>
    </row>
    <row r="177" spans="1:13" ht="15.75" x14ac:dyDescent="0.25">
      <c r="A177" s="463"/>
      <c r="B177" s="17" t="s">
        <v>60</v>
      </c>
      <c r="C177" s="4" t="s">
        <v>57</v>
      </c>
      <c r="D177" s="22">
        <f>Mulanje!D177+Mulanje!E177+Mulanje!F177+Mulanje!G177+Mulanje!H177+Mulanje!I177</f>
        <v>0</v>
      </c>
      <c r="E177" s="22">
        <f>Luchenza!D177+Luchenza!E177+Luchenza!F177+Luchenza!G177+Luchenza!H177+Luchenza!I177</f>
        <v>0</v>
      </c>
      <c r="F177" s="22">
        <f>Thyolo!D177+Thyolo!E177+Thyolo!F177+Thyolo!G177+Thyolo!H177+Thyolo!I177</f>
        <v>0</v>
      </c>
      <c r="G177" s="22">
        <f>Muloza!D177+Muloza!E177+Muloza!F177+Muloza!G177+Muloza!H177+Muloza!I177</f>
        <v>0</v>
      </c>
      <c r="H177" s="22">
        <f>MUST!D177+MUST!E177+MUST!F177+MUST!G177+MUST!H177+MUST!I177</f>
        <v>0</v>
      </c>
      <c r="I177" s="22">
        <f>Phalombe!D177+Phalombe!E177+Phalombe!F177+Phalombe!G177+Phalombe!H177+Phalombe!I177</f>
        <v>0</v>
      </c>
      <c r="J177" s="22">
        <f>Mikolongwe!D177+Mikolongwe!E177+Mikolongwe!F177+Mikolongwe!G177+Mikolongwe!H177+Mikolongwe!I177</f>
        <v>0</v>
      </c>
      <c r="K177" s="22">
        <f>Migowi!D177+Migowi!E177+Migowi!F177+Migowi!G177+Migowi!H177+Migowi!I177</f>
        <v>0</v>
      </c>
      <c r="L177" s="412">
        <f>Nkando!D177+Nkando!E177+Nkando!F177+Nkando!G177+Nkando!H177+Nkando!I177</f>
        <v>0</v>
      </c>
      <c r="M177" s="31">
        <f t="shared" ref="M177:M182" si="45">SUM(D177:L177)</f>
        <v>0</v>
      </c>
    </row>
    <row r="178" spans="1:13" ht="15.75" x14ac:dyDescent="0.25">
      <c r="A178" s="463"/>
      <c r="B178" s="17" t="s">
        <v>69</v>
      </c>
      <c r="C178" s="4" t="s">
        <v>57</v>
      </c>
      <c r="D178" s="22">
        <f>Mulanje!D178+Mulanje!E178+Mulanje!F178+Mulanje!G178+Mulanje!H178+Mulanje!I178</f>
        <v>0</v>
      </c>
      <c r="E178" s="22">
        <f>Luchenza!D178+Luchenza!E178+Luchenza!F178+Luchenza!G178+Luchenza!H178+Luchenza!I178</f>
        <v>0</v>
      </c>
      <c r="F178" s="22">
        <f>Thyolo!D178+Thyolo!E178+Thyolo!F178+Thyolo!G178+Thyolo!H178+Thyolo!I178</f>
        <v>0</v>
      </c>
      <c r="G178" s="22">
        <f>Muloza!D178+Muloza!E178+Muloza!F178+Muloza!G178+Muloza!H178+Muloza!I178</f>
        <v>0</v>
      </c>
      <c r="H178" s="22">
        <f>MUST!D178+MUST!E178+MUST!F178+MUST!G178+MUST!H178+MUST!I178</f>
        <v>0</v>
      </c>
      <c r="I178" s="22">
        <f>Phalombe!D178+Phalombe!E178+Phalombe!F178+Phalombe!G178+Phalombe!H178+Phalombe!I178</f>
        <v>0</v>
      </c>
      <c r="J178" s="22">
        <f>Mikolongwe!D178+Mikolongwe!E178+Mikolongwe!F178+Mikolongwe!G178+Mikolongwe!H178+Mikolongwe!I178</f>
        <v>0</v>
      </c>
      <c r="K178" s="22">
        <f>Migowi!D178+Migowi!E178+Migowi!F178+Migowi!G178+Migowi!H178+Migowi!I178</f>
        <v>0</v>
      </c>
      <c r="L178" s="412">
        <f>Nkando!D178+Nkando!E178+Nkando!F178+Nkando!G178+Nkando!H178+Nkando!I178</f>
        <v>0</v>
      </c>
      <c r="M178" s="31">
        <f t="shared" si="45"/>
        <v>0</v>
      </c>
    </row>
    <row r="179" spans="1:13" ht="15.75" x14ac:dyDescent="0.25">
      <c r="A179" s="463"/>
      <c r="B179" s="17" t="s">
        <v>68</v>
      </c>
      <c r="C179" s="4" t="s">
        <v>57</v>
      </c>
      <c r="D179" s="22">
        <f>Mulanje!D179+Mulanje!E179+Mulanje!F179+Mulanje!G179+Mulanje!H179+Mulanje!I179</f>
        <v>0</v>
      </c>
      <c r="E179" s="22">
        <f>Luchenza!D179+Luchenza!E179+Luchenza!F179+Luchenza!G179+Luchenza!H179+Luchenza!I179</f>
        <v>0</v>
      </c>
      <c r="F179" s="22">
        <f>Thyolo!D179+Thyolo!E179+Thyolo!F179+Thyolo!G179+Thyolo!H179+Thyolo!I179</f>
        <v>0</v>
      </c>
      <c r="G179" s="22">
        <f>Muloza!D179+Muloza!E179+Muloza!F179+Muloza!G179+Muloza!H179+Muloza!I179</f>
        <v>0</v>
      </c>
      <c r="H179" s="22">
        <f>MUST!D179+MUST!E179+MUST!F179+MUST!G179+MUST!H179+MUST!I179</f>
        <v>0</v>
      </c>
      <c r="I179" s="22">
        <f>Phalombe!D179+Phalombe!E179+Phalombe!F179+Phalombe!G179+Phalombe!H179+Phalombe!I179</f>
        <v>0</v>
      </c>
      <c r="J179" s="22">
        <f>Mikolongwe!D179+Mikolongwe!E179+Mikolongwe!F179+Mikolongwe!G179+Mikolongwe!H179+Mikolongwe!I179</f>
        <v>0</v>
      </c>
      <c r="K179" s="22">
        <f>Migowi!D179+Migowi!E179+Migowi!F179+Migowi!G179+Migowi!H179+Migowi!I179</f>
        <v>0</v>
      </c>
      <c r="L179" s="412">
        <f>Nkando!D179+Nkando!E179+Nkando!F179+Nkando!G179+Nkando!H179+Nkando!I179</f>
        <v>0</v>
      </c>
      <c r="M179" s="31">
        <f t="shared" si="45"/>
        <v>0</v>
      </c>
    </row>
    <row r="180" spans="1:13" ht="15.75" x14ac:dyDescent="0.25">
      <c r="A180" s="463"/>
      <c r="B180" s="17" t="s">
        <v>67</v>
      </c>
      <c r="C180" s="4" t="s">
        <v>57</v>
      </c>
      <c r="D180" s="22">
        <f>Mulanje!D180+Mulanje!E180+Mulanje!F180+Mulanje!G180+Mulanje!H180+Mulanje!I180</f>
        <v>0</v>
      </c>
      <c r="E180" s="22">
        <f>Luchenza!D180+Luchenza!E180+Luchenza!F180+Luchenza!G180+Luchenza!H180+Luchenza!I180</f>
        <v>0</v>
      </c>
      <c r="F180" s="22">
        <f>Thyolo!D180+Thyolo!E180+Thyolo!F180+Thyolo!G180+Thyolo!H180+Thyolo!I180</f>
        <v>0</v>
      </c>
      <c r="G180" s="22">
        <f>Muloza!D180+Muloza!E180+Muloza!F180+Muloza!G180+Muloza!H180+Muloza!I180</f>
        <v>0</v>
      </c>
      <c r="H180" s="22">
        <f>MUST!D180+MUST!E180+MUST!F180+MUST!G180+MUST!H180+MUST!I180</f>
        <v>0</v>
      </c>
      <c r="I180" s="22">
        <f>Phalombe!D180+Phalombe!E180+Phalombe!F180+Phalombe!G180+Phalombe!H180+Phalombe!I180</f>
        <v>0</v>
      </c>
      <c r="J180" s="22">
        <f>Mikolongwe!D180+Mikolongwe!E180+Mikolongwe!F180+Mikolongwe!G180+Mikolongwe!H180+Mikolongwe!I180</f>
        <v>0</v>
      </c>
      <c r="K180" s="22">
        <f>Migowi!D180+Migowi!E180+Migowi!F180+Migowi!G180+Migowi!H180+Migowi!I180</f>
        <v>0</v>
      </c>
      <c r="L180" s="412">
        <f>Nkando!D180+Nkando!E180+Nkando!F180+Nkando!G180+Nkando!H180+Nkando!I180</f>
        <v>0</v>
      </c>
      <c r="M180" s="31">
        <f t="shared" si="45"/>
        <v>0</v>
      </c>
    </row>
    <row r="181" spans="1:13" ht="15.75" x14ac:dyDescent="0.25">
      <c r="A181" s="463"/>
      <c r="B181" s="17" t="s">
        <v>66</v>
      </c>
      <c r="C181" s="4" t="s">
        <v>57</v>
      </c>
      <c r="D181" s="22">
        <f>Mulanje!D181+Mulanje!E181+Mulanje!F181+Mulanje!G181+Mulanje!H181+Mulanje!I181</f>
        <v>0</v>
      </c>
      <c r="E181" s="22">
        <f>Luchenza!D181+Luchenza!E181+Luchenza!F181+Luchenza!G181+Luchenza!H181+Luchenza!I181</f>
        <v>0</v>
      </c>
      <c r="F181" s="22">
        <f>Thyolo!D181+Thyolo!E181+Thyolo!F181+Thyolo!G181+Thyolo!H181+Thyolo!I181</f>
        <v>0</v>
      </c>
      <c r="G181" s="22">
        <f>Muloza!D181+Muloza!E181+Muloza!F181+Muloza!G181+Muloza!H181+Muloza!I181</f>
        <v>0</v>
      </c>
      <c r="H181" s="22">
        <f>MUST!D181+MUST!E181+MUST!F181+MUST!G181+MUST!H181+MUST!I181</f>
        <v>0</v>
      </c>
      <c r="I181" s="22">
        <f>Phalombe!D181+Phalombe!E181+Phalombe!F181+Phalombe!G181+Phalombe!H181+Phalombe!I181</f>
        <v>0</v>
      </c>
      <c r="J181" s="22">
        <f>Mikolongwe!D181+Mikolongwe!E181+Mikolongwe!F181+Mikolongwe!G181+Mikolongwe!H181+Mikolongwe!I181</f>
        <v>0</v>
      </c>
      <c r="K181" s="22">
        <f>Migowi!D181+Migowi!E181+Migowi!F181+Migowi!G181+Migowi!H181+Migowi!I181</f>
        <v>0</v>
      </c>
      <c r="L181" s="412">
        <f>Nkando!D181+Nkando!E181+Nkando!F181+Nkando!G181+Nkando!H181+Nkando!I181</f>
        <v>0</v>
      </c>
      <c r="M181" s="31">
        <f t="shared" si="45"/>
        <v>0</v>
      </c>
    </row>
    <row r="182" spans="1:13" ht="15.75" x14ac:dyDescent="0.25">
      <c r="A182" s="464"/>
      <c r="B182" s="17" t="s">
        <v>65</v>
      </c>
      <c r="C182" s="4" t="s">
        <v>57</v>
      </c>
      <c r="D182" s="22">
        <f>Mulanje!D182+Mulanje!E182+Mulanje!F182+Mulanje!G182+Mulanje!H182+Mulanje!I182</f>
        <v>0</v>
      </c>
      <c r="E182" s="22">
        <f>Luchenza!D182+Luchenza!E182+Luchenza!F182+Luchenza!G182+Luchenza!H182+Luchenza!I182</f>
        <v>0</v>
      </c>
      <c r="F182" s="22">
        <f>Thyolo!D182+Thyolo!E182+Thyolo!F182+Thyolo!G182+Thyolo!H182+Thyolo!I182</f>
        <v>0</v>
      </c>
      <c r="G182" s="22">
        <f>Muloza!D182+Muloza!E182+Muloza!F182+Muloza!G182+Muloza!H182+Muloza!I182</f>
        <v>0</v>
      </c>
      <c r="H182" s="22">
        <f>MUST!D182+MUST!E182+MUST!F182+MUST!G182+MUST!H182+MUST!I182</f>
        <v>0</v>
      </c>
      <c r="I182" s="22">
        <f>Phalombe!D182+Phalombe!E182+Phalombe!F182+Phalombe!G182+Phalombe!H182+Phalombe!I182</f>
        <v>0</v>
      </c>
      <c r="J182" s="22">
        <f>Mikolongwe!D182+Mikolongwe!E182+Mikolongwe!F182+Mikolongwe!G182+Mikolongwe!H182+Mikolongwe!I182</f>
        <v>0</v>
      </c>
      <c r="K182" s="22">
        <f>Migowi!D182+Migowi!E182+Migowi!F182+Migowi!G182+Migowi!H182+Migowi!I182</f>
        <v>0</v>
      </c>
      <c r="L182" s="412">
        <f>Nkando!D182+Nkando!E182+Nkando!F182+Nkando!G182+Nkando!H182+Nkando!I182</f>
        <v>0</v>
      </c>
      <c r="M182" s="31">
        <f t="shared" si="45"/>
        <v>0</v>
      </c>
    </row>
    <row r="183" spans="1:13" ht="15.75" x14ac:dyDescent="0.25">
      <c r="A183" s="46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412">
        <v>0</v>
      </c>
      <c r="M183" s="31"/>
    </row>
    <row r="184" spans="1:13" ht="15.75" x14ac:dyDescent="0.25">
      <c r="A184" s="463"/>
      <c r="B184" s="17" t="s">
        <v>73</v>
      </c>
      <c r="C184" s="4" t="s">
        <v>57</v>
      </c>
      <c r="D184" s="22">
        <f>Mulanje!D184+Mulanje!E184+Mulanje!F184+Mulanje!G184+Mulanje!H184+Mulanje!I184</f>
        <v>0</v>
      </c>
      <c r="E184" s="22">
        <f>Luchenza!D184+Luchenza!E184+Luchenza!F184+Luchenza!G184+Luchenza!H184+Luchenza!I184</f>
        <v>0</v>
      </c>
      <c r="F184" s="22">
        <f>Thyolo!D184+Thyolo!E184+Thyolo!F184+Thyolo!G184+Thyolo!H184+Thyolo!I184</f>
        <v>0</v>
      </c>
      <c r="G184" s="22">
        <f>Muloza!D184+Muloza!E184+Muloza!F184+Muloza!G184+Muloza!H184+Muloza!I184</f>
        <v>0</v>
      </c>
      <c r="H184" s="22">
        <f>MUST!D184+MUST!E184+MUST!F184+MUST!G184+MUST!H184+MUST!I184</f>
        <v>0</v>
      </c>
      <c r="I184" s="22">
        <f>Phalombe!D184+Phalombe!E184+Phalombe!F184+Phalombe!G184+Phalombe!H184+Phalombe!I184</f>
        <v>0</v>
      </c>
      <c r="J184" s="22">
        <f>Mikolongwe!D184+Mikolongwe!E184+Mikolongwe!F184+Mikolongwe!G184+Mikolongwe!H184+Mikolongwe!I184</f>
        <v>0</v>
      </c>
      <c r="K184" s="22">
        <f>Migowi!D184+Migowi!E184+Migowi!F184+Migowi!G184+Migowi!H184+Migowi!I184</f>
        <v>0</v>
      </c>
      <c r="L184" s="412">
        <f>Nkando!D184+Nkando!E184+Nkando!F184+Nkando!G184+Nkando!H184+Nkando!I184</f>
        <v>0</v>
      </c>
      <c r="M184" s="31">
        <f>SUM(D184:L184)</f>
        <v>0</v>
      </c>
    </row>
    <row r="185" spans="1:13" ht="15.75" x14ac:dyDescent="0.25">
      <c r="A185" s="463"/>
      <c r="B185" s="17" t="s">
        <v>72</v>
      </c>
      <c r="C185" s="4" t="s">
        <v>57</v>
      </c>
      <c r="D185" s="22">
        <f>Mulanje!D185+Mulanje!E185+Mulanje!F185+Mulanje!G185+Mulanje!H185+Mulanje!I185</f>
        <v>0</v>
      </c>
      <c r="E185" s="22">
        <f>Luchenza!D185+Luchenza!E185+Luchenza!F185+Luchenza!G185+Luchenza!H185+Luchenza!I185</f>
        <v>0</v>
      </c>
      <c r="F185" s="22">
        <f>Thyolo!D185+Thyolo!E185+Thyolo!F185+Thyolo!G185+Thyolo!H185+Thyolo!I185</f>
        <v>0</v>
      </c>
      <c r="G185" s="22">
        <f>Muloza!D185+Muloza!E185+Muloza!F185+Muloza!G185+Muloza!H185+Muloza!I185</f>
        <v>0</v>
      </c>
      <c r="H185" s="22">
        <f>MUST!D185+MUST!E185+MUST!F185+MUST!G185+MUST!H185+MUST!I185</f>
        <v>0</v>
      </c>
      <c r="I185" s="22">
        <f>Phalombe!D185+Phalombe!E185+Phalombe!F185+Phalombe!G185+Phalombe!H185+Phalombe!I185</f>
        <v>0</v>
      </c>
      <c r="J185" s="22">
        <f>Mikolongwe!D185+Mikolongwe!E185+Mikolongwe!F185+Mikolongwe!G185+Mikolongwe!H185+Mikolongwe!I185</f>
        <v>0</v>
      </c>
      <c r="K185" s="22">
        <f>Migowi!D185+Migowi!E185+Migowi!F185+Migowi!G185+Migowi!H185+Migowi!I185</f>
        <v>0</v>
      </c>
      <c r="L185" s="412">
        <f>Nkando!D185+Nkando!E185+Nkando!F185+Nkando!G185+Nkando!H185+Nkando!I185</f>
        <v>0</v>
      </c>
      <c r="M185" s="31">
        <f>SUM(D185:L185)</f>
        <v>0</v>
      </c>
    </row>
    <row r="186" spans="1:13" ht="15.75" x14ac:dyDescent="0.25">
      <c r="A186" s="463"/>
      <c r="B186" s="17" t="s">
        <v>53</v>
      </c>
      <c r="C186" s="4" t="s">
        <v>57</v>
      </c>
      <c r="D186" s="22">
        <f>Mulanje!D186+Mulanje!E186+Mulanje!F186+Mulanje!G186+Mulanje!H186+Mulanje!I186</f>
        <v>0</v>
      </c>
      <c r="E186" s="22">
        <f>Luchenza!D186+Luchenza!E186+Luchenza!F186+Luchenza!G186+Luchenza!H186+Luchenza!I186</f>
        <v>0</v>
      </c>
      <c r="F186" s="22">
        <f>Thyolo!D186+Thyolo!E186+Thyolo!F186+Thyolo!G186+Thyolo!H186+Thyolo!I186</f>
        <v>0</v>
      </c>
      <c r="G186" s="22">
        <f>Muloza!D186+Muloza!E186+Muloza!F186+Muloza!G186+Muloza!H186+Muloza!I186</f>
        <v>0</v>
      </c>
      <c r="H186" s="22">
        <f>MUST!D186+MUST!E186+MUST!F186+MUST!G186+MUST!H186+MUST!I186</f>
        <v>0</v>
      </c>
      <c r="I186" s="22">
        <f>Phalombe!D186+Phalombe!E186+Phalombe!F186+Phalombe!G186+Phalombe!H186+Phalombe!I186</f>
        <v>0</v>
      </c>
      <c r="J186" s="22">
        <f>Mikolongwe!D186+Mikolongwe!E186+Mikolongwe!F186+Mikolongwe!G186+Mikolongwe!H186+Mikolongwe!I186</f>
        <v>0</v>
      </c>
      <c r="K186" s="22">
        <f>Migowi!D186+Migowi!E186+Migowi!F186+Migowi!G186+Migowi!H186+Migowi!I186</f>
        <v>0</v>
      </c>
      <c r="L186" s="412">
        <f>Nkando!D186+Nkando!E186+Nkando!F186+Nkando!G186+Nkando!H186+Nkando!I186</f>
        <v>0</v>
      </c>
      <c r="M186" s="31">
        <f>SUM(D186:L186)</f>
        <v>0</v>
      </c>
    </row>
    <row r="187" spans="1:13" ht="15.75" x14ac:dyDescent="0.25">
      <c r="A187" s="464"/>
      <c r="B187" s="17" t="s">
        <v>52</v>
      </c>
      <c r="C187" s="4" t="s">
        <v>57</v>
      </c>
      <c r="D187" s="22">
        <f>Mulanje!D187+Mulanje!E187+Mulanje!F187+Mulanje!G187+Mulanje!H187+Mulanje!I187</f>
        <v>0</v>
      </c>
      <c r="E187" s="22">
        <f>Luchenza!D187+Luchenza!E187+Luchenza!F187+Luchenza!G187+Luchenza!H187+Luchenza!I187</f>
        <v>0</v>
      </c>
      <c r="F187" s="22">
        <f>Thyolo!D187+Thyolo!E187+Thyolo!F187+Thyolo!G187+Thyolo!H187+Thyolo!I187</f>
        <v>0</v>
      </c>
      <c r="G187" s="22">
        <f>Muloza!D187+Muloza!E187+Muloza!F187+Muloza!G187+Muloza!H187+Muloza!I187</f>
        <v>0</v>
      </c>
      <c r="H187" s="22">
        <f>MUST!D187+MUST!E187+MUST!F187+MUST!G187+MUST!H187+MUST!I187</f>
        <v>0</v>
      </c>
      <c r="I187" s="22">
        <f>Phalombe!D187+Phalombe!E187+Phalombe!F187+Phalombe!G187+Phalombe!H187+Phalombe!I187</f>
        <v>0</v>
      </c>
      <c r="J187" s="22">
        <f>Mikolongwe!D187+Mikolongwe!E187+Mikolongwe!F187+Mikolongwe!G187+Mikolongwe!H187+Mikolongwe!I187</f>
        <v>0</v>
      </c>
      <c r="K187" s="22">
        <f>Migowi!D187+Migowi!E187+Migowi!F187+Migowi!G187+Migowi!H187+Migowi!I187</f>
        <v>0</v>
      </c>
      <c r="L187" s="412">
        <f>Nkando!D187+Nkando!E187+Nkando!F187+Nkando!G187+Nkando!H187+Nkando!I187</f>
        <v>0</v>
      </c>
      <c r="M187" s="31">
        <f>SUM(D187:L187)</f>
        <v>0</v>
      </c>
    </row>
    <row r="188" spans="1:13" ht="15.75" x14ac:dyDescent="0.25">
      <c r="A188" s="46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412">
        <v>0</v>
      </c>
      <c r="M188" s="31"/>
    </row>
    <row r="189" spans="1:13" ht="15.75" x14ac:dyDescent="0.25">
      <c r="A189" s="463"/>
      <c r="B189" s="18" t="s">
        <v>52</v>
      </c>
      <c r="C189" s="4" t="s">
        <v>57</v>
      </c>
      <c r="D189" s="22">
        <f>Mulanje!D189+Mulanje!E189+Mulanje!F189+Mulanje!G189+Mulanje!H189+Mulanje!I189</f>
        <v>0</v>
      </c>
      <c r="E189" s="22">
        <f>Luchenza!D189+Luchenza!E189+Luchenza!F189+Luchenza!G189+Luchenza!H189+Luchenza!I189</f>
        <v>0</v>
      </c>
      <c r="F189" s="22">
        <f>Thyolo!D189+Thyolo!E189+Thyolo!F189+Thyolo!G189+Thyolo!H189+Thyolo!I189</f>
        <v>0</v>
      </c>
      <c r="G189" s="22">
        <f>Muloza!D189+Muloza!E189+Muloza!F189+Muloza!G189+Muloza!H189+Muloza!I189</f>
        <v>0</v>
      </c>
      <c r="H189" s="22">
        <f>MUST!D189+MUST!E189+MUST!F189+MUST!G189+MUST!H189+MUST!I189</f>
        <v>0</v>
      </c>
      <c r="I189" s="22">
        <f>Phalombe!D189+Phalombe!E189+Phalombe!F189+Phalombe!G189+Phalombe!H189+Phalombe!I189</f>
        <v>0</v>
      </c>
      <c r="J189" s="22">
        <f>Mikolongwe!D189+Mikolongwe!E189+Mikolongwe!F189+Mikolongwe!G189+Mikolongwe!H189+Mikolongwe!I189</f>
        <v>0</v>
      </c>
      <c r="K189" s="22">
        <f>Migowi!D189+Migowi!E189+Migowi!F189+Migowi!G189+Migowi!H189+Migowi!I189</f>
        <v>0</v>
      </c>
      <c r="L189" s="412">
        <f>Nkando!D189+Nkando!E189+Nkando!F189+Nkando!G189+Nkando!H189+Nkando!I189</f>
        <v>0</v>
      </c>
      <c r="M189" s="31">
        <f>SUM(D189:L189)</f>
        <v>0</v>
      </c>
    </row>
    <row r="190" spans="1:13" ht="15.75" x14ac:dyDescent="0.25">
      <c r="A190" s="463"/>
      <c r="B190" s="17" t="s">
        <v>62</v>
      </c>
      <c r="C190" s="4" t="s">
        <v>57</v>
      </c>
      <c r="D190" s="22">
        <f>Mulanje!D190+Mulanje!E190+Mulanje!F190+Mulanje!G190+Mulanje!H190+Mulanje!I190</f>
        <v>0</v>
      </c>
      <c r="E190" s="22">
        <f>Luchenza!D190+Luchenza!E190+Luchenza!F190+Luchenza!G190+Luchenza!H190+Luchenza!I190</f>
        <v>0</v>
      </c>
      <c r="F190" s="22">
        <f>Thyolo!D190+Thyolo!E190+Thyolo!F190+Thyolo!G190+Thyolo!H190+Thyolo!I190</f>
        <v>0</v>
      </c>
      <c r="G190" s="22">
        <f>Muloza!D190+Muloza!E190+Muloza!F190+Muloza!G190+Muloza!H190+Muloza!I190</f>
        <v>0</v>
      </c>
      <c r="H190" s="22">
        <f>MUST!D190+MUST!E190+MUST!F190+MUST!G190+MUST!H190+MUST!I190</f>
        <v>0</v>
      </c>
      <c r="I190" s="22">
        <f>Phalombe!D190+Phalombe!E190+Phalombe!F190+Phalombe!G190+Phalombe!H190+Phalombe!I190</f>
        <v>0</v>
      </c>
      <c r="J190" s="22">
        <f>Mikolongwe!D190+Mikolongwe!E190+Mikolongwe!F190+Mikolongwe!G190+Mikolongwe!H190+Mikolongwe!I190</f>
        <v>0</v>
      </c>
      <c r="K190" s="22">
        <f>Migowi!D190+Migowi!E190+Migowi!F190+Migowi!G190+Migowi!H190+Migowi!I190</f>
        <v>0</v>
      </c>
      <c r="L190" s="412">
        <f>Nkando!D190+Nkando!E190+Nkando!F190+Nkando!G190+Nkando!H190+Nkando!I190</f>
        <v>0</v>
      </c>
      <c r="M190" s="31">
        <f>SUM(D190:L190)</f>
        <v>0</v>
      </c>
    </row>
    <row r="191" spans="1:13" ht="15.75" x14ac:dyDescent="0.25">
      <c r="A191" s="463"/>
      <c r="B191" s="17" t="s">
        <v>61</v>
      </c>
      <c r="C191" s="4" t="s">
        <v>57</v>
      </c>
      <c r="D191" s="22">
        <f>Mulanje!D191+Mulanje!E191+Mulanje!F191+Mulanje!G191+Mulanje!H191+Mulanje!I191</f>
        <v>0</v>
      </c>
      <c r="E191" s="22">
        <f>Luchenza!D191+Luchenza!E191+Luchenza!F191+Luchenza!G191+Luchenza!H191+Luchenza!I191</f>
        <v>0</v>
      </c>
      <c r="F191" s="22">
        <f>Thyolo!D191+Thyolo!E191+Thyolo!F191+Thyolo!G191+Thyolo!H191+Thyolo!I191</f>
        <v>0</v>
      </c>
      <c r="G191" s="22">
        <f>Muloza!D191+Muloza!E191+Muloza!F191+Muloza!G191+Muloza!H191+Muloza!I191</f>
        <v>0</v>
      </c>
      <c r="H191" s="22">
        <f>MUST!D191+MUST!E191+MUST!F191+MUST!G191+MUST!H191+MUST!I191</f>
        <v>0</v>
      </c>
      <c r="I191" s="22">
        <f>Phalombe!D191+Phalombe!E191+Phalombe!F191+Phalombe!G191+Phalombe!H191+Phalombe!I191</f>
        <v>0</v>
      </c>
      <c r="J191" s="22">
        <f>Mikolongwe!D191+Mikolongwe!E191+Mikolongwe!F191+Mikolongwe!G191+Mikolongwe!H191+Mikolongwe!I191</f>
        <v>0</v>
      </c>
      <c r="K191" s="22">
        <f>Migowi!D191+Migowi!E191+Migowi!F191+Migowi!G191+Migowi!H191+Migowi!I191</f>
        <v>0</v>
      </c>
      <c r="L191" s="412">
        <f>Nkando!D191+Nkando!E191+Nkando!F191+Nkando!G191+Nkando!H191+Nkando!I191</f>
        <v>0</v>
      </c>
      <c r="M191" s="31">
        <f>SUM(D191:L191)</f>
        <v>0</v>
      </c>
    </row>
    <row r="192" spans="1:13" ht="15.75" x14ac:dyDescent="0.25">
      <c r="A192" s="464"/>
      <c r="B192" s="17" t="s">
        <v>60</v>
      </c>
      <c r="C192" s="4" t="s">
        <v>57</v>
      </c>
      <c r="D192" s="22">
        <f>Mulanje!D192+Mulanje!E192+Mulanje!F192+Mulanje!G192+Mulanje!H192+Mulanje!I192</f>
        <v>0</v>
      </c>
      <c r="E192" s="22">
        <f>Luchenza!D192+Luchenza!E192+Luchenza!F192+Luchenza!G192+Luchenza!H192+Luchenza!I192</f>
        <v>0</v>
      </c>
      <c r="F192" s="22">
        <f>Thyolo!D192+Thyolo!E192+Thyolo!F192+Thyolo!G192+Thyolo!H192+Thyolo!I192</f>
        <v>0</v>
      </c>
      <c r="G192" s="22">
        <f>Muloza!D192+Muloza!E192+Muloza!F192+Muloza!G192+Muloza!H192+Muloza!I192</f>
        <v>0</v>
      </c>
      <c r="H192" s="22">
        <f>MUST!D192+MUST!E192+MUST!F192+MUST!G192+MUST!H192+MUST!I192</f>
        <v>0</v>
      </c>
      <c r="I192" s="22">
        <f>Phalombe!D192+Phalombe!E192+Phalombe!F192+Phalombe!G192+Phalombe!H192+Phalombe!I192</f>
        <v>0</v>
      </c>
      <c r="J192" s="22">
        <f>Mikolongwe!D192+Mikolongwe!E192+Mikolongwe!F192+Mikolongwe!G192+Mikolongwe!H192+Mikolongwe!I192</f>
        <v>0</v>
      </c>
      <c r="K192" s="22">
        <f>Migowi!D192+Migowi!E192+Migowi!F192+Migowi!G192+Migowi!H192+Migowi!I192</f>
        <v>0</v>
      </c>
      <c r="L192" s="412">
        <f>Nkando!D192+Nkando!E192+Nkando!F192+Nkando!G192+Nkando!H192+Nkando!I192</f>
        <v>0</v>
      </c>
      <c r="M192" s="31">
        <f>SUM(D192:L192)</f>
        <v>0</v>
      </c>
    </row>
    <row r="193" spans="1:13" ht="15.75" x14ac:dyDescent="0.25">
      <c r="A193" s="465" t="s">
        <v>59</v>
      </c>
      <c r="B193" s="466"/>
      <c r="C193" s="4"/>
      <c r="D193" s="9">
        <f>SUM(D153:D192)</f>
        <v>116</v>
      </c>
      <c r="E193" s="9">
        <f t="shared" ref="E193:M193" si="46">SUM(E153:E192)</f>
        <v>455</v>
      </c>
      <c r="F193" s="9">
        <f t="shared" si="46"/>
        <v>310</v>
      </c>
      <c r="G193" s="9">
        <f t="shared" si="46"/>
        <v>55</v>
      </c>
      <c r="H193" s="9">
        <f t="shared" si="46"/>
        <v>22</v>
      </c>
      <c r="I193" s="9">
        <f t="shared" si="46"/>
        <v>70</v>
      </c>
      <c r="J193" s="9">
        <f t="shared" si="46"/>
        <v>15</v>
      </c>
      <c r="K193" s="9">
        <f t="shared" si="46"/>
        <v>1</v>
      </c>
      <c r="L193" s="9">
        <f t="shared" si="46"/>
        <v>9</v>
      </c>
      <c r="M193" s="143">
        <f t="shared" si="46"/>
        <v>1053</v>
      </c>
    </row>
    <row r="194" spans="1:13" ht="15.75" x14ac:dyDescent="0.25">
      <c r="A194" s="467" t="s">
        <v>58</v>
      </c>
      <c r="B194" s="468"/>
      <c r="C194" s="4" t="s">
        <v>57</v>
      </c>
      <c r="D194" s="22">
        <f>Mulanje!D194+Mulanje!E194+Mulanje!F194+Mulanje!G194+Mulanje!H194+Mulanje!I194</f>
        <v>0</v>
      </c>
      <c r="E194" s="22">
        <f>Luchenza!D194+Luchenza!E194+Luchenza!F194+Luchenza!G194+Luchenza!H194+Luchenza!I194</f>
        <v>0</v>
      </c>
      <c r="F194" s="22">
        <f>Thyolo!D194+Thyolo!E194+Thyolo!F194+Thyolo!G194+Thyolo!H194+Thyolo!I194</f>
        <v>13</v>
      </c>
      <c r="G194" s="22">
        <f>Muloza!D194+Muloza!E194+Muloza!F194+Muloza!G194+Muloza!H194+Muloza!I194</f>
        <v>0</v>
      </c>
      <c r="H194" s="22">
        <f>MUST!D194+MUST!E194+MUST!F194+MUST!G194+MUST!H194+MUST!I194</f>
        <v>33</v>
      </c>
      <c r="I194" s="22">
        <f>Phalombe!D194+Phalombe!E194+Phalombe!F194+Phalombe!G194+Phalombe!H194+Phalombe!I194</f>
        <v>0</v>
      </c>
      <c r="J194" s="22">
        <f>Mikolongwe!D194+Mikolongwe!E194+Mikolongwe!F194+Mikolongwe!G194+Mikolongwe!H194+Mikolongwe!I194</f>
        <v>0</v>
      </c>
      <c r="K194" s="22">
        <f>Migowi!D194+Migowi!E194+Migowi!F194+Migowi!G194+Migowi!H194+Migowi!I194</f>
        <v>0</v>
      </c>
      <c r="L194" s="412">
        <f>Nkando!D194+Nkando!E194+Nkando!F194+Nkando!G194+Nkando!H194+Nkando!I194</f>
        <v>0</v>
      </c>
      <c r="M194" s="31">
        <f>SUM(D194:L194)</f>
        <v>46</v>
      </c>
    </row>
    <row r="195" spans="1:13" ht="15.75" x14ac:dyDescent="0.25">
      <c r="A195" s="469"/>
      <c r="B195" s="470"/>
      <c r="C195" s="14" t="s">
        <v>55</v>
      </c>
      <c r="D195" s="22">
        <f>Mulanje!D195+Mulanje!E195+Mulanje!F195+Mulanje!G195+Mulanje!H195+Mulanje!I195</f>
        <v>0</v>
      </c>
      <c r="E195" s="22">
        <f>Luchenza!D195+Luchenza!E195+Luchenza!F195+Luchenza!G195+Luchenza!H195+Luchenza!I195</f>
        <v>0</v>
      </c>
      <c r="F195" s="22">
        <f>Thyolo!D195+Thyolo!E195+Thyolo!F195+Thyolo!G195+Thyolo!H195+Thyolo!I195</f>
        <v>42</v>
      </c>
      <c r="G195" s="22">
        <f>Muloza!D195+Muloza!E195+Muloza!F195+Muloza!G195+Muloza!H195+Muloza!I195</f>
        <v>0</v>
      </c>
      <c r="H195" s="22">
        <f>MUST!D195+MUST!E195+MUST!F195+MUST!G195+MUST!H195+MUST!I195</f>
        <v>43</v>
      </c>
      <c r="I195" s="22">
        <f>Phalombe!D195+Phalombe!E195+Phalombe!F195+Phalombe!G195+Phalombe!H195+Phalombe!I195</f>
        <v>0</v>
      </c>
      <c r="J195" s="22">
        <f>Mikolongwe!D195+Mikolongwe!E195+Mikolongwe!F195+Mikolongwe!G195+Mikolongwe!H195+Mikolongwe!I195</f>
        <v>0</v>
      </c>
      <c r="K195" s="22">
        <f>Migowi!D195+Migowi!E195+Migowi!F195+Migowi!G195+Migowi!H195+Migowi!I195</f>
        <v>0</v>
      </c>
      <c r="L195" s="412">
        <f>Nkando!D195+Nkando!E195+Nkando!F195+Nkando!G195+Nkando!H195+Nkando!I195</f>
        <v>0</v>
      </c>
      <c r="M195" s="31">
        <f>SUM(D195:L195)</f>
        <v>85</v>
      </c>
    </row>
    <row r="196" spans="1:13" ht="15.75" x14ac:dyDescent="0.25">
      <c r="A196" s="75" t="s">
        <v>204</v>
      </c>
      <c r="B196" s="76"/>
      <c r="C196" s="14" t="s">
        <v>55</v>
      </c>
      <c r="D196" s="22">
        <f>Mulanje!I196</f>
        <v>0</v>
      </c>
      <c r="E196" s="22">
        <f>Luchenza!I196</f>
        <v>0</v>
      </c>
      <c r="F196" s="22">
        <f>Thyolo!I196</f>
        <v>0</v>
      </c>
      <c r="G196" s="22">
        <f>Muloza!I196</f>
        <v>0</v>
      </c>
      <c r="H196" s="22">
        <f>MUST!I196</f>
        <v>0</v>
      </c>
      <c r="I196" s="22">
        <f>Phalombe!I196</f>
        <v>0</v>
      </c>
      <c r="J196" s="22">
        <f>Mikolongwe!I196</f>
        <v>0</v>
      </c>
      <c r="K196" s="22">
        <f>Migowi!I196</f>
        <v>0</v>
      </c>
      <c r="L196" s="412">
        <f>Nkando!I196</f>
        <v>0</v>
      </c>
      <c r="M196" s="31">
        <f>SUM(D196:L196)/10</f>
        <v>0</v>
      </c>
    </row>
    <row r="197" spans="1:13" ht="15.75" x14ac:dyDescent="0.25">
      <c r="A197" s="445" t="s">
        <v>56</v>
      </c>
      <c r="B197" s="446"/>
      <c r="C197" s="14" t="s">
        <v>55</v>
      </c>
      <c r="D197" s="22">
        <f>Mulanje!D197+Mulanje!E197+Mulanje!F197+Mulanje!G197+Mulanje!H197+Mulanje!I197</f>
        <v>0</v>
      </c>
      <c r="E197" s="22">
        <f>Luchenza!D197+Luchenza!E197+Luchenza!F197+Luchenza!G197+Luchenza!H197+Luchenza!I197</f>
        <v>86</v>
      </c>
      <c r="F197" s="22">
        <f>Thyolo!D197+Thyolo!E197+Thyolo!F197+Thyolo!G197+Thyolo!H197+Thyolo!I197</f>
        <v>225</v>
      </c>
      <c r="G197" s="22">
        <f>Muloza!D197+Muloza!E197+Muloza!F197+Muloza!G197+Muloza!H197+Muloza!I197</f>
        <v>119</v>
      </c>
      <c r="H197" s="22">
        <f>MUST!D197+MUST!E197+MUST!F197+MUST!G197+MUST!H197+MUST!I197</f>
        <v>38</v>
      </c>
      <c r="I197" s="22">
        <f>Phalombe!D197+Phalombe!E197+Phalombe!F197+Phalombe!G197+Phalombe!H197+Phalombe!I197</f>
        <v>0</v>
      </c>
      <c r="J197" s="22">
        <f>Mikolongwe!D197+Mikolongwe!E197+Mikolongwe!F197+Mikolongwe!G197+Mikolongwe!H197+Mikolongwe!I197</f>
        <v>96</v>
      </c>
      <c r="K197" s="22">
        <f>Migowi!D197+Migowi!E197+Migowi!F197+Migowi!G197+Migowi!H197+Migowi!I197</f>
        <v>223</v>
      </c>
      <c r="L197" s="412">
        <f>Nkando!D197+Nkando!E197+Nkando!F197+Nkando!G197+Nkando!H197+Nkando!I197</f>
        <v>0</v>
      </c>
      <c r="M197" s="31">
        <f>SUM(D197:L197)</f>
        <v>787</v>
      </c>
    </row>
    <row r="198" spans="1:13" x14ac:dyDescent="0.25">
      <c r="A198" s="442" t="s">
        <v>205</v>
      </c>
      <c r="B198" s="443"/>
      <c r="C198" s="443"/>
      <c r="D198" s="443"/>
      <c r="E198" s="443"/>
      <c r="F198" s="443"/>
      <c r="G198" s="443"/>
      <c r="H198" s="443"/>
      <c r="I198" s="443"/>
      <c r="J198" s="443"/>
      <c r="K198" s="443"/>
      <c r="L198" s="443"/>
      <c r="M198" s="444"/>
    </row>
    <row r="199" spans="1:13" ht="15.75" x14ac:dyDescent="0.25">
      <c r="A199" s="467" t="s">
        <v>54</v>
      </c>
      <c r="B199" s="69" t="s">
        <v>53</v>
      </c>
      <c r="C199" s="4" t="s">
        <v>47</v>
      </c>
      <c r="D199" s="22">
        <f>Mulanje!D199+Mulanje!E199+Mulanje!F199+Mulanje!G199+Mulanje!H199+Mulanje!I199</f>
        <v>0</v>
      </c>
      <c r="E199" s="22">
        <f>Luchenza!D199+Luchenza!E199+Luchenza!F199+Luchenza!G199+Luchenza!H199+Luchenza!I199</f>
        <v>0</v>
      </c>
      <c r="F199" s="22">
        <f>Thyolo!D199+Thyolo!E199+Thyolo!F199+Thyolo!G199+Thyolo!H199+Thyolo!I199</f>
        <v>0</v>
      </c>
      <c r="G199" s="22">
        <f>Muloza!D199+Muloza!E199+Muloza!F199+Muloza!G199+Muloza!H199+Muloza!I199</f>
        <v>0</v>
      </c>
      <c r="H199" s="22">
        <f>MUST!D199+MUST!E199+MUST!F199+MUST!G199+MUST!H199+MUST!I199</f>
        <v>0</v>
      </c>
      <c r="I199" s="22">
        <f>Phalombe!D199+Phalombe!E199+Phalombe!F199+Phalombe!G199+Phalombe!H199+Phalombe!I199</f>
        <v>0</v>
      </c>
      <c r="J199" s="22">
        <f>Mikolongwe!D199+Mikolongwe!E199+Mikolongwe!F199+Mikolongwe!G199+Mikolongwe!H199+Mikolongwe!I199</f>
        <v>0</v>
      </c>
      <c r="K199" s="22">
        <f>Migowi!D199+Migowi!E199+Migowi!F199+Migowi!G199+Migowi!H199+Migowi!I199</f>
        <v>0</v>
      </c>
      <c r="L199" s="412">
        <f>Nkando!D199+Nkando!E199+Nkando!F199+Nkando!G199+Nkando!H199+Nkando!I199</f>
        <v>0</v>
      </c>
      <c r="M199" s="149">
        <f t="shared" ref="M199:M204" si="47">SUM(D199:L199)</f>
        <v>0</v>
      </c>
    </row>
    <row r="200" spans="1:13" ht="15.75" x14ac:dyDescent="0.25">
      <c r="A200" s="471"/>
      <c r="B200" s="69" t="s">
        <v>52</v>
      </c>
      <c r="C200" s="4" t="s">
        <v>47</v>
      </c>
      <c r="D200" s="22">
        <f>Mulanje!D200+Mulanje!E200+Mulanje!F200+Mulanje!G200+Mulanje!H200+Mulanje!I200</f>
        <v>0</v>
      </c>
      <c r="E200" s="22">
        <f>Luchenza!D200+Luchenza!E200+Luchenza!F200+Luchenza!G200+Luchenza!H200+Luchenza!I200</f>
        <v>0</v>
      </c>
      <c r="F200" s="22">
        <f>Thyolo!D200+Thyolo!E200+Thyolo!F200+Thyolo!G200+Thyolo!H200+Thyolo!I200</f>
        <v>4032</v>
      </c>
      <c r="G200" s="22">
        <f>Muloza!D200+Muloza!E200+Muloza!F200+Muloza!G200+Muloza!H200+Muloza!I200</f>
        <v>0</v>
      </c>
      <c r="H200" s="22">
        <f>MUST!D200+MUST!E200+MUST!F200+MUST!G200+MUST!H200+MUST!I200</f>
        <v>0</v>
      </c>
      <c r="I200" s="22">
        <f>Phalombe!D200+Phalombe!E200+Phalombe!F200+Phalombe!G200+Phalombe!H200+Phalombe!I200</f>
        <v>0</v>
      </c>
      <c r="J200" s="22">
        <f>Mikolongwe!D200+Mikolongwe!E200+Mikolongwe!F200+Mikolongwe!G200+Mikolongwe!H200+Mikolongwe!I200</f>
        <v>0</v>
      </c>
      <c r="K200" s="22">
        <f>Migowi!D200+Migowi!E200+Migowi!F200+Migowi!G200+Migowi!H200+Migowi!I200</f>
        <v>0</v>
      </c>
      <c r="L200" s="412">
        <f>Nkando!D200+Nkando!E200+Nkando!F200+Nkando!G200+Nkando!H200+Nkando!I200</f>
        <v>0</v>
      </c>
      <c r="M200" s="149">
        <f t="shared" si="47"/>
        <v>4032</v>
      </c>
    </row>
    <row r="201" spans="1:13" ht="15.75" x14ac:dyDescent="0.25">
      <c r="A201" s="471"/>
      <c r="B201" s="69" t="s">
        <v>51</v>
      </c>
      <c r="C201" s="4" t="s">
        <v>47</v>
      </c>
      <c r="D201" s="22">
        <f>Mulanje!D201+Mulanje!E201+Mulanje!F201+Mulanje!G201+Mulanje!H201+Mulanje!I201</f>
        <v>0</v>
      </c>
      <c r="E201" s="22">
        <f>Luchenza!D201+Luchenza!E201+Luchenza!F201+Luchenza!G201+Luchenza!H201+Luchenza!I201</f>
        <v>0</v>
      </c>
      <c r="F201" s="22">
        <f>Thyolo!D201+Thyolo!E201+Thyolo!F201+Thyolo!G201+Thyolo!H201+Thyolo!I201</f>
        <v>0</v>
      </c>
      <c r="G201" s="22">
        <f>Muloza!D201+Muloza!E201+Muloza!F201+Muloza!G201+Muloza!H201+Muloza!I201</f>
        <v>0</v>
      </c>
      <c r="H201" s="22">
        <f>MUST!D201+MUST!E201+MUST!F201+MUST!G201+MUST!H201+MUST!I201</f>
        <v>0</v>
      </c>
      <c r="I201" s="22">
        <f>Phalombe!D201+Phalombe!E201+Phalombe!F201+Phalombe!G201+Phalombe!H201+Phalombe!I201</f>
        <v>0</v>
      </c>
      <c r="J201" s="22">
        <f>Mikolongwe!D201+Mikolongwe!E201+Mikolongwe!F201+Mikolongwe!G201+Mikolongwe!H201+Mikolongwe!I201</f>
        <v>0</v>
      </c>
      <c r="K201" s="22">
        <f>Migowi!D201+Migowi!E201+Migowi!F201+Migowi!G201+Migowi!H201+Migowi!I201</f>
        <v>0</v>
      </c>
      <c r="L201" s="412">
        <f>Nkando!D201+Nkando!E201+Nkando!F201+Nkando!G201+Nkando!H201+Nkando!I201</f>
        <v>0</v>
      </c>
      <c r="M201" s="149">
        <f t="shared" si="47"/>
        <v>0</v>
      </c>
    </row>
    <row r="202" spans="1:13" ht="15.75" x14ac:dyDescent="0.25">
      <c r="A202" s="471"/>
      <c r="B202" s="69" t="s">
        <v>50</v>
      </c>
      <c r="C202" s="4" t="s">
        <v>47</v>
      </c>
      <c r="D202" s="22">
        <f>Mulanje!D202+Mulanje!E202+Mulanje!F202+Mulanje!G202+Mulanje!H202+Mulanje!I202</f>
        <v>1000</v>
      </c>
      <c r="E202" s="22">
        <f>Luchenza!D202+Luchenza!E202+Luchenza!F202+Luchenza!G202+Luchenza!H202+Luchenza!I202</f>
        <v>0</v>
      </c>
      <c r="F202" s="22">
        <f>Thyolo!D202+Thyolo!E202+Thyolo!F202+Thyolo!G202+Thyolo!H202+Thyolo!I202</f>
        <v>0</v>
      </c>
      <c r="G202" s="22">
        <f>Muloza!D202+Muloza!E202+Muloza!F202+Muloza!G202+Muloza!H202+Muloza!I202</f>
        <v>0</v>
      </c>
      <c r="H202" s="22">
        <f>MUST!D202+MUST!E202+MUST!F202+MUST!G202+MUST!H202+MUST!I202</f>
        <v>0</v>
      </c>
      <c r="I202" s="22">
        <f>Phalombe!D202+Phalombe!E202+Phalombe!F202+Phalombe!G202+Phalombe!H202+Phalombe!I202</f>
        <v>0</v>
      </c>
      <c r="J202" s="22">
        <f>Mikolongwe!D202+Mikolongwe!E202+Mikolongwe!F202+Mikolongwe!G202+Mikolongwe!H202+Mikolongwe!I202</f>
        <v>0</v>
      </c>
      <c r="K202" s="22">
        <f>Migowi!D202+Migowi!E202+Migowi!F202+Migowi!G202+Migowi!H202+Migowi!I202</f>
        <v>0</v>
      </c>
      <c r="L202" s="412">
        <f>Nkando!D202+Nkando!E202+Nkando!F202+Nkando!G202+Nkando!H202+Nkando!I202</f>
        <v>0</v>
      </c>
      <c r="M202" s="149">
        <f t="shared" si="47"/>
        <v>1000</v>
      </c>
    </row>
    <row r="203" spans="1:13" ht="15.75" x14ac:dyDescent="0.25">
      <c r="A203" s="469"/>
      <c r="B203" s="69" t="s">
        <v>49</v>
      </c>
      <c r="C203" s="4" t="s">
        <v>47</v>
      </c>
      <c r="D203" s="22">
        <f>Mulanje!D203+Mulanje!E203+Mulanje!F203+Mulanje!G203+Mulanje!H203+Mulanje!I203</f>
        <v>0</v>
      </c>
      <c r="E203" s="22">
        <f>Luchenza!D203+Luchenza!E203+Luchenza!F203+Luchenza!G203+Luchenza!H203+Luchenza!I203</f>
        <v>0</v>
      </c>
      <c r="F203" s="22">
        <f>Thyolo!D203+Thyolo!E203+Thyolo!F203+Thyolo!G203+Thyolo!H203+Thyolo!I203</f>
        <v>0</v>
      </c>
      <c r="G203" s="22">
        <f>Muloza!D203+Muloza!E203+Muloza!F203+Muloza!G203+Muloza!H203+Muloza!I203</f>
        <v>0</v>
      </c>
      <c r="H203" s="22">
        <f>MUST!D203+MUST!E203+MUST!F203+MUST!G203+MUST!H203+MUST!I203</f>
        <v>0</v>
      </c>
      <c r="I203" s="22">
        <f>Phalombe!D203+Phalombe!E203+Phalombe!F203+Phalombe!G203+Phalombe!H203+Phalombe!I203</f>
        <v>0</v>
      </c>
      <c r="J203" s="22">
        <f>Mikolongwe!D203+Mikolongwe!E203+Mikolongwe!F203+Mikolongwe!G203+Mikolongwe!H203+Mikolongwe!I203</f>
        <v>0</v>
      </c>
      <c r="K203" s="22">
        <f>Migowi!D203+Migowi!E203+Migowi!F203+Migowi!G203+Migowi!H203+Migowi!I203</f>
        <v>0</v>
      </c>
      <c r="L203" s="412">
        <f>Nkando!D203+Nkando!E203+Nkando!F203+Nkando!G203+Nkando!H203+Nkando!I203</f>
        <v>0</v>
      </c>
      <c r="M203" s="149">
        <f t="shared" si="47"/>
        <v>0</v>
      </c>
    </row>
    <row r="204" spans="1:13" ht="15.75" x14ac:dyDescent="0.25">
      <c r="A204" s="73" t="s">
        <v>48</v>
      </c>
      <c r="B204" s="69"/>
      <c r="C204" s="4" t="s">
        <v>47</v>
      </c>
      <c r="D204" s="13">
        <f t="shared" ref="D204:L204" si="48">SUM(D199:D203)</f>
        <v>1000</v>
      </c>
      <c r="E204" s="13">
        <f t="shared" si="48"/>
        <v>0</v>
      </c>
      <c r="F204" s="13">
        <f t="shared" si="48"/>
        <v>4032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3">
        <f t="shared" si="48"/>
        <v>0</v>
      </c>
      <c r="K204" s="13">
        <f t="shared" si="48"/>
        <v>0</v>
      </c>
      <c r="L204" s="13">
        <f t="shared" si="48"/>
        <v>0</v>
      </c>
      <c r="M204" s="149">
        <f t="shared" si="47"/>
        <v>5032</v>
      </c>
    </row>
    <row r="205" spans="1:13" x14ac:dyDescent="0.25">
      <c r="A205" s="442" t="s">
        <v>46</v>
      </c>
      <c r="B205" s="443"/>
      <c r="C205" s="443"/>
      <c r="D205" s="443"/>
      <c r="E205" s="443"/>
      <c r="F205" s="443"/>
      <c r="G205" s="443"/>
      <c r="H205" s="443"/>
      <c r="I205" s="443"/>
      <c r="J205" s="443"/>
      <c r="K205" s="443"/>
      <c r="L205" s="443"/>
      <c r="M205" s="444"/>
    </row>
    <row r="206" spans="1:13" ht="15.75" x14ac:dyDescent="0.25">
      <c r="A206" s="445" t="s">
        <v>43</v>
      </c>
      <c r="B206" s="446"/>
      <c r="C206" s="4" t="s">
        <v>31</v>
      </c>
      <c r="D206" s="13">
        <f>Mulanje!D206+Mulanje!E206+Mulanje!F206+Mulanje!G206+Mulanje!H206+Mulanje!I206</f>
        <v>50374825.369999997</v>
      </c>
      <c r="E206" s="13">
        <f>Luchenza!D206+Luchenza!E206+Luchenza!F206+Luchenza!G206+Luchenza!H206+Luchenza!I206</f>
        <v>15431844.15</v>
      </c>
      <c r="F206" s="13">
        <f>Thyolo!D206+Thyolo!E206+Thyolo!F206+Thyolo!G206+Thyolo!H206+Thyolo!I206</f>
        <v>11651788.439999999</v>
      </c>
      <c r="G206" s="13">
        <f>Muloza!D206+Muloza!E206+Muloza!F206+Muloza!G206+Muloza!H206+Muloza!I206</f>
        <v>8137943.4399999995</v>
      </c>
      <c r="H206" s="13">
        <f>MUST!D206+MUST!E206+MUST!F206+MUST!G206+MUST!H206+MUST!I206</f>
        <v>1456159.85</v>
      </c>
      <c r="I206" s="13">
        <f>Phalombe!D206+Phalombe!E206+Phalombe!F206+Phalombe!G206+Phalombe!H206+Phalombe!I206</f>
        <v>10482562.450000001</v>
      </c>
      <c r="J206" s="13">
        <f>Mikolongwe!D206+Mikolongwe!E206+Mikolongwe!F206+Mikolongwe!G206+Mikolongwe!H206+Mikolongwe!I206</f>
        <v>0</v>
      </c>
      <c r="K206" s="13">
        <f>Migowi!D206+Migowi!E206+Migowi!F206+Migowi!G206+Migowi!H206+Migowi!I206</f>
        <v>0</v>
      </c>
      <c r="L206" s="412">
        <f>Nkando!D206+Nkando!E206+Nkando!F206+Nkando!G206+Nkando!H206+Nkando!I206</f>
        <v>0</v>
      </c>
      <c r="M206" s="34">
        <f>SUM(D206:L206)</f>
        <v>97535123.699999988</v>
      </c>
    </row>
    <row r="207" spans="1:13" ht="15.75" x14ac:dyDescent="0.25">
      <c r="A207" s="445" t="s">
        <v>42</v>
      </c>
      <c r="B207" s="446"/>
      <c r="C207" s="4" t="s">
        <v>31</v>
      </c>
      <c r="D207" s="13">
        <f>Mulanje!D207+Mulanje!E207+Mulanje!F207+Mulanje!G207+Mulanje!H207+Mulanje!I207</f>
        <v>503400</v>
      </c>
      <c r="E207" s="13">
        <f>Luchenza!D207+Luchenza!E207+Luchenza!F207+Luchenza!G207+Luchenza!H207+Luchenza!I207</f>
        <v>25500</v>
      </c>
      <c r="F207" s="13">
        <f>Thyolo!D207+Thyolo!E207+Thyolo!F207+Thyolo!G207+Thyolo!H207+Thyolo!I207</f>
        <v>15000</v>
      </c>
      <c r="G207" s="13">
        <f>Muloza!D207+Muloza!E207+Muloza!F207+Muloza!G207+Muloza!H207+Muloza!I207</f>
        <v>9000</v>
      </c>
      <c r="H207" s="13">
        <f>MUST!D207+MUST!E207+MUST!F207+MUST!G207+MUST!H207+MUST!I207</f>
        <v>0</v>
      </c>
      <c r="I207" s="13">
        <f>Phalombe!D207+Phalombe!E207+Phalombe!F207+Phalombe!G207+Phalombe!H207+Phalombe!I207</f>
        <v>0</v>
      </c>
      <c r="J207" s="13">
        <f>Mikolongwe!D207+Mikolongwe!E207+Mikolongwe!F207+Mikolongwe!G207+Mikolongwe!H207+Mikolongwe!I207</f>
        <v>0</v>
      </c>
      <c r="K207" s="13">
        <f>Migowi!D207+Migowi!E207+Migowi!F207+Migowi!G207+Migowi!H207+Migowi!I207</f>
        <v>0</v>
      </c>
      <c r="L207" s="412">
        <f>Nkando!D207+Nkando!E207+Nkando!F207+Nkando!G207+Nkando!H207+Nkando!I207</f>
        <v>0</v>
      </c>
      <c r="M207" s="34">
        <f>SUM(D207:L207)</f>
        <v>552900</v>
      </c>
    </row>
    <row r="208" spans="1:13" ht="15.75" x14ac:dyDescent="0.25">
      <c r="A208" s="460" t="s">
        <v>41</v>
      </c>
      <c r="B208" s="461"/>
      <c r="C208" s="4" t="s">
        <v>31</v>
      </c>
      <c r="D208" s="13">
        <f>Mulanje!D208+Mulanje!E208+Mulanje!F208+Mulanje!G208+Mulanje!H208+Mulanje!I208</f>
        <v>1179350</v>
      </c>
      <c r="E208" s="13">
        <f>Luchenza!D208+Luchenza!E208+Luchenza!F208+Luchenza!G208+Luchenza!H208+Luchenza!I208</f>
        <v>85706</v>
      </c>
      <c r="F208" s="13">
        <f>Thyolo!D208+Thyolo!E208+Thyolo!F208+Thyolo!G208+Thyolo!H208+Thyolo!I208</f>
        <v>98000</v>
      </c>
      <c r="G208" s="13">
        <f>Muloza!D208+Muloza!E208+Muloza!F208+Muloza!G208+Muloza!H208+Muloza!I208</f>
        <v>0</v>
      </c>
      <c r="H208" s="13">
        <f>MUST!D208+MUST!E208+MUST!F208+MUST!G208+MUST!H208+MUST!I208</f>
        <v>0</v>
      </c>
      <c r="I208" s="13">
        <f>Phalombe!D208+Phalombe!E208+Phalombe!F208+Phalombe!G208+Phalombe!H208+Phalombe!I208</f>
        <v>0</v>
      </c>
      <c r="J208" s="13">
        <f>Mikolongwe!D208+Mikolongwe!E208+Mikolongwe!F208+Mikolongwe!G208+Mikolongwe!H208+Mikolongwe!I208</f>
        <v>0</v>
      </c>
      <c r="K208" s="13">
        <f>Migowi!D208+Migowi!E208+Migowi!F208+Migowi!G208+Migowi!H208+Migowi!I208</f>
        <v>0</v>
      </c>
      <c r="L208" s="412">
        <f>Nkando!D208+Nkando!E208+Nkando!F208+Nkando!G208+Nkando!H208+Nkando!I208</f>
        <v>0</v>
      </c>
      <c r="M208" s="34">
        <f>SUM(D208:L208)</f>
        <v>1363056</v>
      </c>
    </row>
    <row r="209" spans="1:13" ht="15.75" x14ac:dyDescent="0.25">
      <c r="A209" s="445" t="s">
        <v>40</v>
      </c>
      <c r="B209" s="446"/>
      <c r="C209" s="4" t="s">
        <v>31</v>
      </c>
      <c r="D209" s="13">
        <f>Mulanje!D209+Mulanje!E209+Mulanje!F209+Mulanje!G209+Mulanje!H209+Mulanje!I209</f>
        <v>658200</v>
      </c>
      <c r="E209" s="13">
        <f>Luchenza!D209+Luchenza!E209+Luchenza!F209+Luchenza!G209+Luchenza!H209+Luchenza!I209</f>
        <v>0</v>
      </c>
      <c r="F209" s="13">
        <f>Thyolo!D209+Thyolo!E209+Thyolo!F209+Thyolo!G209+Thyolo!H209+Thyolo!I209</f>
        <v>0</v>
      </c>
      <c r="G209" s="13">
        <f>Muloza!D209+Muloza!E209+Muloza!F209+Muloza!G209+Muloza!H209+Muloza!I209</f>
        <v>0</v>
      </c>
      <c r="H209" s="13">
        <f>MUST!D209+MUST!E209+MUST!F209+MUST!G209+MUST!H209+MUST!I209</f>
        <v>0</v>
      </c>
      <c r="I209" s="13">
        <f>Phalombe!D209+Phalombe!E209+Phalombe!F209+Phalombe!G209+Phalombe!H209+Phalombe!I209</f>
        <v>0</v>
      </c>
      <c r="J209" s="13">
        <f>Mikolongwe!D209+Mikolongwe!E209+Mikolongwe!F209+Mikolongwe!G209+Mikolongwe!H209+Mikolongwe!I209</f>
        <v>0</v>
      </c>
      <c r="K209" s="13">
        <f>Migowi!D209+Migowi!E209+Migowi!F209+Migowi!G209+Migowi!H209+Migowi!I209</f>
        <v>0</v>
      </c>
      <c r="L209" s="412">
        <f>Nkando!D209+Nkando!E209+Nkando!F209+Nkando!G209+Nkando!H209+Nkando!I209</f>
        <v>0</v>
      </c>
      <c r="M209" s="34">
        <f>SUM(D209:L209)</f>
        <v>658200</v>
      </c>
    </row>
    <row r="210" spans="1:13" ht="15.75" x14ac:dyDescent="0.25">
      <c r="A210" s="449" t="s">
        <v>45</v>
      </c>
      <c r="B210" s="450"/>
      <c r="C210" s="4" t="s">
        <v>31</v>
      </c>
      <c r="D210" s="9">
        <f t="shared" ref="D210:L210" si="49">SUM(D206:D209)</f>
        <v>52715775.369999997</v>
      </c>
      <c r="E210" s="9">
        <f t="shared" si="49"/>
        <v>15543050.15</v>
      </c>
      <c r="F210" s="9">
        <f t="shared" si="49"/>
        <v>11764788.439999999</v>
      </c>
      <c r="G210" s="9">
        <f t="shared" si="49"/>
        <v>8146943.4399999995</v>
      </c>
      <c r="H210" s="9">
        <f t="shared" si="49"/>
        <v>1456159.85</v>
      </c>
      <c r="I210" s="9">
        <f t="shared" si="49"/>
        <v>10482562.450000001</v>
      </c>
      <c r="J210" s="9">
        <f t="shared" si="49"/>
        <v>0</v>
      </c>
      <c r="K210" s="9">
        <f t="shared" si="49"/>
        <v>0</v>
      </c>
      <c r="L210" s="9">
        <f t="shared" si="49"/>
        <v>0</v>
      </c>
      <c r="M210" s="34">
        <f>SUM(D210:L210)</f>
        <v>100109279.69999999</v>
      </c>
    </row>
    <row r="211" spans="1:13" x14ac:dyDescent="0.25">
      <c r="A211" s="442" t="s">
        <v>44</v>
      </c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3"/>
      <c r="M211" s="444"/>
    </row>
    <row r="212" spans="1:13" ht="15.75" x14ac:dyDescent="0.25">
      <c r="A212" s="445" t="s">
        <v>43</v>
      </c>
      <c r="B212" s="446"/>
      <c r="C212" s="4" t="s">
        <v>31</v>
      </c>
      <c r="D212" s="13">
        <f>Mulanje!D212+Mulanje!E212+Mulanje!F212+Mulanje!G212+Mulanje!H212+Mulanje!I212</f>
        <v>32987657.529999994</v>
      </c>
      <c r="E212" s="13">
        <f>Luchenza!D212+Luchenza!E212+Luchenza!F212+Luchenza!G212+Luchenza!H212+Luchenza!I212</f>
        <v>19849944.199999999</v>
      </c>
      <c r="F212" s="13">
        <f>Thyolo!D212+Thyolo!E212+Thyolo!F212+Thyolo!G212+Thyolo!H212+Thyolo!I212</f>
        <v>16454675</v>
      </c>
      <c r="G212" s="13">
        <f>Muloza!D212+Muloza!E212+Muloza!F212+Muloza!G212+Muloza!H212+Muloza!I212</f>
        <v>12333393</v>
      </c>
      <c r="H212" s="13">
        <f>MUST!D212+MUST!E212+MUST!F212+MUST!G212+MUST!H212+MUST!I212</f>
        <v>7277555</v>
      </c>
      <c r="I212" s="13">
        <f>Phalombe!D212+Phalombe!E212+Phalombe!F212+Phalombe!G212+Phalombe!H212+Phalombe!I212</f>
        <v>12027338.91</v>
      </c>
      <c r="J212" s="13">
        <f>Mikolongwe!D212+Mikolongwe!E212+Mikolongwe!F212+Mikolongwe!G212+Mikolongwe!H212+Mikolongwe!I212</f>
        <v>1956200</v>
      </c>
      <c r="K212" s="13">
        <f>Migowi!D212+Migowi!E212+Migowi!F212+Migowi!G212+Migowi!H212+Migowi!I212</f>
        <v>3233643.09</v>
      </c>
      <c r="L212" s="412">
        <f>Nkando!D212+Nkando!E212+Nkando!F212+Nkando!G212+Nkando!H212+Nkando!I212</f>
        <v>7250796</v>
      </c>
      <c r="M212" s="34">
        <f>SUM(D212:L212)</f>
        <v>113371202.72999999</v>
      </c>
    </row>
    <row r="213" spans="1:13" ht="15.75" x14ac:dyDescent="0.25">
      <c r="A213" s="445" t="s">
        <v>42</v>
      </c>
      <c r="B213" s="446"/>
      <c r="C213" s="4" t="s">
        <v>31</v>
      </c>
      <c r="D213" s="13">
        <f>Mulanje!D213+Mulanje!E213+Mulanje!F213+Mulanje!G213+Mulanje!H213+Mulanje!I213</f>
        <v>0</v>
      </c>
      <c r="E213" s="13">
        <f>Luchenza!D213+Luchenza!E213+Luchenza!F213+Luchenza!G213+Luchenza!H213+Luchenza!I213</f>
        <v>136150</v>
      </c>
      <c r="F213" s="13">
        <f>Thyolo!D213+Thyolo!E213+Thyolo!F213+Thyolo!G213+Thyolo!H213+Thyolo!I213</f>
        <v>5900</v>
      </c>
      <c r="G213" s="13">
        <f>Muloza!D213+Muloza!E213+Muloza!F213+Muloza!G213+Muloza!H213+Muloza!I213</f>
        <v>12600</v>
      </c>
      <c r="H213" s="13">
        <f>MUST!D213+MUST!E213+MUST!F213+MUST!G213+MUST!H213+MUST!I213</f>
        <v>0</v>
      </c>
      <c r="I213" s="13">
        <f>Phalombe!D213+Phalombe!E213+Phalombe!F213+Phalombe!G213+Phalombe!H213+Phalombe!I213</f>
        <v>29900</v>
      </c>
      <c r="J213" s="13">
        <f>Mikolongwe!D213+Mikolongwe!E213+Mikolongwe!F213+Mikolongwe!G213+Mikolongwe!H213+Mikolongwe!I213</f>
        <v>0</v>
      </c>
      <c r="K213" s="13">
        <f>Migowi!D213+Migowi!E213+Migowi!F213+Migowi!G213+Migowi!H213+Migowi!I213</f>
        <v>0</v>
      </c>
      <c r="L213" s="412">
        <f>Nkando!D213+Nkando!E213+Nkando!F213+Nkando!G213+Nkando!H213+Nkando!I213</f>
        <v>12700</v>
      </c>
      <c r="M213" s="34">
        <f>SUM(D213:L213)</f>
        <v>197250</v>
      </c>
    </row>
    <row r="214" spans="1:13" ht="15.75" x14ac:dyDescent="0.25">
      <c r="A214" s="460" t="s">
        <v>41</v>
      </c>
      <c r="B214" s="461"/>
      <c r="C214" s="4" t="s">
        <v>31</v>
      </c>
      <c r="D214" s="13">
        <f>Mulanje!D214+Mulanje!E214+Mulanje!F214+Mulanje!G214+Mulanje!H214+Mulanje!I214</f>
        <v>12573467.09</v>
      </c>
      <c r="E214" s="13">
        <f>Luchenza!D214+Luchenza!E214+Luchenza!F214+Luchenza!G214+Luchenza!H214+Luchenza!I214</f>
        <v>3760720</v>
      </c>
      <c r="F214" s="13">
        <f>Thyolo!D214+Thyolo!E214+Thyolo!F214+Thyolo!G214+Thyolo!H214+Thyolo!I214</f>
        <v>5078727</v>
      </c>
      <c r="G214" s="13">
        <f>Muloza!D214+Muloza!E214+Muloza!F214+Muloza!G214+Muloza!H214+Muloza!I214</f>
        <v>1515250</v>
      </c>
      <c r="H214" s="13">
        <f>MUST!D214+MUST!E214+MUST!F214+MUST!G214+MUST!H214+MUST!I214</f>
        <v>12284000</v>
      </c>
      <c r="I214" s="13">
        <f>Phalombe!D214+Phalombe!E214+Phalombe!F214+Phalombe!G214+Phalombe!H214+Phalombe!I214</f>
        <v>1687310</v>
      </c>
      <c r="J214" s="13">
        <f>Mikolongwe!D214+Mikolongwe!E214+Mikolongwe!F214+Mikolongwe!G214+Mikolongwe!H214+Mikolongwe!I214</f>
        <v>0</v>
      </c>
      <c r="K214" s="13">
        <f>Migowi!D214+Migowi!E214+Migowi!F214+Migowi!G214+Migowi!H214+Migowi!I214</f>
        <v>0</v>
      </c>
      <c r="L214" s="412">
        <f>Nkando!D214+Nkando!E214+Nkando!F214+Nkando!G214+Nkando!H214+Nkando!I214</f>
        <v>327200</v>
      </c>
      <c r="M214" s="34">
        <f>SUM(D214:L214)</f>
        <v>37226674.090000004</v>
      </c>
    </row>
    <row r="215" spans="1:13" ht="15.75" x14ac:dyDescent="0.25">
      <c r="A215" s="445" t="s">
        <v>40</v>
      </c>
      <c r="B215" s="446"/>
      <c r="C215" s="4" t="s">
        <v>31</v>
      </c>
      <c r="D215" s="13">
        <f>Mulanje!D215+Mulanje!E215+Mulanje!F215+Mulanje!G215+Mulanje!H215+Mulanje!I215</f>
        <v>53579906.029999994</v>
      </c>
      <c r="E215" s="13">
        <f>Luchenza!D215+Luchenza!E215+Luchenza!F215+Luchenza!G215+Luchenza!H215+Luchenza!I215</f>
        <v>1639909</v>
      </c>
      <c r="F215" s="13">
        <f>Thyolo!D215+Thyolo!E215+Thyolo!F215+Thyolo!G215+Thyolo!H215+Thyolo!I215</f>
        <v>20653793.799999997</v>
      </c>
      <c r="G215" s="13">
        <f>Muloza!D215+Muloza!E215+Muloza!F215+Muloza!G215+Muloza!H215+Muloza!I215</f>
        <v>5056400</v>
      </c>
      <c r="H215" s="13">
        <f>MUST!D215+MUST!E215+MUST!F215+MUST!G215+MUST!H215+MUST!I215</f>
        <v>121638459.09999999</v>
      </c>
      <c r="I215" s="13">
        <f>Phalombe!D215+Phalombe!E215+Phalombe!F215+Phalombe!G215+Phalombe!H215+Phalombe!I215</f>
        <v>8830640</v>
      </c>
      <c r="J215" s="13">
        <f>Mikolongwe!D215+Mikolongwe!E215+Mikolongwe!F215+Mikolongwe!G215+Mikolongwe!H215+Mikolongwe!I215</f>
        <v>2196300</v>
      </c>
      <c r="K215" s="13">
        <f>Migowi!D215+Migowi!E215+Migowi!F215+Migowi!G215+Migowi!H215+Migowi!I215</f>
        <v>0</v>
      </c>
      <c r="L215" s="412">
        <f>Nkando!D215+Nkando!E215+Nkando!F215+Nkando!G215+Nkando!H215+Nkando!I215</f>
        <v>117600</v>
      </c>
      <c r="M215" s="34">
        <f>SUM(D215:L215)</f>
        <v>213713007.92999998</v>
      </c>
    </row>
    <row r="216" spans="1:13" ht="15.75" x14ac:dyDescent="0.25">
      <c r="A216" s="449" t="s">
        <v>39</v>
      </c>
      <c r="B216" s="450"/>
      <c r="C216" s="4" t="s">
        <v>31</v>
      </c>
      <c r="D216" s="9">
        <f t="shared" ref="D216:L216" si="50">SUM(D212:D215)</f>
        <v>99141030.649999976</v>
      </c>
      <c r="E216" s="9">
        <f t="shared" si="50"/>
        <v>25386723.199999999</v>
      </c>
      <c r="F216" s="9">
        <f t="shared" si="50"/>
        <v>42193095.799999997</v>
      </c>
      <c r="G216" s="9">
        <f t="shared" si="50"/>
        <v>18917643</v>
      </c>
      <c r="H216" s="9">
        <f>SUM(H212:H215)</f>
        <v>141200014.09999999</v>
      </c>
      <c r="I216" s="9">
        <f t="shared" si="50"/>
        <v>22575188.91</v>
      </c>
      <c r="J216" s="9">
        <f t="shared" si="50"/>
        <v>4152500</v>
      </c>
      <c r="K216" s="9">
        <f t="shared" si="50"/>
        <v>3233643.09</v>
      </c>
      <c r="L216" s="9">
        <f t="shared" si="50"/>
        <v>7708296</v>
      </c>
      <c r="M216" s="34">
        <f>SUM(D216:L216)</f>
        <v>364508134.75</v>
      </c>
    </row>
    <row r="217" spans="1:13" ht="15.75" x14ac:dyDescent="0.25">
      <c r="A217" s="66" t="s">
        <v>38</v>
      </c>
      <c r="B217" s="67"/>
      <c r="C217" s="4" t="s">
        <v>31</v>
      </c>
      <c r="D217" s="9">
        <f>D210+D216</f>
        <v>151856806.01999998</v>
      </c>
      <c r="E217" s="9">
        <f t="shared" ref="E217:M217" si="51">E210+E216</f>
        <v>40929773.350000001</v>
      </c>
      <c r="F217" s="9">
        <f t="shared" si="51"/>
        <v>53957884.239999995</v>
      </c>
      <c r="G217" s="9">
        <f t="shared" si="51"/>
        <v>27064586.439999998</v>
      </c>
      <c r="H217" s="9">
        <f t="shared" si="51"/>
        <v>142656173.94999999</v>
      </c>
      <c r="I217" s="9">
        <f t="shared" si="51"/>
        <v>33057751.359999999</v>
      </c>
      <c r="J217" s="9">
        <f t="shared" si="51"/>
        <v>4152500</v>
      </c>
      <c r="K217" s="9">
        <f t="shared" si="51"/>
        <v>3233643.09</v>
      </c>
      <c r="L217" s="9">
        <f t="shared" si="51"/>
        <v>7708296</v>
      </c>
      <c r="M217" s="35">
        <f t="shared" si="51"/>
        <v>464617414.44999999</v>
      </c>
    </row>
    <row r="218" spans="1:13" x14ac:dyDescent="0.25">
      <c r="A218" s="442" t="s">
        <v>37</v>
      </c>
      <c r="B218" s="443"/>
      <c r="C218" s="443"/>
      <c r="D218" s="443"/>
      <c r="E218" s="443"/>
      <c r="F218" s="443"/>
      <c r="G218" s="443"/>
      <c r="H218" s="443"/>
      <c r="I218" s="443"/>
      <c r="J218" s="443"/>
      <c r="K218" s="443"/>
      <c r="L218" s="443"/>
      <c r="M218" s="444"/>
    </row>
    <row r="219" spans="1:13" ht="15.75" x14ac:dyDescent="0.25">
      <c r="A219" s="445" t="s">
        <v>35</v>
      </c>
      <c r="B219" s="446"/>
      <c r="C219" s="4" t="s">
        <v>31</v>
      </c>
      <c r="D219" s="13">
        <f>Mulanje!D219+Mulanje!E219+Mulanje!F219+Mulanje!G219+Mulanje!H219+Mulanje!I219</f>
        <v>45050496.340000004</v>
      </c>
      <c r="E219" s="13">
        <f>Luchenza!D219+Luchenza!E219+Luchenza!F219+Luchenza!G219+Luchenza!H219+Luchenza!I219</f>
        <v>14501405.059999999</v>
      </c>
      <c r="F219" s="13">
        <f>Thyolo!D219+Thyolo!E219+Thyolo!F219+Thyolo!G219+Thyolo!H219+Thyolo!I219</f>
        <v>11051328.050000001</v>
      </c>
      <c r="G219" s="13">
        <f>Muloza!D219+Muloza!E219+Muloza!F219+Muloza!G219+Muloza!H219+Muloza!I219</f>
        <v>8581682.8599999994</v>
      </c>
      <c r="H219" s="13">
        <f>MUST!D219+MUST!E219+MUST!F219+MUST!G219+MUST!H219+MUST!I219</f>
        <v>2201338.38</v>
      </c>
      <c r="I219" s="13">
        <f>Phalombe!D219+Phalombe!E219+Phalombe!F219+Phalombe!G219+Phalombe!H219+Phalombe!I219</f>
        <v>6829370.4399999995</v>
      </c>
      <c r="J219" s="13">
        <f>Mikolongwe!D222+Mikolongwe!E219+Mikolongwe!F219+Mikolongwe!G219+Mikolongwe!H219+Mikolongwe!I219</f>
        <v>0</v>
      </c>
      <c r="K219" s="13">
        <f>Migowi!D219+Migowi!E219+Migowi!F219+Migowi!G219+Migowi!H219+Migowi!I219</f>
        <v>0</v>
      </c>
      <c r="L219" s="412">
        <f>Nkando!D219+Nkando!E219+Nkando!F219+Nkando!G219+Nkando!H219+Nkando!I219</f>
        <v>0</v>
      </c>
      <c r="M219" s="34">
        <f>SUM(D219:L219)</f>
        <v>88215621.129999995</v>
      </c>
    </row>
    <row r="220" spans="1:13" ht="15.75" x14ac:dyDescent="0.25">
      <c r="A220" s="445" t="s">
        <v>34</v>
      </c>
      <c r="B220" s="446"/>
      <c r="C220" s="4" t="s">
        <v>31</v>
      </c>
      <c r="D220" s="13">
        <f>Mulanje!D220+Mulanje!E220+Mulanje!F220+Mulanje!G220+Mulanje!H220+Mulanje!I220</f>
        <v>524107.2</v>
      </c>
      <c r="E220" s="13">
        <f>Luchenza!D220+Luchenza!E220+Luchenza!F220+Luchenza!G220+Luchenza!H220+Luchenza!I220</f>
        <v>12624.48</v>
      </c>
      <c r="F220" s="13">
        <f>Thyolo!D220+Thyolo!E220+Thyolo!F220+Thyolo!G220+Thyolo!H220+Thyolo!I220</f>
        <v>2295.36</v>
      </c>
      <c r="G220" s="13">
        <f>Muloza!D220+Muloza!E220+Muloza!F220+Muloza!G220+Muloza!H220+Muloza!I220</f>
        <v>7929.68</v>
      </c>
      <c r="H220" s="13">
        <f>MUST!D220+MUST!E220+MUST!F220+MUST!G220+MUST!H220+MUST!I220</f>
        <v>0</v>
      </c>
      <c r="I220" s="13">
        <f>Phalombe!D220+Phalombe!E220+Phalombe!F220+Phalombe!G220+Phalombe!H220+Phalombe!I220</f>
        <v>0</v>
      </c>
      <c r="J220" s="13">
        <f>Mikolongwe!D220+Mikolongwe!E220+Mikolongwe!F220+Mikolongwe!G220+Mikolongwe!H220+Mikolongwe!I220</f>
        <v>0</v>
      </c>
      <c r="K220" s="13">
        <f>Migowi!D220+Migowi!E220+Migowi!F220+Migowi!G220+Migowi!H220+Migowi!I220</f>
        <v>0</v>
      </c>
      <c r="L220" s="412">
        <f>Nkando!D220+Nkando!E220+Nkando!F220+Nkando!G220+Nkando!H220+Nkando!I220</f>
        <v>0</v>
      </c>
      <c r="M220" s="34">
        <f>SUM(D220:L220)</f>
        <v>546956.72000000009</v>
      </c>
    </row>
    <row r="221" spans="1:13" ht="15.75" x14ac:dyDescent="0.25">
      <c r="A221" s="445" t="s">
        <v>33</v>
      </c>
      <c r="B221" s="446"/>
      <c r="C221" s="4" t="s">
        <v>31</v>
      </c>
      <c r="D221" s="13">
        <f>Mulanje!D221+Mulanje!E221+Mulanje!F221+Mulanje!G221+Mulanje!H221+Mulanje!I221</f>
        <v>1070215.73</v>
      </c>
      <c r="E221" s="13">
        <f>Luchenza!D221+Luchenza!E221+Luchenza!F221+Luchenza!G221+Luchenza!H221+Luchenza!I221</f>
        <v>79860.53</v>
      </c>
      <c r="F221" s="13">
        <f>Thyolo!D221+Thyolo!E221+Thyolo!F221+Thyolo!G221+Thyolo!H221+Thyolo!I221</f>
        <v>0</v>
      </c>
      <c r="G221" s="13">
        <f>Muloza!D221+Muloza!E221+Muloza!F221+Muloza!G221+Muloza!H221+Muloza!I221</f>
        <v>237980</v>
      </c>
      <c r="H221" s="13">
        <f>MUST!D221+MUST!E221+MUST!F221+MUST!G221+MUST!H221+MUST!I221</f>
        <v>224289.99</v>
      </c>
      <c r="I221" s="13">
        <f>Phalombe!D221+Phalombe!E221+Phalombe!F221+Phalombe!G221+Phalombe!H221+Phalombe!I221</f>
        <v>0</v>
      </c>
      <c r="J221" s="13">
        <f>Mikolongwe!D221+Mikolongwe!E221+Mikolongwe!F221+Mikolongwe!G221+Mikolongwe!H221+Mikolongwe!I221</f>
        <v>0</v>
      </c>
      <c r="K221" s="13">
        <f>Migowi!D221+Migowi!E221+Migowi!F221+Migowi!G221+Migowi!H221+Migowi!I221</f>
        <v>0</v>
      </c>
      <c r="L221" s="412">
        <f>Nkando!D221+Nkando!E221+Nkando!F221+Nkando!G221+Nkando!H221+Nkando!I221</f>
        <v>0</v>
      </c>
      <c r="M221" s="34">
        <f>SUM(D221:L221)</f>
        <v>1612346.25</v>
      </c>
    </row>
    <row r="222" spans="1:13" ht="15.75" x14ac:dyDescent="0.25">
      <c r="A222" s="445" t="s">
        <v>32</v>
      </c>
      <c r="B222" s="446"/>
      <c r="C222" s="4" t="s">
        <v>31</v>
      </c>
      <c r="D222" s="13">
        <f>Mulanje!D222+Mulanje!E222+Mulanje!F222+Mulanje!G222+Mulanje!H222+Mulanje!I222</f>
        <v>2165123.02</v>
      </c>
      <c r="E222" s="13">
        <f>Luchenza!D222+Luchenza!E222+Luchenza!F222+Luchenza!G222+Luchenza!H222+Luchenza!I222</f>
        <v>158381.54</v>
      </c>
      <c r="F222" s="13">
        <f>Thyolo!D222+Thyolo!E222+Thyolo!F222+Thyolo!G222+Thyolo!H222+Thyolo!I222</f>
        <v>321577.03999999998</v>
      </c>
      <c r="G222" s="13">
        <f>Muloza!D222+Muloza!E222+Muloza!F222+Muloza!G222+Muloza!H222+Muloza!I222</f>
        <v>362178.79</v>
      </c>
      <c r="H222" s="13">
        <f>MUST!D222+MUST!E222+MUST!F222+MUST!G222+MUST!H222+MUST!I222</f>
        <v>0</v>
      </c>
      <c r="I222" s="13">
        <f>Phalombe!D222+Phalombe!E222+Phalombe!F222+Phalombe!G222+Phalombe!H222+Phalombe!I222</f>
        <v>28618.61</v>
      </c>
      <c r="J222" s="13">
        <f>Mikolongwe!D222+Mikolongwe!E222+Mikolongwe!F222+Mikolongwe!G222+Mikolongwe!H222+Mikolongwe!I222</f>
        <v>0</v>
      </c>
      <c r="K222" s="13">
        <f>Migowi!D222+Migowi!E222+Migowi!F222+Migowi!G222+Migowi!H222+Migowi!I222</f>
        <v>0</v>
      </c>
      <c r="L222" s="412">
        <f>Nkando!D222+Nkando!E222+Nkando!F222+Nkando!G222+Nkando!H222+Nkando!I222</f>
        <v>0</v>
      </c>
      <c r="M222" s="34">
        <f>SUM(D222:L222)</f>
        <v>3035879</v>
      </c>
    </row>
    <row r="223" spans="1:13" ht="15.75" x14ac:dyDescent="0.25">
      <c r="A223" s="449" t="s">
        <v>36</v>
      </c>
      <c r="B223" s="450"/>
      <c r="C223" s="4" t="s">
        <v>31</v>
      </c>
      <c r="D223" s="10">
        <f t="shared" ref="D223:L223" si="52">SUM(D219:D222)</f>
        <v>48809942.290000007</v>
      </c>
      <c r="E223" s="9">
        <f t="shared" si="52"/>
        <v>14752271.609999998</v>
      </c>
      <c r="F223" s="9">
        <f t="shared" si="52"/>
        <v>11375200.449999999</v>
      </c>
      <c r="G223" s="9">
        <f t="shared" si="52"/>
        <v>9189771.3299999982</v>
      </c>
      <c r="H223" s="9">
        <f t="shared" si="52"/>
        <v>2425628.37</v>
      </c>
      <c r="I223" s="9">
        <f t="shared" si="52"/>
        <v>6857989.0499999998</v>
      </c>
      <c r="J223" s="12">
        <f t="shared" si="52"/>
        <v>0</v>
      </c>
      <c r="K223" s="12">
        <f t="shared" si="52"/>
        <v>0</v>
      </c>
      <c r="L223" s="12">
        <f t="shared" si="52"/>
        <v>0</v>
      </c>
      <c r="M223" s="34">
        <f>SUM(D223:L223)</f>
        <v>93410803.100000009</v>
      </c>
    </row>
    <row r="224" spans="1:13" x14ac:dyDescent="0.25">
      <c r="A224" s="442" t="s">
        <v>213</v>
      </c>
      <c r="B224" s="443"/>
      <c r="C224" s="443"/>
      <c r="D224" s="443"/>
      <c r="E224" s="443"/>
      <c r="F224" s="443"/>
      <c r="G224" s="443"/>
      <c r="H224" s="443"/>
      <c r="I224" s="443"/>
      <c r="J224" s="443"/>
      <c r="K224" s="443"/>
      <c r="L224" s="443"/>
      <c r="M224" s="444"/>
    </row>
    <row r="225" spans="1:13" ht="15.75" x14ac:dyDescent="0.25">
      <c r="A225" s="445" t="s">
        <v>35</v>
      </c>
      <c r="B225" s="446"/>
      <c r="C225" s="4" t="s">
        <v>31</v>
      </c>
      <c r="D225" s="13">
        <f>Mulanje!D225+Mulanje!E225+Mulanje!F225+Mulanje!G225+Mulanje!H225+Mulanje!I225</f>
        <v>0</v>
      </c>
      <c r="E225" s="13">
        <f>Luchenza!D225+Luchenza!E225+Luchenza!F225+Luchenza!G225+Luchenza!H225+Luchenza!I225</f>
        <v>0</v>
      </c>
      <c r="F225" s="13">
        <f>Thyolo!D225+Thyolo!E225+Thyolo!F225+Thyolo!G225+Thyolo!H225+Thyolo!I225</f>
        <v>0</v>
      </c>
      <c r="G225" s="13">
        <f>Muloza!D225+Muloza!E225+Muloza!F225+Muloza!G225+Muloza!H225+Muloza!I225</f>
        <v>0</v>
      </c>
      <c r="H225" s="13">
        <f>MUST!D225+MUST!E225+MUST!F225+MUST!G225+MUST!H225+MUST!I225</f>
        <v>0</v>
      </c>
      <c r="I225" s="13">
        <f>Phalombe!D225+Phalombe!E225+Phalombe!F225+Phalombe!G225+Phalombe!H225+Phalombe!I225</f>
        <v>0</v>
      </c>
      <c r="J225" s="13">
        <f>Mikolongwe!D225+Mikolongwe!E225+Mikolongwe!F225+Mikolongwe!G225+Mikolongwe!H225+Mikolongwe!I225</f>
        <v>0</v>
      </c>
      <c r="K225" s="13">
        <f>Migowi!D225+Migowi!E225+Migowi!F225+Migowi!G225+Migowi!H225+Migowi!I225</f>
        <v>0</v>
      </c>
      <c r="L225" s="412">
        <f>Nkando!D225+Nkando!E225+Nkando!F225+Nkando!G225+Nkando!H225+Nkando!I225</f>
        <v>0</v>
      </c>
      <c r="M225" s="34">
        <f t="shared" ref="M225:M230" si="53">SUM(D225:L225)</f>
        <v>0</v>
      </c>
    </row>
    <row r="226" spans="1:13" ht="15.75" x14ac:dyDescent="0.25">
      <c r="A226" s="445" t="s">
        <v>34</v>
      </c>
      <c r="B226" s="446"/>
      <c r="C226" s="4" t="s">
        <v>31</v>
      </c>
      <c r="D226" s="13">
        <f>Mulanje!D226+Mulanje!E226+Mulanje!F226+Mulanje!G226+Mulanje!H226+Mulanje!I226</f>
        <v>0</v>
      </c>
      <c r="E226" s="13">
        <f>Luchenza!D226+Luchenza!E226+Luchenza!F226+Luchenza!G226+Luchenza!H226+Luchenza!I226</f>
        <v>0</v>
      </c>
      <c r="F226" s="13">
        <f>Thyolo!D226+Thyolo!E226+Thyolo!F226+Thyolo!G226+Thyolo!H226+Thyolo!I226</f>
        <v>0</v>
      </c>
      <c r="G226" s="13">
        <f>Muloza!D226+Muloza!E226+Muloza!F226+Muloza!G226+Muloza!H226+Muloza!I226</f>
        <v>0</v>
      </c>
      <c r="H226" s="13">
        <f>MUST!D226+MUST!E226+MUST!F226+MUST!G226+MUST!H226+MUST!I226</f>
        <v>0</v>
      </c>
      <c r="I226" s="13">
        <f>Phalombe!D226+Phalombe!E226+Phalombe!F226+Phalombe!G226+Phalombe!H226+Phalombe!I226</f>
        <v>0</v>
      </c>
      <c r="J226" s="13">
        <f>Mikolongwe!D226+Mikolongwe!E226+Mikolongwe!F226+Mikolongwe!G226+Mikolongwe!H226+Mikolongwe!I226</f>
        <v>0</v>
      </c>
      <c r="K226" s="13">
        <f>Migowi!D226+Migowi!E226+Migowi!F226+Migowi!G226+Migowi!H226+Migowi!I226</f>
        <v>0</v>
      </c>
      <c r="L226" s="412">
        <f>Nkando!D226+Nkando!E226+Nkando!F226+Nkando!G226+Nkando!H226+Nkando!I226</f>
        <v>0</v>
      </c>
      <c r="M226" s="34">
        <f t="shared" si="53"/>
        <v>0</v>
      </c>
    </row>
    <row r="227" spans="1:13" ht="15.75" x14ac:dyDescent="0.25">
      <c r="A227" s="445" t="s">
        <v>33</v>
      </c>
      <c r="B227" s="446"/>
      <c r="C227" s="4" t="s">
        <v>31</v>
      </c>
      <c r="D227" s="13">
        <f>Mulanje!D227+Mulanje!E227+Mulanje!F227+Mulanje!G227+Mulanje!H227+Mulanje!I227</f>
        <v>0</v>
      </c>
      <c r="E227" s="13">
        <f>Luchenza!D227+Luchenza!E227+Luchenza!F227+Luchenza!G227+Luchenza!H227+Luchenza!I227</f>
        <v>0</v>
      </c>
      <c r="F227" s="13">
        <f>Thyolo!D227+Thyolo!E227+Thyolo!F227+Thyolo!G227+Thyolo!H227+Thyolo!I227</f>
        <v>0</v>
      </c>
      <c r="G227" s="13">
        <f>Muloza!D227+Muloza!E227+Muloza!F227+Muloza!G227+Muloza!H227+Muloza!I227</f>
        <v>0</v>
      </c>
      <c r="H227" s="13">
        <f>MUST!D227+MUST!E227+MUST!F227+MUST!G227+MUST!H227+MUST!I227</f>
        <v>0</v>
      </c>
      <c r="I227" s="13">
        <f>Phalombe!D227+Phalombe!E227+Phalombe!F227+Phalombe!G227+Phalombe!H227+Phalombe!I227</f>
        <v>0</v>
      </c>
      <c r="J227" s="13">
        <f>Mikolongwe!D227+Mikolongwe!E227+Mikolongwe!F227+Mikolongwe!G227+Mikolongwe!H227+Mikolongwe!I227</f>
        <v>0</v>
      </c>
      <c r="K227" s="13">
        <f>Migowi!D227+Migowi!E227+Migowi!F227+Migowi!G227+Migowi!H227+Migowi!I227</f>
        <v>0</v>
      </c>
      <c r="L227" s="412">
        <f>Nkando!D227+Nkando!E227+Nkando!F227+Nkando!G227+Nkando!H227+Nkando!I227</f>
        <v>0</v>
      </c>
      <c r="M227" s="34">
        <f t="shared" si="53"/>
        <v>0</v>
      </c>
    </row>
    <row r="228" spans="1:13" ht="15.75" x14ac:dyDescent="0.25">
      <c r="A228" s="445" t="s">
        <v>32</v>
      </c>
      <c r="B228" s="446"/>
      <c r="C228" s="4" t="s">
        <v>31</v>
      </c>
      <c r="D228" s="13">
        <f>Mulanje!D228+Mulanje!E228+Mulanje!F228+Mulanje!G228+Mulanje!H228+Mulanje!I228</f>
        <v>0</v>
      </c>
      <c r="E228" s="13">
        <f>Luchenza!D228+Luchenza!E228+Luchenza!F228+Luchenza!G228+Luchenza!H228+Luchenza!I228</f>
        <v>0</v>
      </c>
      <c r="F228" s="13">
        <f>Thyolo!D228+Thyolo!E228+Thyolo!F228+Thyolo!G228+Thyolo!H228+Thyolo!I228</f>
        <v>0</v>
      </c>
      <c r="G228" s="13">
        <f>Muloza!D228+Muloza!E228+Muloza!F228+Muloza!G228+Muloza!H228+Muloza!I228</f>
        <v>0</v>
      </c>
      <c r="H228" s="13">
        <f>MUST!D228+MUST!E228+MUST!F228+MUST!G228+MUST!H228+MUST!I228</f>
        <v>0</v>
      </c>
      <c r="I228" s="13">
        <f>Phalombe!D228+Phalombe!E228+Phalombe!F228+Phalombe!G228+Phalombe!H228+Phalombe!I228</f>
        <v>0</v>
      </c>
      <c r="J228" s="13">
        <f>Mikolongwe!D228+Mikolongwe!E228+Mikolongwe!F228+Mikolongwe!G228+Mikolongwe!H228+Mikolongwe!I228</f>
        <v>0</v>
      </c>
      <c r="K228" s="13">
        <f>Migowi!D228+Migowi!E228+Migowi!F228+Migowi!G228+Migowi!H228+Migowi!I228</f>
        <v>0</v>
      </c>
      <c r="L228" s="412">
        <f>Nkando!D228+Nkando!E228+Nkando!F228+Nkando!G228+Nkando!H228+Nkando!I228</f>
        <v>0</v>
      </c>
      <c r="M228" s="34">
        <f t="shared" si="53"/>
        <v>0</v>
      </c>
    </row>
    <row r="229" spans="1:13" ht="15.75" x14ac:dyDescent="0.25">
      <c r="A229" s="449" t="s">
        <v>214</v>
      </c>
      <c r="B229" s="450"/>
      <c r="C229" s="4" t="s">
        <v>31</v>
      </c>
      <c r="D229" s="10">
        <f t="shared" ref="D229:L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12">
        <f t="shared" si="54"/>
        <v>0</v>
      </c>
      <c r="K229" s="12">
        <f t="shared" si="54"/>
        <v>0</v>
      </c>
      <c r="L229" s="12">
        <f t="shared" si="54"/>
        <v>0</v>
      </c>
      <c r="M229" s="34">
        <f t="shared" si="53"/>
        <v>0</v>
      </c>
    </row>
    <row r="230" spans="1:13" ht="15.75" x14ac:dyDescent="0.25">
      <c r="A230" s="66" t="s">
        <v>215</v>
      </c>
      <c r="B230" s="109"/>
      <c r="C230" s="4" t="s">
        <v>31</v>
      </c>
      <c r="D230" s="10">
        <f>D223+D229</f>
        <v>48809942.290000007</v>
      </c>
      <c r="E230" s="10">
        <f t="shared" ref="E230:L230" si="55">E223+E229</f>
        <v>14752271.609999998</v>
      </c>
      <c r="F230" s="10">
        <f t="shared" si="55"/>
        <v>11375200.449999999</v>
      </c>
      <c r="G230" s="10">
        <f t="shared" si="55"/>
        <v>9189771.3299999982</v>
      </c>
      <c r="H230" s="10">
        <f t="shared" si="55"/>
        <v>2425628.37</v>
      </c>
      <c r="I230" s="10">
        <f t="shared" si="55"/>
        <v>6857989.0499999998</v>
      </c>
      <c r="J230" s="10">
        <f t="shared" si="55"/>
        <v>0</v>
      </c>
      <c r="K230" s="10">
        <f t="shared" si="55"/>
        <v>0</v>
      </c>
      <c r="L230" s="10">
        <f t="shared" si="55"/>
        <v>0</v>
      </c>
      <c r="M230" s="34">
        <f t="shared" si="53"/>
        <v>93410803.100000009</v>
      </c>
    </row>
    <row r="231" spans="1:13" x14ac:dyDescent="0.25">
      <c r="A231" s="442" t="s">
        <v>30</v>
      </c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3"/>
      <c r="M231" s="444"/>
    </row>
    <row r="232" spans="1:13" ht="15.75" x14ac:dyDescent="0.25">
      <c r="A232" s="445" t="s">
        <v>29</v>
      </c>
      <c r="B232" s="446"/>
      <c r="C232" s="4" t="s">
        <v>18</v>
      </c>
      <c r="D232" s="13">
        <f>Mulanje!D232+Mulanje!E232+Mulanje!F232+Mulanje!G232+Mulanje!H232+Mulanje!I232</f>
        <v>3279918.4699999997</v>
      </c>
      <c r="E232" s="13">
        <f>Luchenza!D232+Luchenza!E232+Luchenza!F232+Luchenza!G232+Luchenza!H232+Luchenza!I232</f>
        <v>1305059.6600000001</v>
      </c>
      <c r="F232" s="13">
        <f>Thyolo!D232+Thyolo!E232+Thyolo!F232+Thyolo!G232+Thyolo!H232+Thyolo!I232</f>
        <v>1219443.54</v>
      </c>
      <c r="G232" s="13">
        <f>Muloza!D232+Muloza!E232+Muloza!F232+Muloza!G232+Muloza!H232+Muloza!I232</f>
        <v>652243.35</v>
      </c>
      <c r="H232" s="13">
        <f>MUST!D232+MUST!E232+MUST!F232+MUST!G232+MUST!H232+MUST!I232</f>
        <v>99177.260000000009</v>
      </c>
      <c r="I232" s="13">
        <f>Phalombe!D232+Phalombe!E232+Phalombe!F232+Phalombe!G232+Phalombe!H232+Phalombe!I232</f>
        <v>550412.22</v>
      </c>
      <c r="J232" s="13">
        <f>Mikolongwe!D232+Mikolongwe!E232+Mikolongwe!F232+Mikolongwe!G232+Mikolongwe!H232+Mikolongwe!I232</f>
        <v>0</v>
      </c>
      <c r="K232" s="13">
        <f>Migowi!D232+Migowi!E232+Migowi!F232+Migowi!G232+Migowi!H232+Migowi!I232</f>
        <v>0</v>
      </c>
      <c r="L232" s="412">
        <f>Nkando!D232+Nkando!E232+Nkando!F232+Nkando!G232+Nkando!H232+Nkando!I232</f>
        <v>0</v>
      </c>
      <c r="M232" s="34">
        <f>SUM(D232:L232)</f>
        <v>7106254.4999999991</v>
      </c>
    </row>
    <row r="233" spans="1:13" ht="15.75" x14ac:dyDescent="0.25">
      <c r="A233" s="445" t="s">
        <v>28</v>
      </c>
      <c r="B233" s="446"/>
      <c r="C233" s="4" t="s">
        <v>18</v>
      </c>
      <c r="D233" s="13">
        <f>Mulanje!D233+Mulanje!E233+Mulanje!F233+Mulanje!G233+Mulanje!H233+Mulanje!I233</f>
        <v>7459.92</v>
      </c>
      <c r="E233" s="13">
        <f>Luchenza!D233+Luchenza!E233+Luchenza!F233+Luchenza!G233+Luchenza!H233+Luchenza!I233</f>
        <v>1147.68</v>
      </c>
      <c r="F233" s="13">
        <f>Thyolo!D233+Thyolo!E233+Thyolo!F233+Thyolo!G233+Thyolo!H233+Thyolo!I233</f>
        <v>573.84</v>
      </c>
      <c r="G233" s="13">
        <f>Muloza!D233+Muloza!E233+Muloza!F233+Muloza!G233+Muloza!H233+Muloza!I233</f>
        <v>573.84</v>
      </c>
      <c r="H233" s="13">
        <f>MUST!D233+MUST!E233+MUST!F233+MUST!G233+MUST!H233+MUST!I233</f>
        <v>0</v>
      </c>
      <c r="I233" s="13">
        <f>Phalombe!D233+Phalombe!E233+Phalombe!F233+Phalombe!G233+Phalombe!H233+Phalombe!I233</f>
        <v>0</v>
      </c>
      <c r="J233" s="13">
        <f>Mikolongwe!D233+Mikolongwe!E233+Mikolongwe!F233+Mikolongwe!G233+Mikolongwe!H233+Mikolongwe!I233</f>
        <v>0</v>
      </c>
      <c r="K233" s="13">
        <f>Migowi!D233+Migowi!E233+Migowi!F233+Migowi!G233+Migowi!H233+Migowi!I233</f>
        <v>0</v>
      </c>
      <c r="L233" s="412">
        <f>Nkando!D233+Nkando!E233+Nkando!F233+Nkando!G233+Nkando!H233+Nkando!I233</f>
        <v>0</v>
      </c>
      <c r="M233" s="34">
        <f>SUM(D233:L233)</f>
        <v>9755.2800000000007</v>
      </c>
    </row>
    <row r="234" spans="1:13" ht="15.75" x14ac:dyDescent="0.25">
      <c r="A234" s="445" t="s">
        <v>27</v>
      </c>
      <c r="B234" s="446"/>
      <c r="C234" s="4" t="s">
        <v>18</v>
      </c>
      <c r="D234" s="13">
        <f>Mulanje!D234+Mulanje!E234+Mulanje!F234+Mulanje!G234+Mulanje!H234+Mulanje!I234</f>
        <v>84841</v>
      </c>
      <c r="E234" s="13">
        <f>Luchenza!D234+Luchenza!E234+Luchenza!F234+Luchenza!G234+Luchenza!H234+Luchenza!I234</f>
        <v>10180.92</v>
      </c>
      <c r="F234" s="13">
        <f>Thyolo!D234+Thyolo!E234+Thyolo!F234+Thyolo!G234+Thyolo!H234+Thyolo!I234</f>
        <v>0</v>
      </c>
      <c r="G234" s="13">
        <f>Muloza!D234+Muloza!E234+Muloza!F234+Muloza!G234+Muloza!H234+Muloza!I234</f>
        <v>0</v>
      </c>
      <c r="H234" s="13">
        <f>MUST!D234+MUST!E234+MUST!F234+MUST!G234+MUST!H234+MUST!I234</f>
        <v>33936.400000000001</v>
      </c>
      <c r="I234" s="13">
        <f>Phalombe!D234+Phalombe!E234+Phalombe!F234+Phalombe!G234+Phalombe!H234+Phalombe!I234</f>
        <v>0</v>
      </c>
      <c r="J234" s="13">
        <f>Mikolongwe!D234+Mikolongwe!E234+Mikolongwe!F234+Mikolongwe!G234+Mikolongwe!H234+Mikolongwe!I234</f>
        <v>0</v>
      </c>
      <c r="K234" s="13">
        <f>Migowi!D234+Migowi!E234+Migowi!F234+Migowi!G234+Migowi!H234+Migowi!I234</f>
        <v>0</v>
      </c>
      <c r="L234" s="412">
        <f>Nkando!D234+Nkando!E234+Nkando!F234+Nkando!G234+Nkando!H234+Nkando!I234</f>
        <v>0</v>
      </c>
      <c r="M234" s="34">
        <f>SUM(D234:L234)</f>
        <v>128958.32</v>
      </c>
    </row>
    <row r="235" spans="1:13" ht="15.75" x14ac:dyDescent="0.25">
      <c r="A235" s="445" t="s">
        <v>26</v>
      </c>
      <c r="B235" s="446"/>
      <c r="C235" s="4" t="s">
        <v>18</v>
      </c>
      <c r="D235" s="13">
        <f>Mulanje!D235+Mulanje!E235+Mulanje!F235+Mulanje!G235+Mulanje!H235+Mulanje!I235</f>
        <v>157669.56</v>
      </c>
      <c r="E235" s="13">
        <f>Luchenza!D235+Luchenza!E235+Luchenza!F235+Luchenza!G235+Luchenza!H235+Luchenza!I235</f>
        <v>64922.76</v>
      </c>
      <c r="F235" s="13">
        <f>Thyolo!D235+Thyolo!E235+Thyolo!F235+Thyolo!G235+Thyolo!H235+Thyolo!I235</f>
        <v>27824.04</v>
      </c>
      <c r="G235" s="13">
        <f>Muloza!D235+Muloza!E235+Muloza!F235+Muloza!G235+Muloza!H235+Muloza!I235</f>
        <v>32461.38</v>
      </c>
      <c r="H235" s="13">
        <f>MUST!D235+MUST!E235+MUST!F235+MUST!G235+MUST!H235+MUST!I235</f>
        <v>0</v>
      </c>
      <c r="I235" s="13">
        <f>Phalombe!D235+Phalombe!E235+Phalombe!F235+Phalombe!G235+Phalombe!H235+Phalombe!I235</f>
        <v>13912.02</v>
      </c>
      <c r="J235" s="13">
        <f>Mikolongwe!D235+Mikolongwe!E235+Mikolongwe!F235+Mikolongwe!G235+Mikolongwe!H235+Mikolongwe!I235</f>
        <v>0</v>
      </c>
      <c r="K235" s="13">
        <f>Migowi!D235+Migowi!E235+Migowi!F235+Migowi!G235+Migowi!H235+Migowi!I235</f>
        <v>0</v>
      </c>
      <c r="L235" s="412">
        <f>Nkando!D235+Nkando!E235+Nkando!F235+Nkando!G235+Nkando!H235+Nkando!I235</f>
        <v>0</v>
      </c>
      <c r="M235" s="34">
        <f>SUM(D235:L235)</f>
        <v>296789.76000000001</v>
      </c>
    </row>
    <row r="236" spans="1:13" ht="15.75" x14ac:dyDescent="0.25">
      <c r="A236" s="449" t="s">
        <v>25</v>
      </c>
      <c r="B236" s="450"/>
      <c r="C236" s="4" t="s">
        <v>18</v>
      </c>
      <c r="D236" s="10">
        <f t="shared" ref="D236:M236" si="56">SUM(D232:D235)</f>
        <v>3529888.9499999997</v>
      </c>
      <c r="E236" s="9">
        <f t="shared" si="56"/>
        <v>1381311.02</v>
      </c>
      <c r="F236" s="9">
        <f t="shared" si="56"/>
        <v>1247841.4200000002</v>
      </c>
      <c r="G236" s="9">
        <f t="shared" si="56"/>
        <v>685278.57</v>
      </c>
      <c r="H236" s="9">
        <f t="shared" si="56"/>
        <v>133113.66</v>
      </c>
      <c r="I236" s="9">
        <f t="shared" si="56"/>
        <v>564324.24</v>
      </c>
      <c r="J236" s="12">
        <f t="shared" si="56"/>
        <v>0</v>
      </c>
      <c r="K236" s="12">
        <f t="shared" si="56"/>
        <v>0</v>
      </c>
      <c r="L236" s="12">
        <f t="shared" si="56"/>
        <v>0</v>
      </c>
      <c r="M236" s="35">
        <f t="shared" si="56"/>
        <v>7541757.8599999994</v>
      </c>
    </row>
    <row r="237" spans="1:13" x14ac:dyDescent="0.25">
      <c r="A237" s="442" t="s">
        <v>24</v>
      </c>
      <c r="B237" s="443"/>
      <c r="C237" s="443"/>
      <c r="D237" s="443"/>
      <c r="E237" s="443"/>
      <c r="F237" s="443"/>
      <c r="G237" s="443"/>
      <c r="H237" s="443"/>
      <c r="I237" s="443"/>
      <c r="J237" s="443"/>
      <c r="K237" s="443"/>
      <c r="L237" s="443"/>
      <c r="M237" s="444"/>
    </row>
    <row r="238" spans="1:13" ht="15.75" x14ac:dyDescent="0.25">
      <c r="A238" s="445" t="s">
        <v>23</v>
      </c>
      <c r="B238" s="446"/>
      <c r="C238" s="4" t="s">
        <v>18</v>
      </c>
      <c r="D238" s="13">
        <f>Mulanje!D238+Mulanje!E238+Mulanje!F238+Mulanje!G238+Mulanje!H238+Mulanje!I238</f>
        <v>5252626</v>
      </c>
      <c r="E238" s="13">
        <f>Luchenza!D238+Luchenza!E238+Luchenza!F238+Luchenza!G238+Luchenza!H238+Luchenza!I238</f>
        <v>2076225</v>
      </c>
      <c r="F238" s="13">
        <f>Thyolo!D238+Thyolo!E238+Thyolo!F238+Thyolo!G238+Thyolo!H238+Thyolo!I238</f>
        <v>2020859</v>
      </c>
      <c r="G238" s="13">
        <f>Muloza!D238+Muloza!E238+Muloza!F238+Muloza!G238+Muloza!H238+Muloza!I238</f>
        <v>1109106</v>
      </c>
      <c r="H238" s="13">
        <f>MUST!D238+MUST!E238+MUST!F238+MUST!G238+MUST!H238+MUST!I238</f>
        <v>162526</v>
      </c>
      <c r="I238" s="13">
        <f>Phalombe!D238+Phalombe!E238+Phalombe!F238+Phalombe!G238+Phalombe!H238+Phalombe!I238</f>
        <v>871568</v>
      </c>
      <c r="J238" s="13">
        <f>Mikolongwe!D238+Mikolongwe!E238+Mikolongwe!F238+Mikolongwe!G238+Mikolongwe!H238+Mikolongwe!I238</f>
        <v>0</v>
      </c>
      <c r="K238" s="13">
        <f>Migowi!D238+Migowi!E238+Migowi!F238+Migowi!G238+Migowi!H238+Migowi!I238</f>
        <v>0</v>
      </c>
      <c r="L238" s="412">
        <f>Nkando!D238+Nkando!E238+Nkando!F238+Nkando!G238+Nkando!H238+Nkando!I238</f>
        <v>0</v>
      </c>
      <c r="M238" s="34">
        <f>SUM(D238:L238)</f>
        <v>11492910</v>
      </c>
    </row>
    <row r="239" spans="1:13" ht="15.75" x14ac:dyDescent="0.25">
      <c r="A239" s="445" t="s">
        <v>22</v>
      </c>
      <c r="B239" s="446"/>
      <c r="C239" s="4" t="s">
        <v>18</v>
      </c>
      <c r="D239" s="13">
        <f>Mulanje!D239+Mulanje!E239+Mulanje!F239+Mulanje!G239+Mulanje!H239+Mulanje!I239</f>
        <v>34827</v>
      </c>
      <c r="E239" s="13">
        <f>Luchenza!D239+Luchenza!E239+Luchenza!F239+Luchenza!G239+Luchenza!H239+Luchenza!I239</f>
        <v>5358</v>
      </c>
      <c r="F239" s="13">
        <f>Thyolo!D239+Thyolo!E239+Thyolo!F239+Thyolo!G239+Thyolo!H239+Thyolo!I239</f>
        <v>2679</v>
      </c>
      <c r="G239" s="13">
        <f>Muloza!D239+Muloza!E239+Muloza!F239+Muloza!G239+Muloza!H239+Muloza!I239</f>
        <v>2679</v>
      </c>
      <c r="H239" s="13">
        <f>MUST!D239+MUST!E239+MUST!F239+MUST!G239+MUST!H239+MUST!I239</f>
        <v>0</v>
      </c>
      <c r="I239" s="13">
        <f>Phalombe!D239+Phalombe!E239+Phalombe!F239+Phalombe!G239+Phalombe!H239+Phalombe!I239</f>
        <v>0</v>
      </c>
      <c r="J239" s="13">
        <f>Mikolongwe!D239+Mikolongwe!E239+Mikolongwe!F239+Mikolongwe!G239+Mikolongwe!H239+Mikolongwe!I239</f>
        <v>0</v>
      </c>
      <c r="K239" s="13">
        <f>Migowi!D239+Migowi!E239+Migowi!F239+Migowi!G239+Migowi!H239+Migowi!I239</f>
        <v>0</v>
      </c>
      <c r="L239" s="412">
        <f>Nkando!D239+Nkando!E239+Nkando!F239+Nkando!G239+Nkando!H239+Nkando!I239</f>
        <v>0</v>
      </c>
      <c r="M239" s="34">
        <f>SUM(D239:L239)</f>
        <v>45543</v>
      </c>
    </row>
    <row r="240" spans="1:13" ht="15.75" x14ac:dyDescent="0.25">
      <c r="A240" s="445" t="s">
        <v>21</v>
      </c>
      <c r="B240" s="446"/>
      <c r="C240" s="4" t="s">
        <v>18</v>
      </c>
      <c r="D240" s="13">
        <f>Mulanje!D240+Mulanje!E240+Mulanje!F240+Mulanje!G240+Mulanje!H240+Mulanje!I240</f>
        <v>22325</v>
      </c>
      <c r="E240" s="13">
        <f>Luchenza!D240+Luchenza!E240+Luchenza!F240+Luchenza!G240+Luchenza!H240+Luchenza!I240</f>
        <v>2679</v>
      </c>
      <c r="F240" s="13">
        <f>Thyolo!D240+Thyolo!E240+Thyolo!F240+Thyolo!G240+Thyolo!H240+Thyolo!I240</f>
        <v>0</v>
      </c>
      <c r="G240" s="13">
        <f>Muloza!D240+Muloza!E240+Muloza!F240+Muloza!G240+Muloza!H240+Muloza!I240</f>
        <v>0</v>
      </c>
      <c r="H240" s="13">
        <f>MUST!D240+MUST!E240+MUST!F240+MUST!G240+MUST!H240+MUST!I240</f>
        <v>8930</v>
      </c>
      <c r="I240" s="13">
        <f>Phalombe!D240+Phalombe!E240+Phalombe!F240+Phalombe!G240+Phalombe!H240+Phalombe!I240</f>
        <v>0</v>
      </c>
      <c r="J240" s="13">
        <f>Mikolongwe!D240+Mikolongwe!E240+Mikolongwe!F240+Mikolongwe!G240+Mikolongwe!H240+Mikolongwe!I240</f>
        <v>0</v>
      </c>
      <c r="K240" s="13">
        <f>Migowi!D240+Migowi!E240+Migowi!F240+Migowi!G240+Migowi!H240+Migowi!I240</f>
        <v>0</v>
      </c>
      <c r="L240" s="412">
        <f>Nkando!D240+Nkando!E240+Nkando!F240+Nkando!G240+Nkando!H240+Nkando!I240</f>
        <v>0</v>
      </c>
      <c r="M240" s="34">
        <f>SUM(D240:L240)</f>
        <v>33934</v>
      </c>
    </row>
    <row r="241" spans="1:13" ht="15.75" x14ac:dyDescent="0.25">
      <c r="A241" s="445" t="s">
        <v>20</v>
      </c>
      <c r="B241" s="446"/>
      <c r="C241" s="4" t="s">
        <v>18</v>
      </c>
      <c r="D241" s="13">
        <f>Mulanje!D241+Mulanje!E241+Mulanje!F241+Mulanje!G241+Mulanje!H241+Mulanje!I241</f>
        <v>30362</v>
      </c>
      <c r="E241" s="13">
        <f>Luchenza!D241+Luchenza!E241+Luchenza!F241+Luchenza!G241+Luchenza!H241+Luchenza!I241</f>
        <v>12502</v>
      </c>
      <c r="F241" s="13">
        <f>Thyolo!D241+Thyolo!E241+Thyolo!F241+Thyolo!G241+Thyolo!H241+Thyolo!I241</f>
        <v>5358</v>
      </c>
      <c r="G241" s="13">
        <f>Muloza!D241+Muloza!E241+Muloza!F241+Muloza!G241+Muloza!H241+Muloza!I241</f>
        <v>6251</v>
      </c>
      <c r="H241" s="13">
        <f>MUST!D241+MUST!E241+MUST!F241+MUST!G241+MUST!H241+MUST!I241</f>
        <v>0</v>
      </c>
      <c r="I241" s="13">
        <f>Phalombe!D241+Phalombe!E241+Phalombe!F241+Phalombe!G241+Phalombe!H241+Phalombe!I241</f>
        <v>2679</v>
      </c>
      <c r="J241" s="13">
        <f>Mikolongwe!D241+Mikolongwe!E241+Mikolongwe!F241+Mikolongwe!G241+Mikolongwe!H241+Mikolongwe!I241</f>
        <v>0</v>
      </c>
      <c r="K241" s="13">
        <f>Migowi!D241+Migowi!E241+Migowi!F241+Migowi!G241+Migowi!H241+Migowi!I241</f>
        <v>0</v>
      </c>
      <c r="L241" s="412">
        <f>Nkando!D241+Nkando!E241+Nkando!F241+Nkando!G241+Nkando!H241+Nkando!I241</f>
        <v>0</v>
      </c>
      <c r="M241" s="34">
        <f>SUM(D241:L241)</f>
        <v>57152</v>
      </c>
    </row>
    <row r="242" spans="1:13" ht="15.75" x14ac:dyDescent="0.25">
      <c r="A242" s="449" t="s">
        <v>19</v>
      </c>
      <c r="B242" s="450"/>
      <c r="C242" s="4" t="s">
        <v>18</v>
      </c>
      <c r="D242" s="10">
        <f t="shared" ref="D242:M242" si="57">SUM(D238:D241)</f>
        <v>5340140</v>
      </c>
      <c r="E242" s="10">
        <f t="shared" si="57"/>
        <v>2096764</v>
      </c>
      <c r="F242" s="10">
        <f t="shared" si="57"/>
        <v>2028896</v>
      </c>
      <c r="G242" s="10">
        <f t="shared" si="57"/>
        <v>1118036</v>
      </c>
      <c r="H242" s="10">
        <f t="shared" si="57"/>
        <v>171456</v>
      </c>
      <c r="I242" s="10">
        <f t="shared" si="57"/>
        <v>874247</v>
      </c>
      <c r="J242" s="10">
        <f t="shared" si="57"/>
        <v>0</v>
      </c>
      <c r="K242" s="10">
        <f t="shared" si="57"/>
        <v>0</v>
      </c>
      <c r="L242" s="10">
        <f t="shared" si="57"/>
        <v>0</v>
      </c>
      <c r="M242" s="35">
        <f t="shared" si="57"/>
        <v>11629539</v>
      </c>
    </row>
    <row r="243" spans="1:13" ht="15.75" x14ac:dyDescent="0.25">
      <c r="A243" s="449" t="s">
        <v>216</v>
      </c>
      <c r="B243" s="450"/>
      <c r="C243" s="4" t="s">
        <v>18</v>
      </c>
      <c r="D243" s="9">
        <f>D230+D236+D242</f>
        <v>57679971.24000001</v>
      </c>
      <c r="E243" s="9">
        <f t="shared" ref="E243:L243" si="58">E230+E236+E242</f>
        <v>18230346.629999995</v>
      </c>
      <c r="F243" s="9">
        <f t="shared" si="58"/>
        <v>14651937.869999999</v>
      </c>
      <c r="G243" s="9">
        <f t="shared" si="58"/>
        <v>10993085.899999999</v>
      </c>
      <c r="H243" s="9">
        <f t="shared" si="58"/>
        <v>2730198.0300000003</v>
      </c>
      <c r="I243" s="9">
        <f t="shared" si="58"/>
        <v>8296560.29</v>
      </c>
      <c r="J243" s="9">
        <f t="shared" si="58"/>
        <v>0</v>
      </c>
      <c r="K243" s="9">
        <f t="shared" si="58"/>
        <v>0</v>
      </c>
      <c r="L243" s="9">
        <f t="shared" si="58"/>
        <v>0</v>
      </c>
      <c r="M243" s="35">
        <f t="shared" ref="M243" si="59">M216+M223+M236+M242</f>
        <v>477090234.71000004</v>
      </c>
    </row>
    <row r="244" spans="1:13" x14ac:dyDescent="0.25">
      <c r="A244" s="442" t="s">
        <v>206</v>
      </c>
      <c r="B244" s="443"/>
      <c r="C244" s="443"/>
      <c r="D244" s="443"/>
      <c r="E244" s="443"/>
      <c r="F244" s="443"/>
      <c r="G244" s="443"/>
      <c r="H244" s="443"/>
      <c r="I244" s="443"/>
      <c r="J244" s="443"/>
      <c r="K244" s="443"/>
      <c r="L244" s="443"/>
      <c r="M244" s="444"/>
    </row>
    <row r="245" spans="1:13" ht="15.75" x14ac:dyDescent="0.25">
      <c r="A245" s="456" t="s">
        <v>207</v>
      </c>
      <c r="B245" s="457"/>
      <c r="C245" s="4" t="s">
        <v>18</v>
      </c>
      <c r="D245" s="22">
        <f>Mulanje!I245</f>
        <v>0</v>
      </c>
      <c r="E245" s="22">
        <f>Luchenza!I245</f>
        <v>0</v>
      </c>
      <c r="F245" s="22">
        <f>Thyolo!I245</f>
        <v>0</v>
      </c>
      <c r="G245" s="22">
        <f>Muloza!I245</f>
        <v>0</v>
      </c>
      <c r="H245" s="22">
        <f>MUST!I245</f>
        <v>0</v>
      </c>
      <c r="I245" s="22">
        <f>Phalombe!I245</f>
        <v>0</v>
      </c>
      <c r="J245" s="22">
        <f>Mikolongwe!I245</f>
        <v>0</v>
      </c>
      <c r="K245" s="22">
        <f>Migowi!I245</f>
        <v>0</v>
      </c>
      <c r="L245" s="22">
        <f>Nkando!I245</f>
        <v>0</v>
      </c>
      <c r="M245" s="34">
        <f>SUM(D245:L245)</f>
        <v>0</v>
      </c>
    </row>
    <row r="246" spans="1:13" ht="15.75" x14ac:dyDescent="0.25">
      <c r="A246" s="456" t="s">
        <v>208</v>
      </c>
      <c r="B246" s="457"/>
      <c r="C246" s="4" t="s">
        <v>18</v>
      </c>
      <c r="D246" s="22">
        <f>Mulanje!I246</f>
        <v>0</v>
      </c>
      <c r="E246" s="22">
        <f>Luchenza!I246</f>
        <v>0</v>
      </c>
      <c r="F246" s="22">
        <f>Thyolo!I246</f>
        <v>0</v>
      </c>
      <c r="G246" s="22">
        <f>Muloza!I246</f>
        <v>0</v>
      </c>
      <c r="H246" s="22">
        <f>MUST!I246</f>
        <v>0</v>
      </c>
      <c r="I246" s="22">
        <f>Phalombe!I246</f>
        <v>0</v>
      </c>
      <c r="J246" s="22">
        <f>Mikolongwe!I246</f>
        <v>0</v>
      </c>
      <c r="K246" s="22">
        <f>Migowi!I246</f>
        <v>0</v>
      </c>
      <c r="L246" s="22">
        <f>Nkando!I246</f>
        <v>0</v>
      </c>
      <c r="M246" s="34">
        <f>SUM(D246:L246)</f>
        <v>0</v>
      </c>
    </row>
    <row r="247" spans="1:13" ht="15.75" x14ac:dyDescent="0.25">
      <c r="A247" s="458" t="s">
        <v>209</v>
      </c>
      <c r="B247" s="459"/>
      <c r="C247" s="4" t="s">
        <v>18</v>
      </c>
      <c r="D247" s="64">
        <f>D245+D246</f>
        <v>0</v>
      </c>
      <c r="E247" s="64">
        <f t="shared" ref="E247:M247" si="60">E245+E246</f>
        <v>0</v>
      </c>
      <c r="F247" s="64">
        <f t="shared" si="60"/>
        <v>0</v>
      </c>
      <c r="G247" s="64">
        <f t="shared" si="60"/>
        <v>0</v>
      </c>
      <c r="H247" s="64">
        <f t="shared" si="60"/>
        <v>0</v>
      </c>
      <c r="I247" s="64">
        <f t="shared" si="60"/>
        <v>0</v>
      </c>
      <c r="J247" s="64">
        <f t="shared" si="60"/>
        <v>0</v>
      </c>
      <c r="K247" s="64">
        <f t="shared" si="60"/>
        <v>0</v>
      </c>
      <c r="L247" s="64">
        <f t="shared" si="60"/>
        <v>0</v>
      </c>
      <c r="M247" s="147">
        <f t="shared" si="60"/>
        <v>0</v>
      </c>
    </row>
    <row r="248" spans="1:13" x14ac:dyDescent="0.25">
      <c r="A248" s="442" t="s">
        <v>17</v>
      </c>
      <c r="B248" s="443"/>
      <c r="C248" s="443"/>
      <c r="D248" s="443"/>
      <c r="E248" s="443"/>
      <c r="F248" s="443"/>
      <c r="G248" s="443"/>
      <c r="H248" s="443"/>
      <c r="I248" s="443"/>
      <c r="J248" s="443"/>
      <c r="K248" s="443"/>
      <c r="L248" s="443"/>
      <c r="M248" s="444"/>
    </row>
    <row r="249" spans="1:13" ht="15.75" x14ac:dyDescent="0.25">
      <c r="A249" s="445" t="s">
        <v>16</v>
      </c>
      <c r="B249" s="446"/>
      <c r="C249" s="4" t="s">
        <v>6</v>
      </c>
      <c r="D249" s="7">
        <f>D58/D243%</f>
        <v>148.0743644282025</v>
      </c>
      <c r="E249" s="7">
        <f t="shared" ref="E249:M249" si="61">E58/E243%</f>
        <v>291.20704269132165</v>
      </c>
      <c r="F249" s="7">
        <f t="shared" si="61"/>
        <v>540.17909134773049</v>
      </c>
      <c r="G249" s="7">
        <f t="shared" si="61"/>
        <v>358.73835264491117</v>
      </c>
      <c r="H249" s="7">
        <f t="shared" si="61"/>
        <v>2319.8453707037506</v>
      </c>
      <c r="I249" s="7">
        <f t="shared" si="61"/>
        <v>312.55809726056964</v>
      </c>
      <c r="J249" s="7" t="e">
        <f t="shared" si="61"/>
        <v>#DIV/0!</v>
      </c>
      <c r="K249" s="7" t="e">
        <f t="shared" si="61"/>
        <v>#DIV/0!</v>
      </c>
      <c r="L249" s="7" t="e">
        <f t="shared" si="61"/>
        <v>#DIV/0!</v>
      </c>
      <c r="M249" s="101">
        <f t="shared" si="61"/>
        <v>29.207409440627401</v>
      </c>
    </row>
    <row r="250" spans="1:13" ht="15.75" x14ac:dyDescent="0.25">
      <c r="A250" s="445" t="s">
        <v>210</v>
      </c>
      <c r="B250" s="446"/>
      <c r="C250" s="4" t="s">
        <v>6</v>
      </c>
      <c r="D250" s="25">
        <f>D210/(D223+D245)%</f>
        <v>108.00212599472835</v>
      </c>
      <c r="E250" s="25">
        <f t="shared" ref="E250:M250" si="62">E210/(E223+E245)%</f>
        <v>105.36038490142742</v>
      </c>
      <c r="F250" s="25">
        <f t="shared" si="62"/>
        <v>103.42488900931851</v>
      </c>
      <c r="G250" s="25">
        <f t="shared" si="62"/>
        <v>88.652297728065449</v>
      </c>
      <c r="H250" s="25">
        <f t="shared" si="62"/>
        <v>60.032273204324376</v>
      </c>
      <c r="I250" s="25">
        <f t="shared" si="62"/>
        <v>152.85184000111522</v>
      </c>
      <c r="J250" s="25" t="e">
        <f t="shared" si="62"/>
        <v>#DIV/0!</v>
      </c>
      <c r="K250" s="25" t="e">
        <f t="shared" si="62"/>
        <v>#DIV/0!</v>
      </c>
      <c r="L250" s="25" t="e">
        <f t="shared" si="62"/>
        <v>#DIV/0!</v>
      </c>
      <c r="M250" s="98">
        <f t="shared" si="62"/>
        <v>107.1709870568493</v>
      </c>
    </row>
    <row r="251" spans="1:13" ht="16.5" thickBot="1" x14ac:dyDescent="0.3">
      <c r="A251" s="451" t="s">
        <v>15</v>
      </c>
      <c r="B251" s="452"/>
      <c r="C251" s="4" t="s">
        <v>6</v>
      </c>
      <c r="D251" s="6">
        <f>D210/D223%</f>
        <v>108.00212599472835</v>
      </c>
      <c r="E251" s="6">
        <f t="shared" ref="E251:M251" si="63">E210/E223%</f>
        <v>105.36038490142742</v>
      </c>
      <c r="F251" s="6">
        <f t="shared" si="63"/>
        <v>103.42488900931851</v>
      </c>
      <c r="G251" s="6">
        <f t="shared" si="63"/>
        <v>88.652297728065449</v>
      </c>
      <c r="H251" s="6">
        <f t="shared" si="63"/>
        <v>60.032273204324376</v>
      </c>
      <c r="I251" s="6">
        <f t="shared" si="63"/>
        <v>152.85184000111522</v>
      </c>
      <c r="J251" s="6" t="e">
        <f t="shared" si="63"/>
        <v>#DIV/0!</v>
      </c>
      <c r="K251" s="6" t="e">
        <f t="shared" si="63"/>
        <v>#DIV/0!</v>
      </c>
      <c r="L251" s="6" t="e">
        <f t="shared" si="63"/>
        <v>#DIV/0!</v>
      </c>
      <c r="M251" s="102">
        <f t="shared" si="63"/>
        <v>107.1709870568493</v>
      </c>
    </row>
    <row r="252" spans="1:13" x14ac:dyDescent="0.25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5"/>
    </row>
    <row r="253" spans="1:13" ht="15" customHeight="1" x14ac:dyDescent="0.25">
      <c r="A253" s="445" t="s">
        <v>13</v>
      </c>
      <c r="B253" s="446"/>
      <c r="C253" s="4" t="s">
        <v>3</v>
      </c>
      <c r="D253" s="13">
        <f>Mulanje!D253+Mulanje!E253+Mulanje!F253+Mulanje!G253+Mulanje!H253+Mulanje!I253</f>
        <v>70</v>
      </c>
      <c r="E253" s="13">
        <f>Luchenza!D253+Luchenza!E253+Luchenza!F253+Luchenza!G253+Luchenza!H253+Luchenza!I253</f>
        <v>54</v>
      </c>
      <c r="F253" s="13">
        <f>Thyolo!D253+Thyolo!E253+Thyolo!F253+Thyolo!G253+Thyolo!H253+Thyolo!I253</f>
        <v>44</v>
      </c>
      <c r="G253" s="13">
        <f>Muloza!D253+Muloza!E253+Muloza!F253+Muloza!G253+Muloza!H253+Muloza!I253</f>
        <v>30</v>
      </c>
      <c r="H253" s="13">
        <f>MUST!D253+MUST!E253+MUST!F253+MUST!G253+MUST!H253+MUST!I253</f>
        <v>17</v>
      </c>
      <c r="I253" s="13">
        <f>Phalombe!D253+Phalombe!E253+Phalombe!F253+Phalombe!G253+Phalombe!H253+Phalombe!I253</f>
        <v>16</v>
      </c>
      <c r="J253" s="13">
        <f>Mikolongwe!D253+Mikolongwe!E253+Mikolongwe!F253+Mikolongwe!G253+Mikolongwe!H253+Mikolongwe!I253</f>
        <v>0</v>
      </c>
      <c r="K253" s="13">
        <f>Migowi!D253+Migowi!E253+Migowi!F253+Migowi!G253+Migowi!H253+Migowi!I253</f>
        <v>0</v>
      </c>
      <c r="L253" s="412">
        <f>Nkando!D253+Nkando!E253+Nkando!F253+Nkando!G253+Nkando!H253+Nkando!I253</f>
        <v>7</v>
      </c>
      <c r="M253" s="103">
        <f>SUM(D253:L253)</f>
        <v>238</v>
      </c>
    </row>
    <row r="254" spans="1:13" ht="15.75" x14ac:dyDescent="0.25">
      <c r="A254" s="445" t="s">
        <v>12</v>
      </c>
      <c r="B254" s="446"/>
      <c r="C254" s="4" t="s">
        <v>3</v>
      </c>
      <c r="D254" s="13">
        <f>Mulanje!D254+Mulanje!E254+Mulanje!F254+Mulanje!G254+Mulanje!H254+Mulanje!I254</f>
        <v>15</v>
      </c>
      <c r="E254" s="13">
        <f>Luchenza!D254+Luchenza!E254+Luchenza!F254+Luchenza!G254+Luchenza!H254+Luchenza!I254</f>
        <v>3</v>
      </c>
      <c r="F254" s="13">
        <f>Thyolo!D254+Thyolo!E254+Thyolo!F254+Thyolo!G254+Thyolo!H254+Thyolo!I254</f>
        <v>15</v>
      </c>
      <c r="G254" s="13">
        <f>Muloza!D254+Muloza!E254+Muloza!F254+Muloza!G254+Muloza!H254+Muloza!I254</f>
        <v>15</v>
      </c>
      <c r="H254" s="13">
        <f>MUST!D254+MUST!E254+MUST!F254+MUST!G254+MUST!H254+MUST!I254</f>
        <v>3</v>
      </c>
      <c r="I254" s="13">
        <f>Phalombe!D254+Phalombe!E254+Phalombe!F254+Phalombe!G254+Phalombe!H254+Phalombe!I254</f>
        <v>3</v>
      </c>
      <c r="J254" s="13">
        <f>Mikolongwe!D254+Mikolongwe!E254+Mikolongwe!F254+Mikolongwe!G254+Mikolongwe!H254+Mikolongwe!I254</f>
        <v>0</v>
      </c>
      <c r="K254" s="13">
        <f>Migowi!D254+Migowi!E254+Migowi!F254+Migowi!G254+Migowi!H254+Migowi!I254</f>
        <v>0</v>
      </c>
      <c r="L254" s="412">
        <f>Nkando!D254+Nkando!E254+Nkando!F254+Nkando!G254+Nkando!H254+Nkando!I254</f>
        <v>7</v>
      </c>
      <c r="M254" s="103">
        <f>SUM(D254:L254)</f>
        <v>61</v>
      </c>
    </row>
    <row r="255" spans="1:13" ht="15.75" customHeight="1" x14ac:dyDescent="0.25">
      <c r="A255" s="445" t="s">
        <v>11</v>
      </c>
      <c r="B255" s="446"/>
      <c r="C255" s="4" t="s">
        <v>3</v>
      </c>
      <c r="D255" s="3">
        <f>D95</f>
        <v>20</v>
      </c>
      <c r="E255" s="3">
        <f t="shared" ref="E255:L255" si="64">E95</f>
        <v>43</v>
      </c>
      <c r="F255" s="3">
        <f t="shared" si="64"/>
        <v>16</v>
      </c>
      <c r="G255" s="3">
        <f t="shared" si="64"/>
        <v>72</v>
      </c>
      <c r="H255" s="3">
        <f t="shared" si="64"/>
        <v>3</v>
      </c>
      <c r="I255" s="3">
        <f t="shared" si="64"/>
        <v>40</v>
      </c>
      <c r="J255" s="3">
        <f t="shared" si="64"/>
        <v>0</v>
      </c>
      <c r="K255" s="3">
        <f t="shared" si="64"/>
        <v>0</v>
      </c>
      <c r="L255" s="3">
        <f t="shared" si="64"/>
        <v>4</v>
      </c>
      <c r="M255" s="103">
        <f>SUM(D255:L255)</f>
        <v>198</v>
      </c>
    </row>
    <row r="256" spans="1:13" ht="15.75" x14ac:dyDescent="0.25">
      <c r="A256" s="445" t="s">
        <v>10</v>
      </c>
      <c r="B256" s="446"/>
      <c r="C256" s="4" t="s">
        <v>3</v>
      </c>
      <c r="D256" s="3">
        <f>D91</f>
        <v>70</v>
      </c>
      <c r="E256" s="3">
        <f t="shared" ref="E256:L256" si="65">E91</f>
        <v>54</v>
      </c>
      <c r="F256" s="3">
        <f t="shared" si="65"/>
        <v>44</v>
      </c>
      <c r="G256" s="3">
        <f t="shared" si="65"/>
        <v>31</v>
      </c>
      <c r="H256" s="3">
        <f t="shared" si="65"/>
        <v>18</v>
      </c>
      <c r="I256" s="3">
        <f t="shared" si="65"/>
        <v>16</v>
      </c>
      <c r="J256" s="3">
        <f t="shared" si="65"/>
        <v>0</v>
      </c>
      <c r="K256" s="3">
        <f t="shared" si="65"/>
        <v>0</v>
      </c>
      <c r="L256" s="3">
        <f t="shared" si="65"/>
        <v>7</v>
      </c>
      <c r="M256" s="103">
        <f>SUM(D256:L256)</f>
        <v>240</v>
      </c>
    </row>
    <row r="257" spans="1:13" ht="15.6" customHeight="1" x14ac:dyDescent="0.25">
      <c r="A257" s="445" t="s">
        <v>9</v>
      </c>
      <c r="B257" s="446"/>
      <c r="C257" s="4" t="s">
        <v>3</v>
      </c>
      <c r="D257" s="13">
        <f>Mulanje!D257+Mulanje!E257+Mulanje!F257+Mulanje!G257+Mulanje!H257+Mulanje!I257</f>
        <v>90</v>
      </c>
      <c r="E257" s="13">
        <f>Luchenza!D257+Luchenza!E257+Luchenza!F257+Luchenza!G257+Luchenza!H257+Luchenza!I257</f>
        <v>21</v>
      </c>
      <c r="F257" s="13">
        <f>Thyolo!D257+Thyolo!E257+Thyolo!F257+Thyolo!G257+Thyolo!H257+Thyolo!I257</f>
        <v>90</v>
      </c>
      <c r="G257" s="13">
        <f>Muloza!D257+Muloza!E257+Muloza!F257+Muloza!G257+Muloza!H257+Muloza!I257</f>
        <v>44</v>
      </c>
      <c r="H257" s="13">
        <f>MUST!D257+MUST!E257+MUST!F257+MUST!G257+MUST!H257+MUST!I257</f>
        <v>15</v>
      </c>
      <c r="I257" s="13">
        <f>Phalombe!D257+Phalombe!E257+Phalombe!F257+Phalombe!G257+Phalombe!H257+Phalombe!I257</f>
        <v>90</v>
      </c>
      <c r="J257" s="13">
        <f>Mikolongwe!D257+Mikolongwe!E257+Mikolongwe!F257+Mikolongwe!G257+Mikolongwe!H257+Mikolongwe!I257</f>
        <v>0</v>
      </c>
      <c r="K257" s="13">
        <f>Migowi!D257+Migowi!E257+Migowi!F257+Migowi!G257+Migowi!H257+Migowi!I257</f>
        <v>0</v>
      </c>
      <c r="L257" s="412">
        <f>Nkando!D257+Nkando!E257+Nkando!F257+Nkando!G257+Nkando!H257+Nkando!I257</f>
        <v>90</v>
      </c>
      <c r="M257" s="103">
        <f>SUM(D257:L257)</f>
        <v>440</v>
      </c>
    </row>
    <row r="258" spans="1:13" ht="15.75" x14ac:dyDescent="0.25">
      <c r="A258" s="449" t="s">
        <v>8</v>
      </c>
      <c r="B258" s="450"/>
      <c r="C258" s="4" t="s">
        <v>3</v>
      </c>
      <c r="D258" s="1">
        <f t="shared" ref="D258:M258" si="66">D257/D256</f>
        <v>1.2857142857142858</v>
      </c>
      <c r="E258" s="1">
        <f t="shared" si="66"/>
        <v>0.3888888888888889</v>
      </c>
      <c r="F258" s="1">
        <f t="shared" si="66"/>
        <v>2.0454545454545454</v>
      </c>
      <c r="G258" s="2">
        <f t="shared" si="66"/>
        <v>1.4193548387096775</v>
      </c>
      <c r="H258" s="2">
        <f t="shared" si="66"/>
        <v>0.83333333333333337</v>
      </c>
      <c r="I258" s="2">
        <f t="shared" si="66"/>
        <v>5.625</v>
      </c>
      <c r="J258" s="2" t="e">
        <f t="shared" si="66"/>
        <v>#DIV/0!</v>
      </c>
      <c r="K258" s="2" t="e">
        <f t="shared" si="66"/>
        <v>#DIV/0!</v>
      </c>
      <c r="L258" s="2">
        <f t="shared" si="66"/>
        <v>12.857142857142858</v>
      </c>
      <c r="M258" s="103">
        <f t="shared" si="66"/>
        <v>1.8333333333333333</v>
      </c>
    </row>
    <row r="259" spans="1:13" ht="15.75" x14ac:dyDescent="0.25">
      <c r="A259" s="449" t="s">
        <v>7</v>
      </c>
      <c r="B259" s="450"/>
      <c r="C259" s="4" t="s">
        <v>6</v>
      </c>
      <c r="D259" s="1">
        <f t="shared" ref="D259:M259" si="67">D92/D255*100</f>
        <v>0</v>
      </c>
      <c r="E259" s="1">
        <f t="shared" si="67"/>
        <v>11.627906976744185</v>
      </c>
      <c r="F259" s="1">
        <f t="shared" si="67"/>
        <v>12.5</v>
      </c>
      <c r="G259" s="5">
        <f t="shared" si="67"/>
        <v>1.3888888888888888</v>
      </c>
      <c r="H259" s="5">
        <f t="shared" si="67"/>
        <v>400</v>
      </c>
      <c r="I259" s="5">
        <f t="shared" si="67"/>
        <v>0</v>
      </c>
      <c r="J259" s="5" t="e">
        <f t="shared" si="67"/>
        <v>#DIV/0!</v>
      </c>
      <c r="K259" s="5" t="e">
        <f t="shared" si="67"/>
        <v>#DIV/0!</v>
      </c>
      <c r="L259" s="5">
        <f t="shared" si="67"/>
        <v>0</v>
      </c>
      <c r="M259" s="104">
        <f t="shared" si="67"/>
        <v>10.1010101010101</v>
      </c>
    </row>
    <row r="260" spans="1:13" x14ac:dyDescent="0.25">
      <c r="A260" s="442" t="s">
        <v>5</v>
      </c>
      <c r="B260" s="443"/>
      <c r="C260" s="443"/>
      <c r="D260" s="443"/>
      <c r="E260" s="443"/>
      <c r="F260" s="443"/>
      <c r="G260" s="443"/>
      <c r="H260" s="443"/>
      <c r="I260" s="443"/>
      <c r="J260" s="443"/>
      <c r="K260" s="443"/>
      <c r="L260" s="443"/>
      <c r="M260" s="444"/>
    </row>
    <row r="261" spans="1:13" ht="15" customHeight="1" x14ac:dyDescent="0.25">
      <c r="A261" s="445" t="s">
        <v>4</v>
      </c>
      <c r="B261" s="446"/>
      <c r="C261" s="4" t="s">
        <v>3</v>
      </c>
      <c r="D261" s="13">
        <f>Mulanje!D261+Mulanje!E261+Mulanje!F261+Mulanje!G261+Mulanje!H261+Mulanje!I261</f>
        <v>47</v>
      </c>
      <c r="E261" s="13">
        <f>Luchenza!D261+Luchenza!E261+Luchenza!F261+Luchenza!G261+Luchenza!H261+Luchenza!I261</f>
        <v>39</v>
      </c>
      <c r="F261" s="13">
        <f>Thyolo!D261+Thyolo!E261+Thyolo!F261+Thyolo!G261+Thyolo!H261+Thyolo!I261</f>
        <v>65</v>
      </c>
      <c r="G261" s="13">
        <f>Muloza!D261+Muloza!E261+Muloza!F261+Muloza!G261+Muloza!H261+Muloza!I261</f>
        <v>37</v>
      </c>
      <c r="H261" s="13">
        <f>MUST!D261+MUST!E261+MUST!F261+MUST!G261+MUST!H261+MUST!I261</f>
        <v>13</v>
      </c>
      <c r="I261" s="13">
        <f>Phalombe!D261+Phalombe!E261+Phalombe!F261+Phalombe!G261+Phalombe!H261+Phalombe!I261</f>
        <v>30</v>
      </c>
      <c r="J261" s="13">
        <f>Mikolongwe!D261+Mikolongwe!E261+Mikolongwe!F261+Mikolongwe!G261+Mikolongwe!H261+Mikolongwe!I261</f>
        <v>8</v>
      </c>
      <c r="K261" s="13">
        <f>Migowi!D261+Migowi!E261+Migowi!F261+Migowi!G261+Migowi!H261+Migowi!I261</f>
        <v>16</v>
      </c>
      <c r="L261" s="412">
        <f>Nkando!D261+Nkando!E261+Nkando!F261+Nkando!G261+Nkando!H261+Nkando!I261</f>
        <v>12</v>
      </c>
      <c r="M261" s="103">
        <f>SUM(D261:L261)</f>
        <v>267</v>
      </c>
    </row>
    <row r="262" spans="1:13" ht="15.75" customHeight="1" x14ac:dyDescent="0.25">
      <c r="A262" s="445" t="s">
        <v>2</v>
      </c>
      <c r="B262" s="446"/>
      <c r="C262" s="4" t="s">
        <v>0</v>
      </c>
      <c r="D262" s="13">
        <f>Mulanje!D262+Mulanje!E262+Mulanje!F262+Mulanje!G262+Mulanje!H262+Mulanje!I262</f>
        <v>90</v>
      </c>
      <c r="E262" s="13">
        <f>Luchenza!D262+Luchenza!E262+Luchenza!F262+Luchenza!G262+Luchenza!H262+Luchenza!I262</f>
        <v>43</v>
      </c>
      <c r="F262" s="13">
        <f>Thyolo!D262+Thyolo!E262+Thyolo!F262+Thyolo!G262+Thyolo!H262+Thyolo!I262</f>
        <v>17</v>
      </c>
      <c r="G262" s="13">
        <f>Muloza!D262+Muloza!E262+Muloza!F262+Muloza!G262+Muloza!H262+Muloza!I262</f>
        <v>10</v>
      </c>
      <c r="H262" s="13">
        <f>MUST!D262+MUST!E262+MUST!F262+MUST!G262+MUST!H262+MUST!I262</f>
        <v>4</v>
      </c>
      <c r="I262" s="13">
        <f>Phalombe!D262+Phalombe!E262+Phalombe!F262+Phalombe!G262+Phalombe!H262+Phalombe!I262</f>
        <v>7</v>
      </c>
      <c r="J262" s="13">
        <f>Mikolongwe!D262+Mikolongwe!E262+Mikolongwe!F262+Mikolongwe!G262+Mikolongwe!H262+Mikolongwe!I262</f>
        <v>5</v>
      </c>
      <c r="K262" s="13">
        <f>Migowi!D262+Migowi!E262+Migowi!F262+Migowi!G262+Migowi!H262+Migowi!I262</f>
        <v>5</v>
      </c>
      <c r="L262" s="412">
        <f>Nkando!D262+Nkando!E262+Nkando!F262+Nkando!G262+Nkando!H262+Nkando!I262</f>
        <v>7</v>
      </c>
      <c r="M262" s="103">
        <f>SUM(D262:L262)</f>
        <v>188</v>
      </c>
    </row>
    <row r="263" spans="1:13" ht="16.5" thickBot="1" x14ac:dyDescent="0.3">
      <c r="A263" s="447" t="s">
        <v>1</v>
      </c>
      <c r="B263" s="448"/>
      <c r="C263" s="105" t="s">
        <v>0</v>
      </c>
      <c r="D263" s="106">
        <f>D261/D262</f>
        <v>0.52222222222222225</v>
      </c>
      <c r="E263" s="106">
        <f t="shared" ref="E263:M263" si="68">E261/E262</f>
        <v>0.90697674418604646</v>
      </c>
      <c r="F263" s="106">
        <f t="shared" si="68"/>
        <v>3.8235294117647061</v>
      </c>
      <c r="G263" s="106">
        <f t="shared" si="68"/>
        <v>3.7</v>
      </c>
      <c r="H263" s="106">
        <f t="shared" si="68"/>
        <v>3.25</v>
      </c>
      <c r="I263" s="106">
        <f t="shared" si="68"/>
        <v>4.2857142857142856</v>
      </c>
      <c r="J263" s="106">
        <f t="shared" si="68"/>
        <v>1.6</v>
      </c>
      <c r="K263" s="106">
        <f t="shared" si="68"/>
        <v>3.2</v>
      </c>
      <c r="L263" s="106">
        <f t="shared" si="68"/>
        <v>1.7142857142857142</v>
      </c>
      <c r="M263" s="158">
        <f t="shared" si="68"/>
        <v>1.4202127659574468</v>
      </c>
    </row>
  </sheetData>
  <mergeCells count="160">
    <mergeCell ref="A261:B261"/>
    <mergeCell ref="A262:B262"/>
    <mergeCell ref="A263:B263"/>
    <mergeCell ref="A255:B255"/>
    <mergeCell ref="A256:B256"/>
    <mergeCell ref="A257:B257"/>
    <mergeCell ref="A258:B258"/>
    <mergeCell ref="A259:B259"/>
    <mergeCell ref="A260:M260"/>
    <mergeCell ref="A249:B249"/>
    <mergeCell ref="A250:B250"/>
    <mergeCell ref="A251:B251"/>
    <mergeCell ref="A252:M252"/>
    <mergeCell ref="A253:B253"/>
    <mergeCell ref="A254:B254"/>
    <mergeCell ref="A243:B243"/>
    <mergeCell ref="A244:M244"/>
    <mergeCell ref="A245:B245"/>
    <mergeCell ref="A246:B246"/>
    <mergeCell ref="A247:B247"/>
    <mergeCell ref="A248:M248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7:B7"/>
    <mergeCell ref="A8:M8"/>
    <mergeCell ref="A9:B9"/>
    <mergeCell ref="A10:M10"/>
    <mergeCell ref="A11:B11"/>
    <mergeCell ref="A12:B12"/>
    <mergeCell ref="A19:B19"/>
    <mergeCell ref="A20:B20"/>
    <mergeCell ref="A21:B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63"/>
  <sheetViews>
    <sheetView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G11" sqref="G11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42578125" bestFit="1" customWidth="1"/>
    <col min="5" max="10" width="19.140625" customWidth="1"/>
    <col min="11" max="11" width="23.140625" customWidth="1"/>
    <col min="12" max="12" width="21.42578125" bestFit="1" customWidth="1"/>
  </cols>
  <sheetData>
    <row r="1" spans="1:12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5" thickBot="1" x14ac:dyDescent="0.3">
      <c r="A7" s="519" t="s">
        <v>176</v>
      </c>
      <c r="B7" s="520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.75" thickBot="1" x14ac:dyDescent="0.3">
      <c r="A8" s="521" t="s">
        <v>161</v>
      </c>
      <c r="B8" s="522"/>
      <c r="C8" s="522"/>
      <c r="D8" s="522"/>
      <c r="E8" s="522"/>
      <c r="F8" s="522"/>
      <c r="G8" s="522"/>
      <c r="H8" s="522"/>
      <c r="I8" s="522"/>
      <c r="J8" s="522"/>
      <c r="K8" s="522"/>
      <c r="L8" s="523"/>
    </row>
    <row r="9" spans="1:12" ht="15.75" x14ac:dyDescent="0.25">
      <c r="A9" s="524" t="s">
        <v>178</v>
      </c>
      <c r="B9" s="525"/>
      <c r="C9" s="53" t="s">
        <v>154</v>
      </c>
      <c r="D9" s="52">
        <f>Mulanje!J9+Mulanje!K9+Mulanje!L9</f>
        <v>0</v>
      </c>
      <c r="E9" s="52">
        <f>Luchenza!J9+Luchenza!K9+Luchenza!L9</f>
        <v>0</v>
      </c>
      <c r="F9" s="52">
        <f>Thyolo!J9+Thyolo!K9+Thyolo!L9</f>
        <v>0</v>
      </c>
      <c r="G9" s="52">
        <f>Muloza!J9+Muloza!K9+Muloza!L9</f>
        <v>0</v>
      </c>
      <c r="H9" s="52">
        <f>MUST!J9+MUST!K9+MUST!L9</f>
        <v>0</v>
      </c>
      <c r="I9" s="52">
        <f>Phalombe!J9+Phalombe!K9+Phalombe!L9</f>
        <v>0</v>
      </c>
      <c r="J9" s="52">
        <f>Mikolongwe!J9+Mikolongwe!K9+Mikolongwe!L9</f>
        <v>0</v>
      </c>
      <c r="K9" s="52">
        <f>Migowi!J9+Migowi!K9+Migowi!L9</f>
        <v>0</v>
      </c>
      <c r="L9" s="51">
        <f>SUM(D9:K9)</f>
        <v>0</v>
      </c>
    </row>
    <row r="10" spans="1:12" ht="15.75" thickBot="1" x14ac:dyDescent="0.3">
      <c r="A10" s="442" t="s">
        <v>179</v>
      </c>
      <c r="B10" s="443"/>
      <c r="C10" s="443"/>
      <c r="D10" s="526"/>
      <c r="E10" s="443"/>
      <c r="F10" s="443"/>
      <c r="G10" s="526"/>
      <c r="H10" s="526"/>
      <c r="I10" s="526"/>
      <c r="J10" s="526"/>
      <c r="K10" s="526"/>
      <c r="L10" s="444"/>
    </row>
    <row r="11" spans="1:12" ht="15.75" x14ac:dyDescent="0.25">
      <c r="A11" s="460" t="s">
        <v>159</v>
      </c>
      <c r="B11" s="461"/>
      <c r="C11" s="4" t="s">
        <v>154</v>
      </c>
      <c r="D11" s="22">
        <f>Mulanje!J11+Mulanje!K11+Mulanje!L11</f>
        <v>0</v>
      </c>
      <c r="E11" s="160">
        <f>Luchenza!J11+Luchenza!K11+Luchenza!L11</f>
        <v>0</v>
      </c>
      <c r="F11" s="160">
        <f>Thyolo!J11+Thyolo!K11+Thyolo!L11</f>
        <v>0</v>
      </c>
      <c r="G11" s="22">
        <f>Muloza!J11+Muloza!K11+Muloza!L11</f>
        <v>0</v>
      </c>
      <c r="H11" s="22">
        <f>MUST!J11+MUST!K11+MUST!L11</f>
        <v>0</v>
      </c>
      <c r="I11" s="22">
        <f>Phalombe!J11+Phalombe!K11+Phalombe!L11</f>
        <v>0</v>
      </c>
      <c r="J11" s="22">
        <f>Mikolongwe!J11+Mikolongwe!K11+Mikolongwe!L11</f>
        <v>0</v>
      </c>
      <c r="K11" s="22">
        <f>Migowi!J11+Migowi!K11+Migowi!L11</f>
        <v>0</v>
      </c>
      <c r="L11" s="50">
        <f>SUM(D11:K11)</f>
        <v>0</v>
      </c>
    </row>
    <row r="12" spans="1:12" ht="15.75" x14ac:dyDescent="0.25">
      <c r="A12" s="460" t="s">
        <v>158</v>
      </c>
      <c r="B12" s="461"/>
      <c r="C12" s="4" t="s">
        <v>154</v>
      </c>
      <c r="D12" s="22">
        <f>Mulanje!J12+Mulanje!K12+Mulanje!L12</f>
        <v>0</v>
      </c>
      <c r="E12" s="22">
        <f>Luchenza!J12+Luchenza!K12+Luchenza!L12</f>
        <v>0</v>
      </c>
      <c r="F12" s="22">
        <f>Thyolo!J12+Thyolo!K12+Thyolo!L12</f>
        <v>0</v>
      </c>
      <c r="G12" s="22">
        <f>Muloza!J12+Muloza!K12+Muloza!L12</f>
        <v>0</v>
      </c>
      <c r="H12" s="22">
        <f>MUST!J12+MUST!K12+MUST!L12</f>
        <v>0</v>
      </c>
      <c r="I12" s="22">
        <f>Phalombe!J12+Phalombe!K12+Phalombe!L12</f>
        <v>0</v>
      </c>
      <c r="J12" s="22">
        <f>Mikolongwe!J12+Mikolongwe!K12+Mikolongwe!L12</f>
        <v>0</v>
      </c>
      <c r="K12" s="22">
        <f>Migowi!J12+Migowi!K12+Migowi!L12</f>
        <v>0</v>
      </c>
      <c r="L12" s="50">
        <f>SUM(D12:K12)</f>
        <v>0</v>
      </c>
    </row>
    <row r="13" spans="1:12" ht="15.75" x14ac:dyDescent="0.25">
      <c r="A13" s="460" t="s">
        <v>157</v>
      </c>
      <c r="B13" s="461"/>
      <c r="C13" s="4" t="s">
        <v>154</v>
      </c>
      <c r="D13" s="22">
        <f>Mulanje!J13+Mulanje!K13+Mulanje!L13</f>
        <v>0</v>
      </c>
      <c r="E13" s="22">
        <f>Luchenza!J13+Luchenza!K13+Luchenza!L13</f>
        <v>0</v>
      </c>
      <c r="F13" s="22">
        <f>Thyolo!J13+Thyolo!K13+Thyolo!L13</f>
        <v>0</v>
      </c>
      <c r="G13" s="22">
        <f>Muloza!J13+Muloza!K13+Muloza!L13</f>
        <v>0</v>
      </c>
      <c r="H13" s="22">
        <f>MUST!J13+MUST!K13+MUST!L13</f>
        <v>0</v>
      </c>
      <c r="I13" s="22">
        <f>Phalombe!J13+Phalombe!K13+Phalombe!L13</f>
        <v>0</v>
      </c>
      <c r="J13" s="22">
        <f>Mikolongwe!J13+Mikolongwe!K13+Mikolongwe!L13</f>
        <v>0</v>
      </c>
      <c r="K13" s="22">
        <f>Migowi!J13+Migowi!K13+Migowi!L13</f>
        <v>0</v>
      </c>
      <c r="L13" s="50">
        <f>SUM(D13:K13)</f>
        <v>0</v>
      </c>
    </row>
    <row r="14" spans="1:12" ht="15.75" x14ac:dyDescent="0.25">
      <c r="A14" s="445" t="s">
        <v>156</v>
      </c>
      <c r="B14" s="446"/>
      <c r="C14" s="4" t="s">
        <v>154</v>
      </c>
      <c r="D14" s="22">
        <f>Mulanje!J14+Mulanje!K14+Mulanje!L14</f>
        <v>0</v>
      </c>
      <c r="E14" s="3">
        <f>Luchenza!J14+Luchenza!K14+Luchenza!L14</f>
        <v>0</v>
      </c>
      <c r="F14" s="22">
        <f>Thyolo!J14+Thyolo!K14+Thyolo!L14</f>
        <v>0</v>
      </c>
      <c r="G14" s="22">
        <f>Muloza!J14+Muloza!K14+Muloza!L14</f>
        <v>0</v>
      </c>
      <c r="H14" s="22">
        <f>MUST!J14+MUST!K14+MUST!L14</f>
        <v>0</v>
      </c>
      <c r="I14" s="22">
        <f>Phalombe!J14+Phalombe!K14+Phalombe!L14</f>
        <v>0</v>
      </c>
      <c r="J14" s="22">
        <f>Mikolongwe!J14+Mikolongwe!K14+Mikolongwe!L14</f>
        <v>0</v>
      </c>
      <c r="K14" s="22">
        <f>Migowi!J14+Migowi!K14+Migowi!L14</f>
        <v>0</v>
      </c>
      <c r="L14" s="50">
        <f>SUM(D14:K14)</f>
        <v>0</v>
      </c>
    </row>
    <row r="15" spans="1:12" s="58" customFormat="1" ht="15.75" x14ac:dyDescent="0.25">
      <c r="A15" s="478" t="s">
        <v>160</v>
      </c>
      <c r="B15" s="479"/>
      <c r="C15" s="57" t="s">
        <v>154</v>
      </c>
      <c r="D15" s="30">
        <f t="shared" ref="D15:L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50">
        <f t="shared" si="0"/>
        <v>0</v>
      </c>
    </row>
    <row r="16" spans="1:12" ht="15.75" thickBot="1" x14ac:dyDescent="0.3">
      <c r="A16" s="442" t="s">
        <v>180</v>
      </c>
      <c r="B16" s="443"/>
      <c r="C16" s="443"/>
      <c r="D16" s="443"/>
      <c r="E16" s="443"/>
      <c r="F16" s="443"/>
      <c r="G16" s="443"/>
      <c r="H16" s="443"/>
      <c r="I16" s="443"/>
      <c r="J16" s="443"/>
      <c r="K16" s="443"/>
      <c r="L16" s="444"/>
    </row>
    <row r="17" spans="1:12" ht="15.75" x14ac:dyDescent="0.25">
      <c r="A17" s="460" t="s">
        <v>182</v>
      </c>
      <c r="B17" s="461"/>
      <c r="C17" s="4" t="s">
        <v>154</v>
      </c>
      <c r="D17" s="22">
        <f>Mulanje!J17+Mulanje!K17+Mulanje!L17</f>
        <v>0</v>
      </c>
      <c r="E17" s="160">
        <f>Luchenza!J17+Luchenza!K17+Luchenza!L17</f>
        <v>0</v>
      </c>
      <c r="F17" s="160">
        <f>Thyolo!J17+Thyolo!K17+Thyolo!L17</f>
        <v>0</v>
      </c>
      <c r="G17" s="22">
        <f>Muloza!J17+Muloza!K17+Muloza!L17</f>
        <v>0</v>
      </c>
      <c r="H17" s="22">
        <f>MUST!J17+MUST!K17+MUST!L17</f>
        <v>0</v>
      </c>
      <c r="I17" s="22">
        <f>Phalombe!J17+Phalombe!K17+Phalombe!L17</f>
        <v>0</v>
      </c>
      <c r="J17" s="22">
        <f>Mikolongwe!J17+Mikolongwe!K17+Mikolongwe!L17</f>
        <v>0</v>
      </c>
      <c r="K17" s="22">
        <f>Migowi!J17+Migowi!K17+Migowi!L17</f>
        <v>0</v>
      </c>
      <c r="L17" s="50">
        <f>SUM(D17:K17)</f>
        <v>0</v>
      </c>
    </row>
    <row r="18" spans="1:12" ht="15.75" x14ac:dyDescent="0.25">
      <c r="A18" s="460" t="s">
        <v>183</v>
      </c>
      <c r="B18" s="461"/>
      <c r="C18" s="4" t="s">
        <v>154</v>
      </c>
      <c r="D18" s="22">
        <f>Mulanje!J18+Mulanje!K18+Mulanje!L18</f>
        <v>0</v>
      </c>
      <c r="E18" s="22">
        <f>Luchenza!J18+Luchenza!K18+Luchenza!L18</f>
        <v>0</v>
      </c>
      <c r="F18" s="22">
        <f>Thyolo!J18+Thyolo!K18+Thyolo!L18</f>
        <v>0</v>
      </c>
      <c r="G18" s="22">
        <f>Muloza!J18+Muloza!K18+Muloza!L18</f>
        <v>0</v>
      </c>
      <c r="H18" s="22">
        <f>MUST!J18+MUST!K18+MUST!L18</f>
        <v>0</v>
      </c>
      <c r="I18" s="22">
        <f>Phalombe!J18+Phalombe!K18+Phalombe!L18</f>
        <v>0</v>
      </c>
      <c r="J18" s="22">
        <f>Mikolongwe!J18+Mikolongwe!K18+Mikolongwe!L18</f>
        <v>0</v>
      </c>
      <c r="K18" s="22">
        <f>Migowi!J18+Migowi!K18+Migowi!L18</f>
        <v>0</v>
      </c>
      <c r="L18" s="50">
        <f>SUM(D18:K18)</f>
        <v>0</v>
      </c>
    </row>
    <row r="19" spans="1:12" ht="15.75" x14ac:dyDescent="0.25">
      <c r="A19" s="460" t="s">
        <v>184</v>
      </c>
      <c r="B19" s="461"/>
      <c r="C19" s="4" t="s">
        <v>154</v>
      </c>
      <c r="D19" s="22">
        <f>Mulanje!J19+Mulanje!K19+Mulanje!L19</f>
        <v>0</v>
      </c>
      <c r="E19" s="22">
        <f>Luchenza!J19+Luchenza!K19+Luchenza!L19</f>
        <v>0</v>
      </c>
      <c r="F19" s="22">
        <f>Thyolo!J19+Thyolo!K19+Thyolo!L19</f>
        <v>0</v>
      </c>
      <c r="G19" s="22">
        <f>Muloza!J19+Muloza!K19+Muloza!L19</f>
        <v>0</v>
      </c>
      <c r="H19" s="22">
        <f>MUST!J19+MUST!K19+MUST!L19</f>
        <v>0</v>
      </c>
      <c r="I19" s="22">
        <f>Phalombe!J19+Phalombe!K19+Phalombe!L19</f>
        <v>0</v>
      </c>
      <c r="J19" s="22">
        <f>Mikolongwe!J19+Mikolongwe!K19+Mikolongwe!L19</f>
        <v>0</v>
      </c>
      <c r="K19" s="22">
        <f>Migowi!J19+Migowi!K19+Migowi!L19</f>
        <v>0</v>
      </c>
      <c r="L19" s="50">
        <f>SUM(D19:K19)</f>
        <v>0</v>
      </c>
    </row>
    <row r="20" spans="1:12" ht="15.75" x14ac:dyDescent="0.25">
      <c r="A20" s="445" t="s">
        <v>185</v>
      </c>
      <c r="B20" s="446"/>
      <c r="C20" s="4" t="s">
        <v>154</v>
      </c>
      <c r="D20" s="22">
        <f>Mulanje!J20+Mulanje!K20+Mulanje!L20</f>
        <v>0</v>
      </c>
      <c r="E20" s="3">
        <f>Luchenza!J20+Luchenza!K20+Luchenza!L20</f>
        <v>0</v>
      </c>
      <c r="F20" s="22">
        <f>Thyolo!J20+Thyolo!K20+Thyolo!L20</f>
        <v>0</v>
      </c>
      <c r="G20" s="22">
        <f>Muloza!J20+Muloza!K20+Muloza!L20</f>
        <v>0</v>
      </c>
      <c r="H20" s="22">
        <f>MUST!J20+MUST!K20+MUST!L20</f>
        <v>0</v>
      </c>
      <c r="I20" s="22">
        <f>Phalombe!J20+Phalombe!K20+Phalombe!L20</f>
        <v>0</v>
      </c>
      <c r="J20" s="22">
        <f>Mikolongwe!J20+Mikolongwe!K20+Mikolongwe!L20</f>
        <v>0</v>
      </c>
      <c r="K20" s="22">
        <f>Migowi!J20+Migowi!K20+Migowi!L20</f>
        <v>0</v>
      </c>
      <c r="L20" s="50">
        <f>SUM(D20:K20)</f>
        <v>0</v>
      </c>
    </row>
    <row r="21" spans="1:12" s="58" customFormat="1" ht="15.75" x14ac:dyDescent="0.25">
      <c r="A21" s="478" t="s">
        <v>186</v>
      </c>
      <c r="B21" s="479"/>
      <c r="C21" s="57" t="s">
        <v>154</v>
      </c>
      <c r="D21" s="30">
        <f>SUM(D17:D20)</f>
        <v>0</v>
      </c>
      <c r="E21" s="30">
        <f>SUM(E17:E20)</f>
        <v>0</v>
      </c>
      <c r="F21" s="30">
        <f t="shared" ref="F21:L21" si="1">SUM(F17:F20)</f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50">
        <f t="shared" si="1"/>
        <v>0</v>
      </c>
    </row>
    <row r="22" spans="1:12" ht="15.75" x14ac:dyDescent="0.25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L22" si="2">E21+E15</f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50">
        <f t="shared" si="2"/>
        <v>0</v>
      </c>
    </row>
    <row r="23" spans="1:12" x14ac:dyDescent="0.25">
      <c r="A23" s="442" t="s">
        <v>217</v>
      </c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4"/>
    </row>
    <row r="24" spans="1:12" ht="15.75" x14ac:dyDescent="0.25">
      <c r="A24" s="517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L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89">
        <f t="shared" si="3"/>
        <v>0</v>
      </c>
    </row>
    <row r="25" spans="1:12" ht="15.75" x14ac:dyDescent="0.25">
      <c r="A25" s="518"/>
      <c r="B25" s="48" t="s">
        <v>153</v>
      </c>
      <c r="C25" s="47" t="s">
        <v>6</v>
      </c>
      <c r="D25" s="46" t="e">
        <f t="shared" ref="D25:L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90" t="e">
        <f t="shared" si="4"/>
        <v>#DIV/0!</v>
      </c>
    </row>
    <row r="26" spans="1:12" x14ac:dyDescent="0.25">
      <c r="A26" s="442" t="s">
        <v>152</v>
      </c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44"/>
    </row>
    <row r="27" spans="1:12" x14ac:dyDescent="0.25">
      <c r="A27" s="512" t="s">
        <v>151</v>
      </c>
      <c r="B27" s="513"/>
      <c r="C27" s="513"/>
      <c r="D27" s="513"/>
      <c r="E27" s="513"/>
      <c r="F27" s="513"/>
      <c r="G27" s="513"/>
      <c r="H27" s="513"/>
      <c r="I27" s="513"/>
      <c r="J27" s="513"/>
      <c r="K27" s="513"/>
      <c r="L27" s="514"/>
    </row>
    <row r="28" spans="1:12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75" x14ac:dyDescent="0.25">
      <c r="A29" s="515" t="s">
        <v>148</v>
      </c>
      <c r="B29" s="441">
        <v>5111.67</v>
      </c>
      <c r="C29" s="4" t="s">
        <v>142</v>
      </c>
      <c r="D29" s="22">
        <f>Mulanje!J29+Mulanje!K29+Mulanje!L29</f>
        <v>0</v>
      </c>
      <c r="E29" s="3">
        <f>Luchenza!J29+Luchenza!K29+Luchenza!L29</f>
        <v>0</v>
      </c>
      <c r="F29" s="3">
        <f>Thyolo!J29+Thyolo!K29+Thyolo!L29</f>
        <v>0</v>
      </c>
      <c r="G29" s="22">
        <f>Muloza!J29+Muloza!K29+Muloza!L29</f>
        <v>0</v>
      </c>
      <c r="H29" s="22">
        <f>MUST!J29+MUST!K29+MUST!L29</f>
        <v>0</v>
      </c>
      <c r="I29" s="22">
        <f>Phalombe!J29+Phalombe!K29+Phalombe!L29</f>
        <v>0</v>
      </c>
      <c r="J29" s="22">
        <f>Mikolongwe!J29+Mikolongwe!K29+Mikolongwe!L29</f>
        <v>0</v>
      </c>
      <c r="K29" s="22">
        <f>Migowi!J29+Migowi!K29+Migowi!L29</f>
        <v>0</v>
      </c>
      <c r="L29" s="40">
        <f>SUM(D29:K29)</f>
        <v>0</v>
      </c>
    </row>
    <row r="30" spans="1:12" ht="15.75" x14ac:dyDescent="0.25">
      <c r="A30" s="516"/>
      <c r="B30" s="441"/>
      <c r="C30" s="37" t="s">
        <v>141</v>
      </c>
      <c r="D30" s="13" t="e">
        <f t="shared" ref="D30:L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92" t="e">
        <f t="shared" si="5"/>
        <v>#DIV/0!</v>
      </c>
    </row>
    <row r="31" spans="1:12" ht="15.75" x14ac:dyDescent="0.25">
      <c r="A31" s="475" t="s">
        <v>147</v>
      </c>
      <c r="B31" s="441">
        <v>1537</v>
      </c>
      <c r="C31" s="4" t="s">
        <v>142</v>
      </c>
      <c r="D31" s="22">
        <f>Mulanje!J31+Mulanje!K31+Mulanje!L31</f>
        <v>0</v>
      </c>
      <c r="E31" s="3">
        <f>Luchenza!J31+Luchenza!K31+Luchenza!L31</f>
        <v>0</v>
      </c>
      <c r="F31" s="3">
        <f>Thyolo!J31+Thyolo!K31+Thyolo!L31</f>
        <v>0</v>
      </c>
      <c r="G31" s="22">
        <f>Muloza!J31+Muloza!K31+Muloza!L31</f>
        <v>0</v>
      </c>
      <c r="H31" s="22">
        <f>MUST!J31+MUST!K31+MUST!L31</f>
        <v>0</v>
      </c>
      <c r="I31" s="22">
        <f>Phalombe!J31+Phalombe!K31+Phalombe!L31</f>
        <v>0</v>
      </c>
      <c r="J31" s="22">
        <f>Mikolongwe!J31+Mikolongwe!K31+Mikolongwe!L31</f>
        <v>0</v>
      </c>
      <c r="K31" s="22">
        <f>Migowi!J31+Migowi!K31+Migowi!L31</f>
        <v>0</v>
      </c>
      <c r="L31" s="40">
        <f>SUM(D31:K31)</f>
        <v>0</v>
      </c>
    </row>
    <row r="32" spans="1:12" ht="15.75" x14ac:dyDescent="0.25">
      <c r="A32" s="477"/>
      <c r="B32" s="441"/>
      <c r="C32" s="37" t="s">
        <v>141</v>
      </c>
      <c r="D32" s="13" t="e">
        <f t="shared" ref="D32:L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92" t="e">
        <f t="shared" si="6"/>
        <v>#DIV/0!</v>
      </c>
    </row>
    <row r="33" spans="1:12" ht="15.75" x14ac:dyDescent="0.25">
      <c r="A33" s="475" t="s">
        <v>146</v>
      </c>
      <c r="B33" s="441">
        <v>1781.02</v>
      </c>
      <c r="C33" s="4" t="s">
        <v>142</v>
      </c>
      <c r="D33" s="22">
        <f>Mulanje!J33+Mulanje!K33+Mulanje!L33</f>
        <v>0</v>
      </c>
      <c r="E33" s="3">
        <f>Luchenza!J33+Luchenza!K33+Luchenza!L33</f>
        <v>0</v>
      </c>
      <c r="F33" s="3">
        <f>Thyolo!J33+Thyolo!K33+Thyolo!L33</f>
        <v>0</v>
      </c>
      <c r="G33" s="22">
        <f>Muloza!J33+Muloza!K33+Muloza!L33</f>
        <v>0</v>
      </c>
      <c r="H33" s="22">
        <f>MUST!J33+MUST!K33+MUST!L33</f>
        <v>0</v>
      </c>
      <c r="I33" s="22">
        <f>Phalombe!J33+Phalombe!K33+Phalombe!L33</f>
        <v>0</v>
      </c>
      <c r="J33" s="22">
        <f>Mikolongwe!J33+Mikolongwe!K33+Mikolongwe!L33</f>
        <v>0</v>
      </c>
      <c r="K33" s="22">
        <f>Migowi!J33+Migowi!K33+Migowi!L33</f>
        <v>0</v>
      </c>
      <c r="L33" s="40">
        <f>SUM(D33:K33)</f>
        <v>0</v>
      </c>
    </row>
    <row r="34" spans="1:12" ht="15.75" x14ac:dyDescent="0.25">
      <c r="A34" s="477"/>
      <c r="B34" s="441"/>
      <c r="C34" s="37" t="s">
        <v>141</v>
      </c>
      <c r="D34" s="13" t="e">
        <f t="shared" ref="D34:L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92" t="e">
        <f t="shared" si="7"/>
        <v>#DIV/0!</v>
      </c>
    </row>
    <row r="35" spans="1:12" ht="15.75" x14ac:dyDescent="0.25">
      <c r="A35" s="475" t="s">
        <v>145</v>
      </c>
      <c r="B35" s="441">
        <v>5979.95</v>
      </c>
      <c r="C35" s="4" t="s">
        <v>128</v>
      </c>
      <c r="D35" s="22">
        <f>Mulanje!J35+Mulanje!K35+Mulanje!L35</f>
        <v>0</v>
      </c>
      <c r="E35" s="3">
        <f>Luchenza!J35+Luchenza!K35+Luchenza!L35</f>
        <v>0</v>
      </c>
      <c r="F35" s="3">
        <f>Thyolo!J35+Thyolo!K35+Thyolo!L35</f>
        <v>0</v>
      </c>
      <c r="G35" s="22">
        <f>Muloza!J35+Muloza!K35+Muloza!L35</f>
        <v>0</v>
      </c>
      <c r="H35" s="22">
        <f>MUST!J35+MUST!K35+MUST!L35</f>
        <v>0</v>
      </c>
      <c r="I35" s="22">
        <f>Phalombe!J35+Phalombe!K35+Phalombe!L35</f>
        <v>0</v>
      </c>
      <c r="J35" s="22">
        <f>Mikolongwe!J35+Mikolongwe!K35+Mikolongwe!L35</f>
        <v>0</v>
      </c>
      <c r="K35" s="22">
        <f>Migowi!J35+Migowi!K35+Migowi!L35</f>
        <v>0</v>
      </c>
      <c r="L35" s="92"/>
    </row>
    <row r="36" spans="1:12" ht="15.75" x14ac:dyDescent="0.25">
      <c r="A36" s="477"/>
      <c r="B36" s="441"/>
      <c r="C36" s="4" t="s">
        <v>144</v>
      </c>
      <c r="D36" s="22"/>
      <c r="E36" s="13"/>
      <c r="F36" s="13"/>
      <c r="G36" s="11"/>
      <c r="H36" s="11"/>
      <c r="I36" s="11"/>
      <c r="J36" s="11"/>
      <c r="K36" s="11"/>
      <c r="L36" s="92"/>
    </row>
    <row r="37" spans="1:12" ht="15.75" x14ac:dyDescent="0.25">
      <c r="A37" s="475" t="s">
        <v>188</v>
      </c>
      <c r="B37" s="441">
        <v>5403.75</v>
      </c>
      <c r="C37" s="4" t="s">
        <v>128</v>
      </c>
      <c r="D37" s="22">
        <f>Mulanje!J37+Mulanje!K37+Mulanje!L37</f>
        <v>0</v>
      </c>
      <c r="E37" s="3">
        <f>Luchenza!J37+Luchenza!K37+Luchenza!L37</f>
        <v>0</v>
      </c>
      <c r="F37" s="3">
        <f>Thyolo!J37+Thyolo!K37+Thyolo!L37</f>
        <v>0</v>
      </c>
      <c r="G37" s="22">
        <f>Muloza!J37+Muloza!K37+Muloza!L37</f>
        <v>0</v>
      </c>
      <c r="H37" s="22">
        <f>MUST!J37+MUST!K37+MUST!L37</f>
        <v>0</v>
      </c>
      <c r="I37" s="22">
        <f>Phalombe!J37+Phalombe!K37+Phalombe!L37</f>
        <v>0</v>
      </c>
      <c r="J37" s="22">
        <f>Mikolongwe!J37+Mikolongwe!K37+Mikolongwe!L37</f>
        <v>0</v>
      </c>
      <c r="K37" s="22">
        <f>Migowi!J37+Migowi!K37+Migowi!L37</f>
        <v>0</v>
      </c>
      <c r="L37" s="40">
        <f>SUM(D37:K37)</f>
        <v>0</v>
      </c>
    </row>
    <row r="38" spans="1:12" ht="15.75" x14ac:dyDescent="0.25">
      <c r="A38" s="477"/>
      <c r="B38" s="441"/>
      <c r="C38" s="4" t="s">
        <v>144</v>
      </c>
      <c r="D38" s="13" t="e">
        <f t="shared" ref="D38:L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92" t="e">
        <f t="shared" si="8"/>
        <v>#DIV/0!</v>
      </c>
    </row>
    <row r="39" spans="1:12" ht="15.75" x14ac:dyDescent="0.25">
      <c r="A39" s="475" t="s">
        <v>143</v>
      </c>
      <c r="B39" s="441">
        <v>1950</v>
      </c>
      <c r="C39" s="4" t="s">
        <v>142</v>
      </c>
      <c r="D39" s="22">
        <f>Mulanje!J39+Mulanje!K39+Mulanje!L39</f>
        <v>0</v>
      </c>
      <c r="E39" s="3">
        <f>Luchenza!J39+Luchenza!K39+Luchenza!L39</f>
        <v>0</v>
      </c>
      <c r="F39" s="3">
        <f>Thyolo!J39+Thyolo!K39+Thyolo!L39</f>
        <v>0</v>
      </c>
      <c r="G39" s="22">
        <f>Muloza!J39+Muloza!K39+Muloza!L39</f>
        <v>0</v>
      </c>
      <c r="H39" s="22">
        <f>MUST!J39+MUST!K39+MUST!L39</f>
        <v>0</v>
      </c>
      <c r="I39" s="22">
        <f>Phalombe!J39+Phalombe!K39+Phalombe!L39</f>
        <v>0</v>
      </c>
      <c r="J39" s="22">
        <f>Mikolongwe!J39+Mikolongwe!K39+Mikolongwe!L39</f>
        <v>0</v>
      </c>
      <c r="K39" s="22">
        <f>Migowi!J39+Migowi!K39+Migowi!L39</f>
        <v>0</v>
      </c>
      <c r="L39" s="40">
        <f>SUM(D39:K39)</f>
        <v>0</v>
      </c>
    </row>
    <row r="40" spans="1:12" ht="15.75" x14ac:dyDescent="0.25">
      <c r="A40" s="477"/>
      <c r="B40" s="441"/>
      <c r="C40" s="37" t="s">
        <v>141</v>
      </c>
      <c r="D40" s="13" t="e">
        <f t="shared" ref="D40:L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92" t="e">
        <f t="shared" si="9"/>
        <v>#DIV/0!</v>
      </c>
    </row>
    <row r="41" spans="1:12" ht="15.75" x14ac:dyDescent="0.25">
      <c r="A41" s="445" t="s">
        <v>140</v>
      </c>
      <c r="B41" s="446"/>
      <c r="C41" s="4" t="s">
        <v>31</v>
      </c>
      <c r="D41" s="36">
        <f>(D29*$B29)+(D31*$B31)+(D33*$B33)+(D35*$B35)+(D37*$B37)+(D39*$B39)</f>
        <v>0</v>
      </c>
      <c r="E41" s="36">
        <f t="shared" ref="E41:K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4">
        <f>SUM(D41:K41)</f>
        <v>0</v>
      </c>
    </row>
    <row r="42" spans="1:12" ht="15.75" x14ac:dyDescent="0.25">
      <c r="A42" s="510" t="s">
        <v>139</v>
      </c>
      <c r="B42" s="511"/>
      <c r="C42" s="37" t="s">
        <v>117</v>
      </c>
      <c r="D42" s="13" t="e">
        <f t="shared" ref="D42:L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39" t="e">
        <f t="shared" si="11"/>
        <v>#DIV/0!</v>
      </c>
    </row>
    <row r="43" spans="1:12" ht="15.75" thickBot="1" x14ac:dyDescent="0.3">
      <c r="A43" s="507" t="s">
        <v>138</v>
      </c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9"/>
    </row>
    <row r="44" spans="1:12" ht="15.75" x14ac:dyDescent="0.25">
      <c r="A44" s="445" t="s">
        <v>137</v>
      </c>
      <c r="B44" s="446"/>
      <c r="C44" s="4" t="s">
        <v>136</v>
      </c>
      <c r="D44" s="22">
        <f>Mulanje!J44+Mulanje!K44+Mulanje!L44</f>
        <v>0</v>
      </c>
      <c r="E44" s="160">
        <f>Luchenza!J44+Luchenza!K44+Luchenza!L44</f>
        <v>0</v>
      </c>
      <c r="F44" s="3">
        <f>Thyolo!J44+Thyolo!K44+Thyolo!L44</f>
        <v>0</v>
      </c>
      <c r="G44" s="22">
        <f>Muloza!J44+Muloza!K44+Muloza!L44</f>
        <v>0</v>
      </c>
      <c r="H44" s="22">
        <f>MUST!J44+MUST!K44+MUST!L44</f>
        <v>0</v>
      </c>
      <c r="I44" s="22">
        <f>Phalombe!J44+Phalombe!K44+Phalombe!L44</f>
        <v>0</v>
      </c>
      <c r="J44" s="22">
        <f>Mikolongwe!J44+Mikolongwe!K44+Mikolongwe!L44</f>
        <v>0</v>
      </c>
      <c r="K44" s="22">
        <f>Migowi!J44+Migowi!K44+Migowi!L44</f>
        <v>0</v>
      </c>
      <c r="L44" s="34">
        <f>SUM(D44:K44)</f>
        <v>0</v>
      </c>
    </row>
    <row r="45" spans="1:12" ht="15.75" x14ac:dyDescent="0.25">
      <c r="A45" s="510" t="s">
        <v>135</v>
      </c>
      <c r="B45" s="511"/>
      <c r="C45" s="37" t="s">
        <v>134</v>
      </c>
      <c r="D45" s="13" t="e">
        <f t="shared" ref="D45:L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92" t="e">
        <f t="shared" si="12"/>
        <v>#DIV/0!</v>
      </c>
    </row>
    <row r="46" spans="1:12" ht="15.75" x14ac:dyDescent="0.25">
      <c r="A46" s="445" t="s">
        <v>133</v>
      </c>
      <c r="B46" s="446"/>
      <c r="C46" s="4" t="s">
        <v>31</v>
      </c>
      <c r="D46" s="22">
        <f>Mulanje!J46+Mulanje!K46+Mulanje!L46</f>
        <v>0</v>
      </c>
      <c r="E46" s="3">
        <f>Luchenza!J46+Luchenza!K46+Luchenza!L46</f>
        <v>0</v>
      </c>
      <c r="F46" s="3">
        <f>Thyolo!J46+Thyolo!K46+Thyolo!L46</f>
        <v>49279.5</v>
      </c>
      <c r="G46" s="22">
        <f>Muloza!J46+Muloza!K46+Muloza!L46</f>
        <v>0</v>
      </c>
      <c r="H46" s="22">
        <f>MUST!J46+MUST!K46+MUST!L46</f>
        <v>0</v>
      </c>
      <c r="I46" s="22">
        <f>Phalombe!J46+Phalombe!K46+Phalombe!L46</f>
        <v>0</v>
      </c>
      <c r="J46" s="22">
        <f>Mikolongwe!J46+Mikolongwe!K46+Mikolongwe!L46</f>
        <v>0</v>
      </c>
      <c r="K46" s="22">
        <f>Migowi!J46+Migowi!K46+Migowi!L46</f>
        <v>0</v>
      </c>
      <c r="L46" s="34">
        <f>SUM(D46:K46)</f>
        <v>49279.5</v>
      </c>
    </row>
    <row r="47" spans="1:12" ht="15.75" x14ac:dyDescent="0.25">
      <c r="A47" s="445" t="s">
        <v>132</v>
      </c>
      <c r="B47" s="446"/>
      <c r="C47" s="4" t="s">
        <v>117</v>
      </c>
      <c r="D47" s="13" t="e">
        <f t="shared" ref="D47:L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92" t="e">
        <f t="shared" si="13"/>
        <v>#DIV/0!</v>
      </c>
    </row>
    <row r="48" spans="1:12" ht="15.75" thickBot="1" x14ac:dyDescent="0.3">
      <c r="A48" s="507" t="s">
        <v>131</v>
      </c>
      <c r="B48" s="508"/>
      <c r="C48" s="508"/>
      <c r="D48" s="508"/>
      <c r="E48" s="508"/>
      <c r="F48" s="508"/>
      <c r="G48" s="508"/>
      <c r="H48" s="508"/>
      <c r="I48" s="508"/>
      <c r="J48" s="508"/>
      <c r="K48" s="508"/>
      <c r="L48" s="509"/>
    </row>
    <row r="49" spans="1:12" ht="15.75" x14ac:dyDescent="0.25">
      <c r="A49" s="445" t="s">
        <v>130</v>
      </c>
      <c r="B49" s="446"/>
      <c r="C49" s="4" t="s">
        <v>129</v>
      </c>
      <c r="D49" s="22">
        <f>Mulanje!J49+Mulanje!K49+Mulanje!L49</f>
        <v>0</v>
      </c>
      <c r="E49" s="160">
        <f>Luchenza!J49+Luchenza!K49+Luchenza!L49</f>
        <v>0</v>
      </c>
      <c r="F49" s="160">
        <f>Thyolo!J49+Thyolo!K49+Thyolo!L49</f>
        <v>0</v>
      </c>
      <c r="G49" s="22">
        <f>Muloza!J49+Muloza!K49+Muloza!L49</f>
        <v>0</v>
      </c>
      <c r="H49" s="22">
        <f>MUST!J49+MUST!K49+MUST!L49</f>
        <v>0</v>
      </c>
      <c r="I49" s="22">
        <f>Phalombe!J49+Phalombe!K49+Phalombe!L49</f>
        <v>0</v>
      </c>
      <c r="J49" s="22">
        <f>Mikolongwe!J49+Mikolongwe!K49+Mikolongwe!L49</f>
        <v>0</v>
      </c>
      <c r="K49" s="22">
        <f>Migowi!J49+Migowi!K49+Migowi!L49</f>
        <v>0</v>
      </c>
      <c r="L49" s="34">
        <f>SUM(D49:K49)</f>
        <v>0</v>
      </c>
    </row>
    <row r="50" spans="1:12" ht="15.75" x14ac:dyDescent="0.25">
      <c r="A50" s="445" t="s">
        <v>189</v>
      </c>
      <c r="B50" s="446"/>
      <c r="C50" s="4" t="s">
        <v>128</v>
      </c>
      <c r="D50" s="22">
        <f>Mulanje!J50+Mulanje!K50+Mulanje!L50</f>
        <v>0</v>
      </c>
      <c r="E50" s="22">
        <f>Luchenza!J50+Luchenza!K50+Luchenza!L50</f>
        <v>0</v>
      </c>
      <c r="F50" s="22">
        <f>Thyolo!J50+Thyolo!K50+Thyolo!L50</f>
        <v>0</v>
      </c>
      <c r="G50" s="22">
        <f>Muloza!J50+Muloza!K50+Muloza!L50</f>
        <v>0</v>
      </c>
      <c r="H50" s="22">
        <f>MUST!J50+MUST!K50+MUST!L50</f>
        <v>0</v>
      </c>
      <c r="I50" s="22">
        <f>Phalombe!J50+Phalombe!K50+Phalombe!L50</f>
        <v>0</v>
      </c>
      <c r="J50" s="22">
        <f>Mikolongwe!J50+Mikolongwe!K50+Mikolongwe!L50</f>
        <v>0</v>
      </c>
      <c r="K50" s="22">
        <f>Migowi!J50+Migowi!K50+Migowi!L50</f>
        <v>0</v>
      </c>
      <c r="L50" s="34">
        <f>SUM(D50:K50)</f>
        <v>0</v>
      </c>
    </row>
    <row r="51" spans="1:12" ht="15.75" x14ac:dyDescent="0.25">
      <c r="A51" s="445" t="s">
        <v>127</v>
      </c>
      <c r="B51" s="446"/>
      <c r="C51" s="4" t="s">
        <v>31</v>
      </c>
      <c r="D51" s="22">
        <f>Mulanje!J51+Mulanje!K51+Mulanje!L51</f>
        <v>0</v>
      </c>
      <c r="E51" s="22">
        <f>Luchenza!J51+Luchenza!K51+Luchenza!L51</f>
        <v>0</v>
      </c>
      <c r="F51" s="22">
        <f>Thyolo!J51+Thyolo!K51+Thyolo!L51</f>
        <v>0</v>
      </c>
      <c r="G51" s="22">
        <f>Muloza!J51+Muloza!K51+Muloza!L51</f>
        <v>0</v>
      </c>
      <c r="H51" s="22">
        <f>MUST!J51+MUST!K51+MUST!L51</f>
        <v>0</v>
      </c>
      <c r="I51" s="22">
        <f>Phalombe!J51+Phalombe!K51+Phalombe!L51</f>
        <v>0</v>
      </c>
      <c r="J51" s="22">
        <f>Mikolongwe!J51+Mikolongwe!K51+Mikolongwe!L51</f>
        <v>0</v>
      </c>
      <c r="K51" s="22">
        <f>Migowi!J51+Migowi!K51+Migowi!L51</f>
        <v>0</v>
      </c>
      <c r="L51" s="35">
        <f>SUM(D51:K51)</f>
        <v>0</v>
      </c>
    </row>
    <row r="52" spans="1:12" ht="15.75" x14ac:dyDescent="0.25">
      <c r="A52" s="445" t="s">
        <v>126</v>
      </c>
      <c r="B52" s="446"/>
      <c r="C52" s="4" t="s">
        <v>31</v>
      </c>
      <c r="D52" s="22">
        <f>Mulanje!J52+Mulanje!K52+Mulanje!L52</f>
        <v>0</v>
      </c>
      <c r="E52" s="3">
        <f>Luchenza!J52+Luchenza!K52+Luchenza!L52</f>
        <v>0</v>
      </c>
      <c r="F52" s="22">
        <f>Thyolo!J52+Thyolo!K52+Thyolo!L52</f>
        <v>0</v>
      </c>
      <c r="G52" s="22">
        <f>Muloza!J52+Muloza!K52+Muloza!L52</f>
        <v>0</v>
      </c>
      <c r="H52" s="22">
        <f>MUST!J52+MUST!K52+MUST!L52</f>
        <v>0</v>
      </c>
      <c r="I52" s="22">
        <f>Phalombe!J52+Phalombe!K52+Phalombe!L52</f>
        <v>0</v>
      </c>
      <c r="J52" s="22">
        <f>Mikolongwe!J52+Mikolongwe!K52+Mikolongwe!L52</f>
        <v>0</v>
      </c>
      <c r="K52" s="22">
        <f>Migowi!J52+Migowi!K52+Migowi!L52</f>
        <v>0</v>
      </c>
      <c r="L52" s="35">
        <f>SUM(D52:K52)</f>
        <v>0</v>
      </c>
    </row>
    <row r="53" spans="1:12" ht="15.75" thickBot="1" x14ac:dyDescent="0.3">
      <c r="A53" s="507" t="s">
        <v>125</v>
      </c>
      <c r="B53" s="508"/>
      <c r="C53" s="508"/>
      <c r="D53" s="508"/>
      <c r="E53" s="508"/>
      <c r="F53" s="508"/>
      <c r="G53" s="508"/>
      <c r="H53" s="508"/>
      <c r="I53" s="508"/>
      <c r="J53" s="508"/>
      <c r="K53" s="508"/>
      <c r="L53" s="509"/>
    </row>
    <row r="54" spans="1:12" ht="15.75" x14ac:dyDescent="0.25">
      <c r="A54" s="445" t="s">
        <v>124</v>
      </c>
      <c r="B54" s="446"/>
      <c r="C54" s="4" t="s">
        <v>18</v>
      </c>
      <c r="D54" s="22">
        <f>Mulanje!J54+Mulanje!K54+Mulanje!L54</f>
        <v>0</v>
      </c>
      <c r="E54" s="164">
        <f>Luchenza!J54+Luchenza!K54+Luchenza!L54</f>
        <v>0</v>
      </c>
      <c r="F54" s="164">
        <f>Thyolo!J54+Thyolo!K54+Thyolo!L54</f>
        <v>0</v>
      </c>
      <c r="G54" s="22">
        <f>Muloza!J54+Muloza!K54+Muloza!L54</f>
        <v>0</v>
      </c>
      <c r="H54" s="22">
        <f>MUST!J54+MUST!K54+MUST!L54</f>
        <v>0</v>
      </c>
      <c r="I54" s="22">
        <f>Phalombe!J54+Phalombe!K54+Phalombe!L54</f>
        <v>0</v>
      </c>
      <c r="J54" s="22">
        <f>Mikolongwe!J54+Mikolongwe!K54+Mikolongwe!L54</f>
        <v>0</v>
      </c>
      <c r="K54" s="22">
        <f>Migowi!J54+Migowi!K54+Migowi!L54</f>
        <v>0</v>
      </c>
      <c r="L54" s="34">
        <f>SUM(D54:K54)</f>
        <v>0</v>
      </c>
    </row>
    <row r="55" spans="1:12" ht="15.75" x14ac:dyDescent="0.25">
      <c r="A55" s="68" t="s">
        <v>123</v>
      </c>
      <c r="B55" s="69"/>
      <c r="C55" s="4" t="s">
        <v>18</v>
      </c>
      <c r="D55" s="22">
        <f>Mulanje!J55+Mulanje!K55+Mulanje!L55</f>
        <v>0</v>
      </c>
      <c r="E55" s="22">
        <f>Luchenza!J55+Luchenza!K55+Luchenza!L55</f>
        <v>0</v>
      </c>
      <c r="F55" s="22">
        <f>Thyolo!J55+Thyolo!K55+Thyolo!L55</f>
        <v>0</v>
      </c>
      <c r="G55" s="22">
        <f>Muloza!J55+Muloza!K55+Muloza!L55</f>
        <v>0</v>
      </c>
      <c r="H55" s="22">
        <f>MUST!J55+MUST!K55+MUST!L55</f>
        <v>0</v>
      </c>
      <c r="I55" s="22">
        <f>Phalombe!J55+Phalombe!K55+Phalombe!L55</f>
        <v>0</v>
      </c>
      <c r="J55" s="22">
        <f>Mikolongwe!J55+Mikolongwe!K55+Mikolongwe!L55</f>
        <v>0</v>
      </c>
      <c r="K55" s="22">
        <f>Migowi!J55+Migowi!K55+Migowi!L55</f>
        <v>0</v>
      </c>
      <c r="L55" s="34">
        <f>SUM(D55:K55)</f>
        <v>0</v>
      </c>
    </row>
    <row r="56" spans="1:12" ht="15.75" x14ac:dyDescent="0.25">
      <c r="A56" s="445" t="s">
        <v>122</v>
      </c>
      <c r="B56" s="446"/>
      <c r="C56" s="4" t="s">
        <v>18</v>
      </c>
      <c r="D56" s="22">
        <f>Mulanje!J56+Mulanje!K56+Mulanje!L56</f>
        <v>0</v>
      </c>
      <c r="E56" s="3">
        <f>Luchenza!J56+Luchenza!K56+Luchenza!L56</f>
        <v>0</v>
      </c>
      <c r="F56" s="3">
        <f>Thyolo!J56+Thyolo!K56+Thyolo!L56</f>
        <v>0</v>
      </c>
      <c r="G56" s="22">
        <f>Muloza!J56+Muloza!K56+Muloza!L56</f>
        <v>0</v>
      </c>
      <c r="H56" s="22">
        <f>MUST!J56+MUST!K56+MUST!L56</f>
        <v>0</v>
      </c>
      <c r="I56" s="22">
        <f>Phalombe!J56+Phalombe!K56+Phalombe!L56</f>
        <v>0</v>
      </c>
      <c r="J56" s="22">
        <f>Mikolongwe!J56+Mikolongwe!K56+Mikolongwe!L56</f>
        <v>0</v>
      </c>
      <c r="K56" s="22">
        <f>Migowi!J56+Migowi!K56+Migowi!L56</f>
        <v>0</v>
      </c>
      <c r="L56" s="34">
        <f>SUM(D56:K56)</f>
        <v>0</v>
      </c>
    </row>
    <row r="57" spans="1:12" x14ac:dyDescent="0.25">
      <c r="A57" s="507" t="s">
        <v>121</v>
      </c>
      <c r="B57" s="508"/>
      <c r="C57" s="508"/>
      <c r="D57" s="508"/>
      <c r="E57" s="508"/>
      <c r="F57" s="508"/>
      <c r="G57" s="508"/>
      <c r="H57" s="508"/>
      <c r="I57" s="508"/>
      <c r="J57" s="508"/>
      <c r="K57" s="508"/>
      <c r="L57" s="509"/>
    </row>
    <row r="58" spans="1:12" ht="15.75" x14ac:dyDescent="0.25">
      <c r="A58" s="445" t="s">
        <v>120</v>
      </c>
      <c r="B58" s="446"/>
      <c r="C58" s="4" t="s">
        <v>18</v>
      </c>
      <c r="D58" s="11">
        <f>D41+D46+D51+D52+D54+D55+D56</f>
        <v>0</v>
      </c>
      <c r="E58" s="11">
        <f t="shared" ref="E58:K58" si="14">E41+E46+E51+E52+E54+E55+E56</f>
        <v>0</v>
      </c>
      <c r="F58" s="11">
        <f t="shared" si="14"/>
        <v>49279.5</v>
      </c>
      <c r="G58" s="11">
        <f t="shared" si="14"/>
        <v>0</v>
      </c>
      <c r="H58" s="11">
        <f t="shared" si="14"/>
        <v>0</v>
      </c>
      <c r="I58" s="11">
        <f t="shared" si="14"/>
        <v>0</v>
      </c>
      <c r="J58" s="11">
        <f t="shared" si="14"/>
        <v>0</v>
      </c>
      <c r="K58" s="11">
        <f t="shared" si="14"/>
        <v>0</v>
      </c>
      <c r="L58" s="59">
        <f>SUM(D58:K58)</f>
        <v>49279.5</v>
      </c>
    </row>
    <row r="59" spans="1:12" ht="15.75" x14ac:dyDescent="0.25">
      <c r="A59" s="445" t="s">
        <v>119</v>
      </c>
      <c r="B59" s="446"/>
      <c r="C59" s="4" t="s">
        <v>117</v>
      </c>
      <c r="D59" s="13" t="e">
        <f t="shared" ref="D59:L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92" t="e">
        <f t="shared" si="15"/>
        <v>#DIV/0!</v>
      </c>
    </row>
    <row r="60" spans="1:12" ht="15.75" x14ac:dyDescent="0.25">
      <c r="A60" s="445" t="s">
        <v>118</v>
      </c>
      <c r="B60" s="446"/>
      <c r="C60" s="4" t="s">
        <v>117</v>
      </c>
      <c r="D60" s="13" t="e">
        <f>D58/D22</f>
        <v>#DIV/0!</v>
      </c>
      <c r="E60" s="13" t="e">
        <f t="shared" ref="E60:K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93" t="e">
        <f>L58/L22</f>
        <v>#DIV/0!</v>
      </c>
    </row>
    <row r="61" spans="1:12" ht="15.75" x14ac:dyDescent="0.25">
      <c r="A61" s="445" t="s">
        <v>116</v>
      </c>
      <c r="B61" s="446"/>
      <c r="C61" s="4" t="s">
        <v>3</v>
      </c>
      <c r="D61" s="22">
        <f>Mulanje!J61+Mulanje!K61+Mulanje!L61</f>
        <v>0</v>
      </c>
      <c r="E61" s="3">
        <f>Luchenza!J61+Luchenza!K61+Luchenza!L61</f>
        <v>0</v>
      </c>
      <c r="F61" s="3">
        <f>Thyolo!J61+Thyolo!K61+Thyolo!L61</f>
        <v>0</v>
      </c>
      <c r="G61" s="3"/>
      <c r="H61" s="3"/>
      <c r="I61" s="3"/>
      <c r="J61" s="3"/>
      <c r="K61" s="3"/>
      <c r="L61" s="3"/>
    </row>
    <row r="62" spans="1:12" ht="15.6" customHeight="1" x14ac:dyDescent="0.25">
      <c r="A62" s="445" t="s">
        <v>115</v>
      </c>
      <c r="B62" s="446"/>
      <c r="C62" s="4" t="s">
        <v>114</v>
      </c>
      <c r="D62" s="13" t="e">
        <f t="shared" ref="D62:L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92" t="e">
        <f t="shared" si="17"/>
        <v>#DIV/0!</v>
      </c>
    </row>
    <row r="63" spans="1:12" ht="15.75" x14ac:dyDescent="0.25">
      <c r="A63" s="502" t="s">
        <v>113</v>
      </c>
      <c r="B63" s="503"/>
      <c r="C63" s="33" t="s">
        <v>3</v>
      </c>
      <c r="D63" s="22">
        <f>Mulanje!J63+Mulanje!K63+Mulanje!L63</f>
        <v>0</v>
      </c>
      <c r="E63" s="3">
        <f>Luchenza!J63+Luchenza!K63+Luchenza!L63</f>
        <v>0</v>
      </c>
      <c r="F63" s="3">
        <f>Thyolo!J63+Thyolo!K63+Thyolo!L63</f>
        <v>0</v>
      </c>
      <c r="G63" s="3"/>
      <c r="H63" s="3"/>
      <c r="I63" s="3"/>
      <c r="J63" s="3"/>
      <c r="K63" s="3"/>
      <c r="L63" s="8">
        <f>SUM(D63:K63)</f>
        <v>0</v>
      </c>
    </row>
    <row r="64" spans="1:12" x14ac:dyDescent="0.25">
      <c r="A64" s="504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6"/>
    </row>
    <row r="65" spans="1:12" ht="14.45" customHeight="1" x14ac:dyDescent="0.25">
      <c r="A65" s="507" t="s">
        <v>112</v>
      </c>
      <c r="B65" s="508"/>
      <c r="C65" s="508"/>
      <c r="D65" s="508"/>
      <c r="E65" s="528"/>
      <c r="F65" s="528"/>
      <c r="G65" s="508"/>
      <c r="H65" s="508"/>
      <c r="I65" s="508"/>
      <c r="J65" s="508"/>
      <c r="K65" s="508"/>
      <c r="L65" s="509"/>
    </row>
    <row r="66" spans="1:12" ht="15.75" x14ac:dyDescent="0.25">
      <c r="A66" s="493" t="s">
        <v>111</v>
      </c>
      <c r="B66" s="21" t="s">
        <v>85</v>
      </c>
      <c r="C66" s="4" t="s">
        <v>3</v>
      </c>
      <c r="D66" s="22">
        <f>Mulanje!J66</f>
        <v>20</v>
      </c>
      <c r="E66" s="22">
        <f>Luchenza!J66</f>
        <v>43</v>
      </c>
      <c r="F66" s="22">
        <f>Thyolo!J66</f>
        <v>16</v>
      </c>
      <c r="G66" s="22">
        <f>Muloza!J66</f>
        <v>65</v>
      </c>
      <c r="H66" s="22">
        <f>MUST!J66</f>
        <v>3</v>
      </c>
      <c r="I66" s="22">
        <f>Phalombe!J66</f>
        <v>40</v>
      </c>
      <c r="J66" s="22">
        <f>Mikolongwe!J66</f>
        <v>0</v>
      </c>
      <c r="K66" s="22">
        <f>Migowi!J66</f>
        <v>0</v>
      </c>
      <c r="L66" s="31">
        <f>SUM(D66:K66)</f>
        <v>187</v>
      </c>
    </row>
    <row r="67" spans="1:12" ht="15.75" x14ac:dyDescent="0.25">
      <c r="A67" s="494"/>
      <c r="B67" s="21" t="s">
        <v>106</v>
      </c>
      <c r="C67" s="4" t="s">
        <v>3</v>
      </c>
      <c r="D67" s="22">
        <f>Mulanje!J67+Mulanje!K67+Mulanje!L67</f>
        <v>0</v>
      </c>
      <c r="E67" s="22">
        <f>Luchenza!J67+Luchenza!K67+Luchenza!L67</f>
        <v>0</v>
      </c>
      <c r="F67" s="22">
        <f>Thyolo!J67+Thyolo!K67+Thyolo!L67</f>
        <v>0</v>
      </c>
      <c r="G67" s="22">
        <f>Muloza!J67+Muloza!K67+Muloza!L67</f>
        <v>0</v>
      </c>
      <c r="H67" s="22">
        <f>MUST!J67+MUST!K67+MUST!L67</f>
        <v>0</v>
      </c>
      <c r="I67" s="22">
        <f>Phalombe!J67+Phalombe!K67+Phalombe!L67</f>
        <v>0</v>
      </c>
      <c r="J67" s="22">
        <f>Mikolongwe!J67+Mikolongwe!K67+Mikolongwe!L67</f>
        <v>0</v>
      </c>
      <c r="K67" s="22">
        <f>Migowi!J67+Migowi!K67+Migowi!L67</f>
        <v>0</v>
      </c>
      <c r="L67" s="31">
        <f>SUM(D67:K67)</f>
        <v>0</v>
      </c>
    </row>
    <row r="68" spans="1:12" ht="26.25" x14ac:dyDescent="0.25">
      <c r="A68" s="494"/>
      <c r="B68" s="21" t="s">
        <v>105</v>
      </c>
      <c r="C68" s="4" t="s">
        <v>3</v>
      </c>
      <c r="D68" s="22">
        <f>Mulanje!J68+Mulanje!K68+Mulanje!L68</f>
        <v>0</v>
      </c>
      <c r="E68" s="22">
        <f>Luchenza!J68+Luchenza!K68+Luchenza!L68</f>
        <v>0</v>
      </c>
      <c r="F68" s="22">
        <f>Thyolo!J68+Thyolo!K68+Thyolo!L68</f>
        <v>0</v>
      </c>
      <c r="G68" s="22">
        <f>Muloza!J68+Muloza!K68+Muloza!L68</f>
        <v>0</v>
      </c>
      <c r="H68" s="22">
        <f>MUST!J68+MUST!K68+MUST!L68</f>
        <v>0</v>
      </c>
      <c r="I68" s="22">
        <f>Phalombe!J68+Phalombe!K68+Phalombe!L68</f>
        <v>0</v>
      </c>
      <c r="J68" s="22">
        <f>Mikolongwe!J68+Mikolongwe!K68+Mikolongwe!L68</f>
        <v>0</v>
      </c>
      <c r="K68" s="22">
        <f>Migowi!J68+Migowi!K68+Migowi!L68</f>
        <v>0</v>
      </c>
      <c r="L68" s="31">
        <f>SUM(D68:K68)</f>
        <v>0</v>
      </c>
    </row>
    <row r="69" spans="1:12" ht="26.25" x14ac:dyDescent="0.25">
      <c r="A69" s="494"/>
      <c r="B69" s="21" t="s">
        <v>104</v>
      </c>
      <c r="C69" s="4" t="s">
        <v>3</v>
      </c>
      <c r="D69" s="22">
        <f>Mulanje!J69+Mulanje!K69+Mulanje!L69</f>
        <v>0</v>
      </c>
      <c r="E69" s="22">
        <f>Luchenza!J69+Luchenza!K69+Luchenza!L69</f>
        <v>0</v>
      </c>
      <c r="F69" s="22">
        <f>Thyolo!J69+Thyolo!K69+Thyolo!L69</f>
        <v>0</v>
      </c>
      <c r="G69" s="22">
        <f>Muloza!J69+Muloza!K69+Muloza!L69</f>
        <v>0</v>
      </c>
      <c r="H69" s="22">
        <f>MUST!J69+MUST!K69+MUST!L69</f>
        <v>0</v>
      </c>
      <c r="I69" s="22">
        <f>Phalombe!J69+Phalombe!K69+Phalombe!L69</f>
        <v>0</v>
      </c>
      <c r="J69" s="22">
        <f>Mikolongwe!J69+Mikolongwe!K69+Mikolongwe!L69</f>
        <v>0</v>
      </c>
      <c r="K69" s="22">
        <f>Migowi!J69+Migowi!K69+Migowi!L69</f>
        <v>0</v>
      </c>
      <c r="L69" s="31">
        <f>SUM(D69:K69)</f>
        <v>0</v>
      </c>
    </row>
    <row r="70" spans="1:12" ht="15.75" x14ac:dyDescent="0.25">
      <c r="A70" s="494"/>
      <c r="B70" s="21" t="s">
        <v>190</v>
      </c>
      <c r="C70" s="4" t="s">
        <v>3</v>
      </c>
      <c r="D70" s="3">
        <f>D68+D69</f>
        <v>0</v>
      </c>
      <c r="E70" s="22">
        <f t="shared" ref="E70:K70" si="18">E68+E69</f>
        <v>0</v>
      </c>
      <c r="F70" s="22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31">
        <f>SUM(D70:K70)</f>
        <v>0</v>
      </c>
    </row>
    <row r="71" spans="1:12" ht="15.75" x14ac:dyDescent="0.25">
      <c r="A71" s="495"/>
      <c r="B71" s="21" t="s">
        <v>81</v>
      </c>
      <c r="C71" s="4" t="s">
        <v>3</v>
      </c>
      <c r="D71" s="22">
        <f>D66+D67-D70</f>
        <v>20</v>
      </c>
      <c r="E71" s="22">
        <f t="shared" ref="E71:K71" si="19">E66+E67-E70</f>
        <v>43</v>
      </c>
      <c r="F71" s="22">
        <f t="shared" si="19"/>
        <v>16</v>
      </c>
      <c r="G71" s="22">
        <f t="shared" si="19"/>
        <v>65</v>
      </c>
      <c r="H71" s="22">
        <f t="shared" si="19"/>
        <v>3</v>
      </c>
      <c r="I71" s="22">
        <f t="shared" si="19"/>
        <v>40</v>
      </c>
      <c r="J71" s="22">
        <f t="shared" si="19"/>
        <v>0</v>
      </c>
      <c r="K71" s="22">
        <f t="shared" si="19"/>
        <v>0</v>
      </c>
      <c r="L71" s="50">
        <f>L66+L67-L70</f>
        <v>187</v>
      </c>
    </row>
    <row r="72" spans="1:12" ht="15.75" x14ac:dyDescent="0.25">
      <c r="A72" s="493" t="s">
        <v>110</v>
      </c>
      <c r="B72" s="21" t="s">
        <v>85</v>
      </c>
      <c r="C72" s="4" t="s">
        <v>3</v>
      </c>
      <c r="D72" s="22">
        <f>Mulanje!J72</f>
        <v>0</v>
      </c>
      <c r="E72" s="22">
        <f>Luchenza!J72</f>
        <v>0</v>
      </c>
      <c r="F72" s="22">
        <f>Thyolo!J72</f>
        <v>0</v>
      </c>
      <c r="G72" s="22">
        <f>Muloza!J72</f>
        <v>0</v>
      </c>
      <c r="H72" s="22">
        <f>MUST!J72</f>
        <v>0</v>
      </c>
      <c r="I72" s="22">
        <f>Phalombe!J72</f>
        <v>0</v>
      </c>
      <c r="J72" s="22">
        <f>Mikolongwe!J72</f>
        <v>0</v>
      </c>
      <c r="K72" s="22">
        <f>Migowi!J72</f>
        <v>0</v>
      </c>
      <c r="L72" s="31">
        <f>SUM(D72:K72)</f>
        <v>0</v>
      </c>
    </row>
    <row r="73" spans="1:12" ht="15.75" x14ac:dyDescent="0.25">
      <c r="A73" s="494"/>
      <c r="B73" s="21" t="s">
        <v>106</v>
      </c>
      <c r="C73" s="4" t="s">
        <v>3</v>
      </c>
      <c r="D73" s="22">
        <f>Mulanje!J73+Mulanje!K73+Mulanje!L73</f>
        <v>0</v>
      </c>
      <c r="E73" s="22">
        <f>Luchenza!J73+Luchenza!K73+Luchenza!L73</f>
        <v>0</v>
      </c>
      <c r="F73" s="22">
        <f>Thyolo!J73+Thyolo!K73+Thyolo!L73</f>
        <v>0</v>
      </c>
      <c r="G73" s="22">
        <f>Muloza!J73+Muloza!K73+Muloza!L73</f>
        <v>0</v>
      </c>
      <c r="H73" s="22">
        <f>MUST!J73+MUST!K73+MUST!L73</f>
        <v>0</v>
      </c>
      <c r="I73" s="22">
        <f>Phalombe!J73+Phalombe!K73+Phalombe!L73</f>
        <v>0</v>
      </c>
      <c r="J73" s="22">
        <f>Mikolongwe!J73+Mikolongwe!K73+Mikolongwe!L73</f>
        <v>0</v>
      </c>
      <c r="K73" s="22">
        <f>Migowi!J73+Migowi!K73+Migowi!L73</f>
        <v>0</v>
      </c>
      <c r="L73" s="31">
        <f>SUM(D73:K73)</f>
        <v>0</v>
      </c>
    </row>
    <row r="74" spans="1:12" ht="26.25" x14ac:dyDescent="0.25">
      <c r="A74" s="494"/>
      <c r="B74" s="21" t="s">
        <v>105</v>
      </c>
      <c r="C74" s="4" t="s">
        <v>3</v>
      </c>
      <c r="D74" s="22">
        <f>Mulanje!J74+Mulanje!K74+Mulanje!L74</f>
        <v>0</v>
      </c>
      <c r="E74" s="22">
        <f>Luchenza!J74+Luchenza!K74+Luchenza!L74</f>
        <v>0</v>
      </c>
      <c r="F74" s="22">
        <f>Thyolo!J74+Thyolo!K74+Thyolo!L74</f>
        <v>0</v>
      </c>
      <c r="G74" s="22">
        <f>Muloza!J74+Muloza!K74+Muloza!L74</f>
        <v>0</v>
      </c>
      <c r="H74" s="22">
        <f>MUST!J74+MUST!K74+MUST!L74</f>
        <v>0</v>
      </c>
      <c r="I74" s="22">
        <f>Phalombe!J74+Phalombe!K74+Phalombe!L74</f>
        <v>0</v>
      </c>
      <c r="J74" s="22">
        <f>Mikolongwe!J74+Mikolongwe!K74+Mikolongwe!L74</f>
        <v>0</v>
      </c>
      <c r="K74" s="22">
        <f>Migowi!J74+Migowi!K74+Migowi!L74</f>
        <v>0</v>
      </c>
      <c r="L74" s="31">
        <f>SUM(D74:K74)</f>
        <v>0</v>
      </c>
    </row>
    <row r="75" spans="1:12" ht="26.25" x14ac:dyDescent="0.25">
      <c r="A75" s="494"/>
      <c r="B75" s="21" t="s">
        <v>104</v>
      </c>
      <c r="C75" s="4" t="s">
        <v>3</v>
      </c>
      <c r="D75" s="22">
        <f>Mulanje!J75+Mulanje!K75+Mulanje!L75</f>
        <v>0</v>
      </c>
      <c r="E75" s="22">
        <f>Luchenza!J75+Luchenza!K75+Luchenza!L75</f>
        <v>0</v>
      </c>
      <c r="F75" s="22">
        <f>Thyolo!J75+Thyolo!K75+Thyolo!L75</f>
        <v>0</v>
      </c>
      <c r="G75" s="22">
        <f>Muloza!J75+Muloza!K75+Muloza!L75</f>
        <v>0</v>
      </c>
      <c r="H75" s="22">
        <f>MUST!J75+MUST!K75+MUST!L75</f>
        <v>0</v>
      </c>
      <c r="I75" s="22">
        <f>Phalombe!J75+Phalombe!K75+Phalombe!L75</f>
        <v>0</v>
      </c>
      <c r="J75" s="22">
        <f>Mikolongwe!J75+Mikolongwe!K75+Mikolongwe!L75</f>
        <v>0</v>
      </c>
      <c r="K75" s="22">
        <f>Migowi!J75+Migowi!K75+Migowi!L75</f>
        <v>0</v>
      </c>
      <c r="L75" s="31">
        <f>SUM(D75:K75)</f>
        <v>0</v>
      </c>
    </row>
    <row r="76" spans="1:12" ht="15.75" x14ac:dyDescent="0.25">
      <c r="A76" s="494"/>
      <c r="B76" s="21" t="s">
        <v>190</v>
      </c>
      <c r="C76" s="4" t="s">
        <v>3</v>
      </c>
      <c r="D76" s="3">
        <f>D74+D75</f>
        <v>0</v>
      </c>
      <c r="E76" s="22">
        <f t="shared" ref="E76:K76" si="20">E74+E75</f>
        <v>0</v>
      </c>
      <c r="F76" s="22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1">
        <f>SUM(D76:K76)</f>
        <v>0</v>
      </c>
    </row>
    <row r="77" spans="1:12" ht="15.75" x14ac:dyDescent="0.25">
      <c r="A77" s="495"/>
      <c r="B77" s="21" t="s">
        <v>81</v>
      </c>
      <c r="C77" s="4" t="s">
        <v>3</v>
      </c>
      <c r="D77" s="22">
        <f>D73+D74-D76</f>
        <v>0</v>
      </c>
      <c r="E77" s="22">
        <f t="shared" ref="E77:K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>L72+L73-L76</f>
        <v>0</v>
      </c>
    </row>
    <row r="78" spans="1:12" ht="15.6" customHeight="1" x14ac:dyDescent="0.25">
      <c r="A78" s="493" t="s">
        <v>109</v>
      </c>
      <c r="B78" s="21" t="s">
        <v>85</v>
      </c>
      <c r="C78" s="4" t="s">
        <v>3</v>
      </c>
      <c r="D78" s="22">
        <f>Mulanje!J78</f>
        <v>0</v>
      </c>
      <c r="E78" s="22">
        <f>Luchenza!J78</f>
        <v>0</v>
      </c>
      <c r="F78" s="22">
        <f>Thyolo!J78</f>
        <v>0</v>
      </c>
      <c r="G78" s="22">
        <f>Muloza!J78</f>
        <v>0</v>
      </c>
      <c r="H78" s="22">
        <f>MUST!J78</f>
        <v>0</v>
      </c>
      <c r="I78" s="22">
        <f>Phalombe!J78</f>
        <v>0</v>
      </c>
      <c r="J78" s="22">
        <f>Mikolongwe!J78</f>
        <v>0</v>
      </c>
      <c r="K78" s="22">
        <f>Migowi!J78</f>
        <v>0</v>
      </c>
      <c r="L78" s="31">
        <f>SUM(D78:K78)</f>
        <v>0</v>
      </c>
    </row>
    <row r="79" spans="1:12" ht="15.75" x14ac:dyDescent="0.25">
      <c r="A79" s="494"/>
      <c r="B79" s="21" t="s">
        <v>106</v>
      </c>
      <c r="C79" s="4" t="s">
        <v>3</v>
      </c>
      <c r="D79" s="22">
        <f>Mulanje!J79+Mulanje!K79+Mulanje!L79</f>
        <v>0</v>
      </c>
      <c r="E79" s="22">
        <f>Luchenza!J79+Luchenza!K79+Luchenza!L79</f>
        <v>0</v>
      </c>
      <c r="F79" s="22">
        <f>Thyolo!J79+Thyolo!K79+Thyolo!L79</f>
        <v>0</v>
      </c>
      <c r="G79" s="22">
        <f>Muloza!J79+Muloza!K79+Muloza!L79</f>
        <v>0</v>
      </c>
      <c r="H79" s="22">
        <f>MUST!J79+MUST!K79+MUST!L79</f>
        <v>0</v>
      </c>
      <c r="I79" s="22">
        <f>Phalombe!J79+Phalombe!K79+Phalombe!L79</f>
        <v>0</v>
      </c>
      <c r="J79" s="22">
        <f>Mikolongwe!J79+Mikolongwe!K79+Mikolongwe!L79</f>
        <v>0</v>
      </c>
      <c r="K79" s="22">
        <f>Migowi!J79+Migowi!K79+Migowi!L79</f>
        <v>0</v>
      </c>
      <c r="L79" s="31">
        <f>SUM(D79:K79)</f>
        <v>0</v>
      </c>
    </row>
    <row r="80" spans="1:12" ht="26.25" x14ac:dyDescent="0.25">
      <c r="A80" s="494"/>
      <c r="B80" s="21" t="s">
        <v>105</v>
      </c>
      <c r="C80" s="4" t="s">
        <v>3</v>
      </c>
      <c r="D80" s="22">
        <f>Mulanje!J80+Mulanje!K80+Mulanje!L80</f>
        <v>0</v>
      </c>
      <c r="E80" s="22">
        <f>Luchenza!J80+Luchenza!K80+Luchenza!L80</f>
        <v>0</v>
      </c>
      <c r="F80" s="22">
        <f>Thyolo!J80+Thyolo!K80+Thyolo!L80</f>
        <v>0</v>
      </c>
      <c r="G80" s="22">
        <f>Muloza!J80+Muloza!K80+Muloza!L80</f>
        <v>0</v>
      </c>
      <c r="H80" s="22">
        <f>MUST!J80+MUST!K80+MUST!L80</f>
        <v>0</v>
      </c>
      <c r="I80" s="22">
        <f>Phalombe!J80+Phalombe!K80+Phalombe!L80</f>
        <v>0</v>
      </c>
      <c r="J80" s="22">
        <f>Mikolongwe!J80+Mikolongwe!K80+Mikolongwe!L80</f>
        <v>0</v>
      </c>
      <c r="K80" s="22">
        <f>Migowi!J80+Migowi!K80+Migowi!L80</f>
        <v>0</v>
      </c>
      <c r="L80" s="31">
        <f>SUM(D80:K80)</f>
        <v>0</v>
      </c>
    </row>
    <row r="81" spans="1:12" ht="26.25" x14ac:dyDescent="0.25">
      <c r="A81" s="494"/>
      <c r="B81" s="21" t="s">
        <v>104</v>
      </c>
      <c r="C81" s="4" t="s">
        <v>3</v>
      </c>
      <c r="D81" s="22">
        <f>Mulanje!J81+Mulanje!K81+Mulanje!L81</f>
        <v>0</v>
      </c>
      <c r="E81" s="22">
        <f>Luchenza!J81+Luchenza!K81+Luchenza!L81</f>
        <v>0</v>
      </c>
      <c r="F81" s="22">
        <f>Thyolo!J81+Thyolo!K81+Thyolo!L81</f>
        <v>0</v>
      </c>
      <c r="G81" s="22">
        <f>Muloza!J81+Muloza!K81+Muloza!L81</f>
        <v>0</v>
      </c>
      <c r="H81" s="22">
        <f>MUST!J81+MUST!K81+MUST!L81</f>
        <v>0</v>
      </c>
      <c r="I81" s="22">
        <f>Phalombe!J81+Phalombe!K81+Phalombe!L81</f>
        <v>0</v>
      </c>
      <c r="J81" s="22">
        <f>Mikolongwe!J81+Mikolongwe!K81+Mikolongwe!L81</f>
        <v>0</v>
      </c>
      <c r="K81" s="22">
        <f>Migowi!J81+Migowi!K81+Migowi!L81</f>
        <v>0</v>
      </c>
      <c r="L81" s="31">
        <f>SUM(D81:K81)</f>
        <v>0</v>
      </c>
    </row>
    <row r="82" spans="1:12" ht="15.75" x14ac:dyDescent="0.25">
      <c r="A82" s="494"/>
      <c r="B82" s="21" t="s">
        <v>190</v>
      </c>
      <c r="C82" s="4" t="s">
        <v>3</v>
      </c>
      <c r="D82" s="3">
        <f>D81+D80</f>
        <v>0</v>
      </c>
      <c r="E82" s="22">
        <f t="shared" ref="E82:K82" si="22">E81+E80</f>
        <v>0</v>
      </c>
      <c r="F82" s="22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1">
        <f>SUM(D82:K82)</f>
        <v>0</v>
      </c>
    </row>
    <row r="83" spans="1:12" ht="15.75" x14ac:dyDescent="0.25">
      <c r="A83" s="495"/>
      <c r="B83" s="21" t="s">
        <v>81</v>
      </c>
      <c r="C83" s="4" t="s">
        <v>3</v>
      </c>
      <c r="D83" s="22">
        <f>D78+D79-D82</f>
        <v>0</v>
      </c>
      <c r="E83" s="22">
        <f>Luchenza!J83+Luchenza!K83+Luchenza!L83</f>
        <v>0</v>
      </c>
      <c r="F83" s="22">
        <f t="shared" ref="F83:K83" si="23">F78+F79-F82</f>
        <v>0</v>
      </c>
      <c r="G83" s="22">
        <f t="shared" si="23"/>
        <v>0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>L78+L79-L82</f>
        <v>0</v>
      </c>
    </row>
    <row r="84" spans="1:12" ht="15.75" x14ac:dyDescent="0.25">
      <c r="A84" s="496" t="s">
        <v>108</v>
      </c>
      <c r="B84" s="21" t="s">
        <v>85</v>
      </c>
      <c r="C84" s="4" t="s">
        <v>3</v>
      </c>
      <c r="D84" s="22">
        <f>Mulanje!J84</f>
        <v>0</v>
      </c>
      <c r="E84" s="22">
        <f>Luchenza!J84</f>
        <v>0</v>
      </c>
      <c r="F84" s="22">
        <f>Thyolo!J84</f>
        <v>0</v>
      </c>
      <c r="G84" s="22">
        <f>Muloza!J84</f>
        <v>0</v>
      </c>
      <c r="H84" s="22">
        <f>MUST!J84</f>
        <v>0</v>
      </c>
      <c r="I84" s="22">
        <f>Phalombe!J84</f>
        <v>0</v>
      </c>
      <c r="J84" s="22">
        <f>Mikolongwe!J84</f>
        <v>0</v>
      </c>
      <c r="K84" s="22">
        <f>Migowi!J84</f>
        <v>0</v>
      </c>
      <c r="L84" s="31">
        <f>SUM(D84:K84)</f>
        <v>0</v>
      </c>
    </row>
    <row r="85" spans="1:12" ht="15.75" x14ac:dyDescent="0.25">
      <c r="A85" s="497"/>
      <c r="B85" s="21" t="s">
        <v>106</v>
      </c>
      <c r="C85" s="4" t="s">
        <v>3</v>
      </c>
      <c r="D85" s="22">
        <f>Mulanje!J85+Mulanje!K85+Mulanje!L85</f>
        <v>0</v>
      </c>
      <c r="E85" s="22">
        <f>Luchenza!J85+Luchenza!K85+Luchenza!L85</f>
        <v>0</v>
      </c>
      <c r="F85" s="22">
        <f>Thyolo!J85+Thyolo!K85+Thyolo!L85</f>
        <v>0</v>
      </c>
      <c r="G85" s="22">
        <f>Muloza!J85+Muloza!K85+Muloza!L85</f>
        <v>0</v>
      </c>
      <c r="H85" s="22">
        <f>MUST!J85+MUST!K85+MUST!L85</f>
        <v>0</v>
      </c>
      <c r="I85" s="22">
        <f>Phalombe!J85+Phalombe!K85+Phalombe!L85</f>
        <v>0</v>
      </c>
      <c r="J85" s="22">
        <f>Mikolongwe!J85+Mikolongwe!K85+Mikolongwe!L85</f>
        <v>0</v>
      </c>
      <c r="K85" s="22">
        <f>Migowi!J85+Migowi!K85+Migowi!L85</f>
        <v>0</v>
      </c>
      <c r="L85" s="31">
        <f>SUM(D85:K85)</f>
        <v>0</v>
      </c>
    </row>
    <row r="86" spans="1:12" ht="26.25" x14ac:dyDescent="0.25">
      <c r="A86" s="497"/>
      <c r="B86" s="21" t="s">
        <v>105</v>
      </c>
      <c r="C86" s="4" t="s">
        <v>3</v>
      </c>
      <c r="D86" s="22">
        <f>Mulanje!J86+Mulanje!K86+Mulanje!L86</f>
        <v>0</v>
      </c>
      <c r="E86" s="22">
        <f>Luchenza!J86+Luchenza!K86+Luchenza!L86</f>
        <v>0</v>
      </c>
      <c r="F86" s="22">
        <f>Thyolo!J86+Thyolo!K86+Thyolo!L86</f>
        <v>0</v>
      </c>
      <c r="G86" s="22">
        <f>Muloza!J86+Muloza!K86+Muloza!L86</f>
        <v>0</v>
      </c>
      <c r="H86" s="22">
        <f>MUST!J86+MUST!K86+MUST!L86</f>
        <v>0</v>
      </c>
      <c r="I86" s="22">
        <f>Phalombe!J86+Phalombe!K86+Phalombe!L86</f>
        <v>0</v>
      </c>
      <c r="J86" s="22">
        <f>Mikolongwe!J86+Mikolongwe!K86+Mikolongwe!L86</f>
        <v>0</v>
      </c>
      <c r="K86" s="22">
        <f>Migowi!J86+Migowi!K86+Migowi!L86</f>
        <v>0</v>
      </c>
      <c r="L86" s="31">
        <f>SUM(D86:K86)</f>
        <v>0</v>
      </c>
    </row>
    <row r="87" spans="1:12" ht="26.25" x14ac:dyDescent="0.25">
      <c r="A87" s="497"/>
      <c r="B87" s="21" t="s">
        <v>104</v>
      </c>
      <c r="C87" s="4" t="s">
        <v>3</v>
      </c>
      <c r="D87" s="22">
        <f>Mulanje!J87+Mulanje!K87+Mulanje!L87</f>
        <v>0</v>
      </c>
      <c r="E87" s="22">
        <f>Luchenza!J87+Luchenza!K87+Luchenza!L87</f>
        <v>0</v>
      </c>
      <c r="F87" s="22">
        <f>Thyolo!J87+Thyolo!K87+Thyolo!L87</f>
        <v>0</v>
      </c>
      <c r="G87" s="22">
        <f>Muloza!J87+Muloza!K87+Muloza!L87</f>
        <v>0</v>
      </c>
      <c r="H87" s="22">
        <f>MUST!J87+MUST!K87+MUST!L87</f>
        <v>0</v>
      </c>
      <c r="I87" s="22">
        <f>Phalombe!J87+Phalombe!K87+Phalombe!L87</f>
        <v>0</v>
      </c>
      <c r="J87" s="22">
        <f>Mikolongwe!J87+Mikolongwe!K87+Mikolongwe!L87</f>
        <v>0</v>
      </c>
      <c r="K87" s="22">
        <f>Migowi!J87+Migowi!K87+Migowi!L87</f>
        <v>0</v>
      </c>
      <c r="L87" s="31">
        <f>SUM(D87:K87)</f>
        <v>0</v>
      </c>
    </row>
    <row r="88" spans="1:12" ht="15.75" x14ac:dyDescent="0.25">
      <c r="A88" s="497"/>
      <c r="B88" s="21" t="s">
        <v>190</v>
      </c>
      <c r="C88" s="4" t="s">
        <v>3</v>
      </c>
      <c r="D88" s="3">
        <f>D87+D86</f>
        <v>0</v>
      </c>
      <c r="E88" s="22">
        <f t="shared" ref="E88:H88" si="24">E87+E86</f>
        <v>0</v>
      </c>
      <c r="F88" s="22">
        <f t="shared" si="24"/>
        <v>0</v>
      </c>
      <c r="G88" s="3">
        <f t="shared" si="24"/>
        <v>0</v>
      </c>
      <c r="H88" s="3">
        <f t="shared" si="24"/>
        <v>0</v>
      </c>
      <c r="I88" s="3"/>
      <c r="J88" s="3"/>
      <c r="K88" s="3"/>
      <c r="L88" s="31">
        <f>SUM(D88:K88)</f>
        <v>0</v>
      </c>
    </row>
    <row r="89" spans="1:12" ht="15.75" x14ac:dyDescent="0.25">
      <c r="A89" s="498"/>
      <c r="B89" s="32" t="s">
        <v>81</v>
      </c>
      <c r="C89" s="4" t="s">
        <v>3</v>
      </c>
      <c r="D89" s="22">
        <f>D84+D85-D88</f>
        <v>0</v>
      </c>
      <c r="E89" s="22">
        <f t="shared" ref="E89:H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/>
      <c r="J89" s="22"/>
      <c r="K89" s="22"/>
      <c r="L89" s="50">
        <f>L84+L85-L88</f>
        <v>0</v>
      </c>
    </row>
    <row r="90" spans="1:12" ht="15.75" x14ac:dyDescent="0.25">
      <c r="A90" s="496" t="s">
        <v>107</v>
      </c>
      <c r="B90" s="21" t="s">
        <v>85</v>
      </c>
      <c r="C90" s="4" t="s">
        <v>3</v>
      </c>
      <c r="D90" s="122">
        <f t="shared" ref="D90:E93" si="26">D66+D72+D78+D84</f>
        <v>20</v>
      </c>
      <c r="E90" s="122">
        <f t="shared" si="26"/>
        <v>43</v>
      </c>
      <c r="F90" s="122">
        <f t="shared" ref="F90:H90" si="27">F66+F72+F78+F84</f>
        <v>16</v>
      </c>
      <c r="G90" s="122">
        <f t="shared" si="27"/>
        <v>65</v>
      </c>
      <c r="H90" s="122">
        <f t="shared" si="27"/>
        <v>3</v>
      </c>
      <c r="I90" s="122">
        <f t="shared" ref="I90:K90" si="28">I66+I72+I78+I84</f>
        <v>40</v>
      </c>
      <c r="J90" s="122">
        <f t="shared" si="28"/>
        <v>0</v>
      </c>
      <c r="K90" s="122">
        <f t="shared" si="28"/>
        <v>0</v>
      </c>
      <c r="L90" s="31">
        <f>SUM(D90:K90)</f>
        <v>187</v>
      </c>
    </row>
    <row r="91" spans="1:12" ht="15.75" x14ac:dyDescent="0.25">
      <c r="A91" s="497"/>
      <c r="B91" s="21" t="s">
        <v>106</v>
      </c>
      <c r="C91" s="4" t="s">
        <v>3</v>
      </c>
      <c r="D91" s="122">
        <f t="shared" si="26"/>
        <v>0</v>
      </c>
      <c r="E91" s="122">
        <f t="shared" si="26"/>
        <v>0</v>
      </c>
      <c r="F91" s="122">
        <f t="shared" ref="F91:H91" si="29">F67+F73+F79+F85</f>
        <v>0</v>
      </c>
      <c r="G91" s="122">
        <f t="shared" si="29"/>
        <v>0</v>
      </c>
      <c r="H91" s="122">
        <f t="shared" si="29"/>
        <v>0</v>
      </c>
      <c r="I91" s="122">
        <f t="shared" ref="I91:K91" si="30">I67+I73+I79+I85</f>
        <v>0</v>
      </c>
      <c r="J91" s="122">
        <f t="shared" si="30"/>
        <v>0</v>
      </c>
      <c r="K91" s="122">
        <f t="shared" si="30"/>
        <v>0</v>
      </c>
      <c r="L91" s="31">
        <f>SUM(D91:K91)</f>
        <v>0</v>
      </c>
    </row>
    <row r="92" spans="1:12" ht="26.25" x14ac:dyDescent="0.25">
      <c r="A92" s="497"/>
      <c r="B92" s="21" t="s">
        <v>105</v>
      </c>
      <c r="C92" s="4" t="s">
        <v>3</v>
      </c>
      <c r="D92" s="122">
        <f t="shared" si="26"/>
        <v>0</v>
      </c>
      <c r="E92" s="122">
        <f t="shared" si="26"/>
        <v>0</v>
      </c>
      <c r="F92" s="122">
        <f t="shared" ref="F92:H92" si="31">F68+F74+F80+F86</f>
        <v>0</v>
      </c>
      <c r="G92" s="122">
        <f t="shared" si="31"/>
        <v>0</v>
      </c>
      <c r="H92" s="122">
        <f t="shared" si="31"/>
        <v>0</v>
      </c>
      <c r="I92" s="122">
        <f t="shared" ref="I92:K92" si="32">I68+I74+I80+I86</f>
        <v>0</v>
      </c>
      <c r="J92" s="122">
        <f t="shared" si="32"/>
        <v>0</v>
      </c>
      <c r="K92" s="122">
        <f t="shared" si="32"/>
        <v>0</v>
      </c>
      <c r="L92" s="31">
        <f>SUM(D92:K92)</f>
        <v>0</v>
      </c>
    </row>
    <row r="93" spans="1:12" ht="26.25" x14ac:dyDescent="0.25">
      <c r="A93" s="497"/>
      <c r="B93" s="21" t="s">
        <v>104</v>
      </c>
      <c r="C93" s="4"/>
      <c r="D93" s="122">
        <f t="shared" si="26"/>
        <v>0</v>
      </c>
      <c r="E93" s="122">
        <f t="shared" si="26"/>
        <v>0</v>
      </c>
      <c r="F93" s="122">
        <f t="shared" ref="F93:H93" si="33">F69+F75+F81+F87</f>
        <v>0</v>
      </c>
      <c r="G93" s="122">
        <f t="shared" si="33"/>
        <v>0</v>
      </c>
      <c r="H93" s="122">
        <f t="shared" si="33"/>
        <v>0</v>
      </c>
      <c r="I93" s="122">
        <f t="shared" ref="I93:K93" si="34">I69+I75+I81+I87</f>
        <v>0</v>
      </c>
      <c r="J93" s="122">
        <f t="shared" si="34"/>
        <v>0</v>
      </c>
      <c r="K93" s="122">
        <f t="shared" si="34"/>
        <v>0</v>
      </c>
      <c r="L93" s="31">
        <f>SUM(D93:K93)</f>
        <v>0</v>
      </c>
    </row>
    <row r="94" spans="1:12" ht="15.75" x14ac:dyDescent="0.25">
      <c r="A94" s="497"/>
      <c r="B94" s="21" t="s">
        <v>190</v>
      </c>
      <c r="C94" s="4" t="s">
        <v>3</v>
      </c>
      <c r="D94" s="123">
        <f t="shared" ref="D94:E94" si="35">D93+D92</f>
        <v>0</v>
      </c>
      <c r="E94" s="123">
        <f t="shared" si="35"/>
        <v>0</v>
      </c>
      <c r="F94" s="123">
        <f t="shared" ref="F94:H94" si="36">F93+F92</f>
        <v>0</v>
      </c>
      <c r="G94" s="123">
        <f t="shared" si="36"/>
        <v>0</v>
      </c>
      <c r="H94" s="123">
        <f t="shared" si="36"/>
        <v>0</v>
      </c>
      <c r="I94" s="123">
        <f t="shared" ref="I94:K94" si="37">I93+I92</f>
        <v>0</v>
      </c>
      <c r="J94" s="123">
        <f t="shared" si="37"/>
        <v>0</v>
      </c>
      <c r="K94" s="123">
        <f t="shared" si="37"/>
        <v>0</v>
      </c>
      <c r="L94" s="31">
        <f>SUM(D94:K94)</f>
        <v>0</v>
      </c>
    </row>
    <row r="95" spans="1:12" ht="16.5" thickBot="1" x14ac:dyDescent="0.3">
      <c r="A95" s="498"/>
      <c r="B95" s="21" t="s">
        <v>81</v>
      </c>
      <c r="C95" s="4" t="s">
        <v>3</v>
      </c>
      <c r="D95" s="124">
        <f t="shared" ref="D95:E95" si="38">D90+D91-D94</f>
        <v>20</v>
      </c>
      <c r="E95" s="124">
        <f t="shared" si="38"/>
        <v>43</v>
      </c>
      <c r="F95" s="124">
        <f t="shared" ref="F95:H95" si="39">F90+F91-F94</f>
        <v>16</v>
      </c>
      <c r="G95" s="124">
        <f t="shared" si="39"/>
        <v>65</v>
      </c>
      <c r="H95" s="124">
        <f t="shared" si="39"/>
        <v>3</v>
      </c>
      <c r="I95" s="124">
        <f t="shared" ref="I95:K95" si="40">I90+I91-I94</f>
        <v>40</v>
      </c>
      <c r="J95" s="124">
        <f t="shared" si="40"/>
        <v>0</v>
      </c>
      <c r="K95" s="124">
        <f t="shared" si="40"/>
        <v>0</v>
      </c>
      <c r="L95" s="50">
        <f>L90+L91-L94</f>
        <v>187</v>
      </c>
    </row>
    <row r="96" spans="1:12" ht="16.149999999999999" customHeight="1" thickBot="1" x14ac:dyDescent="0.3">
      <c r="A96" s="499"/>
      <c r="B96" s="500"/>
      <c r="C96" s="500"/>
      <c r="D96" s="500"/>
      <c r="E96" s="500"/>
      <c r="F96" s="500"/>
      <c r="G96" s="500"/>
      <c r="H96" s="500"/>
      <c r="I96" s="500"/>
      <c r="J96" s="500"/>
      <c r="K96" s="500"/>
      <c r="L96" s="501"/>
    </row>
    <row r="97" spans="1:12" ht="15.75" customHeight="1" thickBot="1" x14ac:dyDescent="0.3">
      <c r="A97" s="490" t="s">
        <v>191</v>
      </c>
      <c r="B97" s="491"/>
      <c r="C97" s="491"/>
      <c r="D97" s="491"/>
      <c r="E97" s="491"/>
      <c r="F97" s="491"/>
      <c r="G97" s="491"/>
      <c r="H97" s="491"/>
      <c r="I97" s="491"/>
      <c r="J97" s="491"/>
      <c r="K97" s="491"/>
      <c r="L97" s="492"/>
    </row>
    <row r="98" spans="1:12" ht="15.75" x14ac:dyDescent="0.25">
      <c r="A98" s="73" t="s">
        <v>192</v>
      </c>
      <c r="B98" s="63"/>
      <c r="C98" s="4" t="s">
        <v>3</v>
      </c>
      <c r="D98" s="22">
        <f>Mulanje!J98+Mulanje!K98+Mulanje!L98</f>
        <v>0</v>
      </c>
      <c r="E98" s="160">
        <f>Luchenza!J98+Luchenza!K98+Luchenza!L98</f>
        <v>0</v>
      </c>
      <c r="F98" s="160">
        <f>Thyolo!J98+Thyolo!K98+Thyolo!L98</f>
        <v>0</v>
      </c>
      <c r="G98" s="22">
        <f>Muloza!J98+Muloza!K98+Muloza!L98</f>
        <v>0</v>
      </c>
      <c r="H98" s="22">
        <f>MUST!J98+MUST!K98+MUST!L98</f>
        <v>0</v>
      </c>
      <c r="I98" s="22">
        <f>Phalombe!J98+Phalombe!K98+Phalombe!L98</f>
        <v>0</v>
      </c>
      <c r="J98" s="22">
        <f>Mikolongwe!J98+Mikolongwe!K98+Mikolongwe!L98</f>
        <v>0</v>
      </c>
      <c r="K98" s="22">
        <f>Migowi!J98+Migowi!K98+Migowi!L98</f>
        <v>0</v>
      </c>
      <c r="L98" s="97">
        <f>SUM(D98:K98)</f>
        <v>0</v>
      </c>
    </row>
    <row r="99" spans="1:12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ht="15.75" thickBot="1" x14ac:dyDescent="0.3">
      <c r="A100" s="482" t="s">
        <v>103</v>
      </c>
      <c r="B100" s="483"/>
      <c r="C100" s="483"/>
      <c r="D100" s="483"/>
      <c r="E100" s="483"/>
      <c r="F100" s="483"/>
      <c r="G100" s="483"/>
      <c r="H100" s="483"/>
      <c r="I100" s="483"/>
      <c r="J100" s="483"/>
      <c r="K100" s="483"/>
      <c r="L100" s="484"/>
    </row>
    <row r="101" spans="1:12" ht="15.75" x14ac:dyDescent="0.25">
      <c r="A101" s="445" t="s">
        <v>102</v>
      </c>
      <c r="B101" s="446"/>
      <c r="C101" s="4" t="s">
        <v>3</v>
      </c>
      <c r="D101" s="165">
        <f>Mulanje!L101</f>
        <v>0</v>
      </c>
      <c r="E101" s="164">
        <f>Luchenza!L101</f>
        <v>0</v>
      </c>
      <c r="F101" s="164">
        <f>Thyolo!L101</f>
        <v>0</v>
      </c>
      <c r="G101" s="165">
        <f>Muloza!L101</f>
        <v>0</v>
      </c>
      <c r="H101" s="165">
        <f>MUST!L101</f>
        <v>0</v>
      </c>
      <c r="I101" s="165">
        <f>Phalombe!L101</f>
        <v>0</v>
      </c>
      <c r="J101" s="165">
        <f>Mikolongwe!L101</f>
        <v>0</v>
      </c>
      <c r="K101" s="165">
        <f>Migowi!L101</f>
        <v>0</v>
      </c>
      <c r="L101" s="28">
        <f>SUM(D101:K101)</f>
        <v>0</v>
      </c>
    </row>
    <row r="102" spans="1:12" ht="15.75" x14ac:dyDescent="0.25">
      <c r="A102" s="445" t="s">
        <v>101</v>
      </c>
      <c r="B102" s="446"/>
      <c r="C102" s="4" t="s">
        <v>3</v>
      </c>
      <c r="D102" s="22">
        <f>Mulanje!L102</f>
        <v>0</v>
      </c>
      <c r="E102" s="22">
        <f>Luchenza!L102</f>
        <v>0</v>
      </c>
      <c r="F102" s="22">
        <f>Thyolo!L102</f>
        <v>0</v>
      </c>
      <c r="G102" s="22">
        <f>Muloza!L102</f>
        <v>0</v>
      </c>
      <c r="H102" s="22">
        <f>MUST!L102</f>
        <v>0</v>
      </c>
      <c r="I102" s="22">
        <f>Phalombe!L102</f>
        <v>0</v>
      </c>
      <c r="J102" s="22">
        <f>Mikolongwe!L102</f>
        <v>0</v>
      </c>
      <c r="K102" s="22">
        <f>Migowi!L102</f>
        <v>0</v>
      </c>
      <c r="L102" s="28">
        <f>SUM(D102:K102)</f>
        <v>0</v>
      </c>
    </row>
    <row r="103" spans="1:12" ht="15.6" customHeight="1" x14ac:dyDescent="0.25">
      <c r="A103" s="460" t="s">
        <v>100</v>
      </c>
      <c r="B103" s="461"/>
      <c r="C103" s="4" t="s">
        <v>3</v>
      </c>
      <c r="D103" s="22">
        <f>Mulanje!L103</f>
        <v>0</v>
      </c>
      <c r="E103" s="22">
        <f>Luchenza!L103</f>
        <v>0</v>
      </c>
      <c r="F103" s="22">
        <f>Thyolo!L103</f>
        <v>0</v>
      </c>
      <c r="G103" s="22">
        <f>Muloza!L103</f>
        <v>0</v>
      </c>
      <c r="H103" s="22">
        <f>MUST!L103</f>
        <v>0</v>
      </c>
      <c r="I103" s="22">
        <f>Phalombe!L103</f>
        <v>0</v>
      </c>
      <c r="J103" s="22">
        <f>Mikolongwe!L103</f>
        <v>0</v>
      </c>
      <c r="K103" s="22">
        <f>Migowi!L103</f>
        <v>0</v>
      </c>
      <c r="L103" s="28">
        <f>SUM(D103:K103)</f>
        <v>0</v>
      </c>
    </row>
    <row r="104" spans="1:12" ht="15.75" x14ac:dyDescent="0.25">
      <c r="A104" s="460" t="s">
        <v>99</v>
      </c>
      <c r="B104" s="461"/>
      <c r="C104" s="4" t="s">
        <v>3</v>
      </c>
      <c r="D104" s="22">
        <f>Mulanje!L104</f>
        <v>0</v>
      </c>
      <c r="E104" s="22">
        <f>Luchenza!L104</f>
        <v>0</v>
      </c>
      <c r="F104" s="22">
        <f>Thyolo!L104</f>
        <v>0</v>
      </c>
      <c r="G104" s="22">
        <f>Muloza!L104</f>
        <v>0</v>
      </c>
      <c r="H104" s="22">
        <f>MUST!L104</f>
        <v>0</v>
      </c>
      <c r="I104" s="22">
        <f>Phalombe!L104</f>
        <v>0</v>
      </c>
      <c r="J104" s="22">
        <f>Mikolongwe!L104</f>
        <v>0</v>
      </c>
      <c r="K104" s="22">
        <f>Migowi!L104</f>
        <v>0</v>
      </c>
      <c r="L104" s="28">
        <f>SUM(D104:K104)</f>
        <v>0</v>
      </c>
    </row>
    <row r="105" spans="1:12" ht="15.75" x14ac:dyDescent="0.25">
      <c r="A105" s="485" t="s">
        <v>98</v>
      </c>
      <c r="B105" s="486"/>
      <c r="C105" s="4" t="s">
        <v>3</v>
      </c>
      <c r="D105" s="29">
        <f>SUM(D101:D104)</f>
        <v>0</v>
      </c>
      <c r="E105" s="29">
        <f t="shared" ref="E105:L105" si="41">SUM(E101:E104)</f>
        <v>0</v>
      </c>
      <c r="F105" s="29">
        <f t="shared" si="41"/>
        <v>0</v>
      </c>
      <c r="G105" s="29">
        <f t="shared" si="41"/>
        <v>0</v>
      </c>
      <c r="H105" s="29">
        <f t="shared" si="41"/>
        <v>0</v>
      </c>
      <c r="I105" s="29">
        <f t="shared" si="41"/>
        <v>0</v>
      </c>
      <c r="J105" s="29">
        <f t="shared" si="41"/>
        <v>0</v>
      </c>
      <c r="K105" s="29">
        <f t="shared" si="41"/>
        <v>0</v>
      </c>
      <c r="L105" s="29">
        <f t="shared" si="41"/>
        <v>0</v>
      </c>
    </row>
    <row r="106" spans="1:12" ht="15.6" customHeight="1" thickBot="1" x14ac:dyDescent="0.3">
      <c r="A106" s="487" t="s">
        <v>212</v>
      </c>
      <c r="B106" s="488"/>
      <c r="C106" s="488"/>
      <c r="D106" s="488"/>
      <c r="E106" s="488"/>
      <c r="F106" s="488"/>
      <c r="G106" s="488"/>
      <c r="H106" s="488"/>
      <c r="I106" s="488"/>
      <c r="J106" s="488"/>
      <c r="K106" s="488"/>
      <c r="L106" s="489"/>
    </row>
    <row r="107" spans="1:12" ht="15.75" x14ac:dyDescent="0.25">
      <c r="A107" s="445" t="s">
        <v>195</v>
      </c>
      <c r="B107" s="446"/>
      <c r="C107" s="4" t="s">
        <v>3</v>
      </c>
      <c r="D107" s="165">
        <f>Mulanje!L107</f>
        <v>0</v>
      </c>
      <c r="E107" s="164">
        <f>Luchenza!L107</f>
        <v>0</v>
      </c>
      <c r="F107" s="164">
        <f>Thyolo!L107</f>
        <v>0</v>
      </c>
      <c r="G107" s="165">
        <f>Muloza!L107</f>
        <v>0</v>
      </c>
      <c r="H107" s="165">
        <f>MUST!L107</f>
        <v>0</v>
      </c>
      <c r="I107" s="165">
        <f>Phalombe!L107</f>
        <v>0</v>
      </c>
      <c r="J107" s="165">
        <f>Mikolongwe!L107</f>
        <v>0</v>
      </c>
      <c r="K107" s="165">
        <f>Migowi!L107</f>
        <v>0</v>
      </c>
      <c r="L107" s="28">
        <f>SUM(D107:K107)</f>
        <v>0</v>
      </c>
    </row>
    <row r="108" spans="1:12" ht="15.75" x14ac:dyDescent="0.25">
      <c r="A108" s="445" t="s">
        <v>196</v>
      </c>
      <c r="B108" s="446"/>
      <c r="C108" s="4" t="s">
        <v>3</v>
      </c>
      <c r="D108" s="22">
        <f>Mulanje!L108</f>
        <v>0</v>
      </c>
      <c r="E108" s="22">
        <f>Luchenza!L108</f>
        <v>0</v>
      </c>
      <c r="F108" s="22">
        <f>Thyolo!L108</f>
        <v>0</v>
      </c>
      <c r="G108" s="22">
        <f>Muloza!L108</f>
        <v>0</v>
      </c>
      <c r="H108" s="22">
        <f>MUST!L108</f>
        <v>0</v>
      </c>
      <c r="I108" s="22">
        <f>Phalombe!L108</f>
        <v>0</v>
      </c>
      <c r="J108" s="22">
        <f>Mikolongwe!L108</f>
        <v>0</v>
      </c>
      <c r="K108" s="22">
        <f>Migowi!L108</f>
        <v>0</v>
      </c>
      <c r="L108" s="28">
        <f>SUM(D108:K108)</f>
        <v>0</v>
      </c>
    </row>
    <row r="109" spans="1:12" ht="15.75" x14ac:dyDescent="0.25">
      <c r="A109" s="445" t="s">
        <v>197</v>
      </c>
      <c r="B109" s="446"/>
      <c r="C109" s="4" t="s">
        <v>3</v>
      </c>
      <c r="D109" s="22">
        <f>Mulanje!L109</f>
        <v>0</v>
      </c>
      <c r="E109" s="22">
        <f>Luchenza!L109</f>
        <v>0</v>
      </c>
      <c r="F109" s="22">
        <f>Thyolo!L109</f>
        <v>0</v>
      </c>
      <c r="G109" s="22">
        <f>Muloza!L109</f>
        <v>0</v>
      </c>
      <c r="H109" s="22">
        <f>MUST!L109</f>
        <v>0</v>
      </c>
      <c r="I109" s="22">
        <f>Phalombe!L109</f>
        <v>0</v>
      </c>
      <c r="J109" s="22">
        <f>Mikolongwe!L109</f>
        <v>0</v>
      </c>
      <c r="K109" s="22">
        <f>Migowi!L109</f>
        <v>0</v>
      </c>
      <c r="L109" s="28">
        <f>SUM(D109:K109)</f>
        <v>0</v>
      </c>
    </row>
    <row r="110" spans="1:12" ht="15.75" x14ac:dyDescent="0.25">
      <c r="A110" s="445" t="s">
        <v>198</v>
      </c>
      <c r="B110" s="446"/>
      <c r="C110" s="4" t="s">
        <v>3</v>
      </c>
      <c r="D110" s="22">
        <f>Mulanje!L110</f>
        <v>0</v>
      </c>
      <c r="E110" s="22">
        <f>Luchenza!L110</f>
        <v>0</v>
      </c>
      <c r="F110" s="22">
        <f>Thyolo!L110</f>
        <v>0</v>
      </c>
      <c r="G110" s="22">
        <f>Muloza!L110</f>
        <v>0</v>
      </c>
      <c r="H110" s="22">
        <f>MUST!L110</f>
        <v>0</v>
      </c>
      <c r="I110" s="22">
        <f>Phalombe!L110</f>
        <v>0</v>
      </c>
      <c r="J110" s="22">
        <f>Mikolongwe!L110</f>
        <v>0</v>
      </c>
      <c r="K110" s="22">
        <f>Migowi!L110</f>
        <v>0</v>
      </c>
      <c r="L110" s="28">
        <f>SUM(D110:K110)</f>
        <v>0</v>
      </c>
    </row>
    <row r="111" spans="1:12" ht="15.75" x14ac:dyDescent="0.25">
      <c r="A111" s="478" t="s">
        <v>97</v>
      </c>
      <c r="B111" s="479"/>
      <c r="C111" s="4" t="s">
        <v>3</v>
      </c>
      <c r="D111" s="29">
        <f>SUM(D107:D110)</f>
        <v>0</v>
      </c>
      <c r="E111" s="29">
        <f t="shared" ref="E111:L111" si="42">SUM(E107:E110)</f>
        <v>0</v>
      </c>
      <c r="F111" s="29">
        <f t="shared" si="42"/>
        <v>0</v>
      </c>
      <c r="G111" s="29">
        <f t="shared" si="42"/>
        <v>0</v>
      </c>
      <c r="H111" s="29">
        <f t="shared" si="42"/>
        <v>0</v>
      </c>
      <c r="I111" s="29">
        <f t="shared" si="42"/>
        <v>0</v>
      </c>
      <c r="J111" s="29">
        <f t="shared" si="42"/>
        <v>0</v>
      </c>
      <c r="K111" s="29">
        <f t="shared" si="42"/>
        <v>0</v>
      </c>
      <c r="L111" s="29">
        <f t="shared" si="42"/>
        <v>0</v>
      </c>
    </row>
    <row r="112" spans="1:12" ht="15.6" customHeight="1" thickBot="1" x14ac:dyDescent="0.3">
      <c r="A112" s="482" t="s">
        <v>212</v>
      </c>
      <c r="B112" s="483"/>
      <c r="C112" s="483"/>
      <c r="D112" s="483"/>
      <c r="E112" s="483"/>
      <c r="F112" s="483"/>
      <c r="G112" s="483"/>
      <c r="H112" s="483"/>
      <c r="I112" s="483"/>
      <c r="J112" s="483"/>
      <c r="K112" s="483"/>
      <c r="L112" s="484"/>
    </row>
    <row r="113" spans="1:12" ht="15.75" x14ac:dyDescent="0.25">
      <c r="A113" s="445" t="s">
        <v>199</v>
      </c>
      <c r="B113" s="446"/>
      <c r="C113" s="4" t="s">
        <v>3</v>
      </c>
      <c r="D113" s="165">
        <f>Mulanje!L113</f>
        <v>0</v>
      </c>
      <c r="E113" s="164">
        <f>Luchenza!L113</f>
        <v>0</v>
      </c>
      <c r="F113" s="164">
        <f>Thyolo!L113</f>
        <v>0</v>
      </c>
      <c r="G113" s="165">
        <f>Muloza!L113</f>
        <v>0</v>
      </c>
      <c r="H113" s="165">
        <f>MUST!L113</f>
        <v>0</v>
      </c>
      <c r="I113" s="165">
        <f>Phalombe!L113</f>
        <v>0</v>
      </c>
      <c r="J113" s="165">
        <f>Mikolongwe!L113</f>
        <v>0</v>
      </c>
      <c r="K113" s="165">
        <f>Migowi!L113</f>
        <v>0</v>
      </c>
      <c r="L113" s="28">
        <f>SUM(D113:K113)</f>
        <v>0</v>
      </c>
    </row>
    <row r="114" spans="1:12" ht="15.75" x14ac:dyDescent="0.25">
      <c r="A114" s="445" t="s">
        <v>200</v>
      </c>
      <c r="B114" s="446"/>
      <c r="C114" s="4" t="s">
        <v>3</v>
      </c>
      <c r="D114" s="22">
        <f>Mulanje!L114</f>
        <v>0</v>
      </c>
      <c r="E114" s="22">
        <f>Luchenza!L114</f>
        <v>0</v>
      </c>
      <c r="F114" s="22">
        <f>Thyolo!L114</f>
        <v>0</v>
      </c>
      <c r="G114" s="22">
        <f>Muloza!L114</f>
        <v>0</v>
      </c>
      <c r="H114" s="22">
        <f>MUST!L114</f>
        <v>0</v>
      </c>
      <c r="I114" s="22">
        <f>Phalombe!L114</f>
        <v>0</v>
      </c>
      <c r="J114" s="22">
        <f>Mikolongwe!L114</f>
        <v>0</v>
      </c>
      <c r="K114" s="22">
        <f>Migowi!L114</f>
        <v>0</v>
      </c>
      <c r="L114" s="28">
        <f>SUM(D114:K114)</f>
        <v>0</v>
      </c>
    </row>
    <row r="115" spans="1:12" ht="15.75" x14ac:dyDescent="0.25">
      <c r="A115" s="445" t="s">
        <v>201</v>
      </c>
      <c r="B115" s="446"/>
      <c r="C115" s="4" t="s">
        <v>3</v>
      </c>
      <c r="D115" s="22">
        <f>Mulanje!L115</f>
        <v>0</v>
      </c>
      <c r="E115" s="22">
        <f>Luchenza!L115</f>
        <v>0</v>
      </c>
      <c r="F115" s="22">
        <f>Thyolo!L115</f>
        <v>0</v>
      </c>
      <c r="G115" s="22">
        <f>Muloza!L115</f>
        <v>0</v>
      </c>
      <c r="H115" s="22">
        <f>MUST!L115</f>
        <v>0</v>
      </c>
      <c r="I115" s="22">
        <f>Phalombe!L115</f>
        <v>0</v>
      </c>
      <c r="J115" s="22">
        <f>Mikolongwe!L115</f>
        <v>0</v>
      </c>
      <c r="K115" s="22">
        <f>Migowi!L115</f>
        <v>0</v>
      </c>
      <c r="L115" s="28">
        <f>SUM(D115:K115)</f>
        <v>0</v>
      </c>
    </row>
    <row r="116" spans="1:12" ht="15.75" x14ac:dyDescent="0.25">
      <c r="A116" s="445" t="s">
        <v>202</v>
      </c>
      <c r="B116" s="446"/>
      <c r="C116" s="4" t="s">
        <v>3</v>
      </c>
      <c r="D116" s="22">
        <f>Mulanje!L116</f>
        <v>0</v>
      </c>
      <c r="E116" s="22">
        <f>Luchenza!L116</f>
        <v>0</v>
      </c>
      <c r="F116" s="22">
        <f>Thyolo!L116</f>
        <v>0</v>
      </c>
      <c r="G116" s="22">
        <f>Muloza!L116</f>
        <v>0</v>
      </c>
      <c r="H116" s="22">
        <f>MUST!L116</f>
        <v>0</v>
      </c>
      <c r="I116" s="22">
        <f>Phalombe!L116</f>
        <v>0</v>
      </c>
      <c r="J116" s="22">
        <f>Mikolongwe!L116</f>
        <v>0</v>
      </c>
      <c r="K116" s="22">
        <f>Migowi!L116</f>
        <v>0</v>
      </c>
      <c r="L116" s="28">
        <f>SUM(D116:K116)</f>
        <v>0</v>
      </c>
    </row>
    <row r="117" spans="1:12" ht="15.75" x14ac:dyDescent="0.25">
      <c r="A117" s="478" t="s">
        <v>96</v>
      </c>
      <c r="B117" s="479"/>
      <c r="C117" s="4" t="s">
        <v>3</v>
      </c>
      <c r="D117" s="29">
        <f>SUM(D113:D116)</f>
        <v>0</v>
      </c>
      <c r="E117" s="29">
        <f t="shared" ref="E117:L117" si="43">SUM(E113:E116)</f>
        <v>0</v>
      </c>
      <c r="F117" s="29">
        <f t="shared" si="43"/>
        <v>0</v>
      </c>
      <c r="G117" s="29">
        <f t="shared" si="43"/>
        <v>0</v>
      </c>
      <c r="H117" s="29">
        <f t="shared" si="43"/>
        <v>0</v>
      </c>
      <c r="I117" s="29">
        <f t="shared" si="43"/>
        <v>0</v>
      </c>
      <c r="J117" s="29">
        <f t="shared" si="43"/>
        <v>0</v>
      </c>
      <c r="K117" s="29">
        <f t="shared" si="43"/>
        <v>0</v>
      </c>
      <c r="L117" s="29">
        <f t="shared" si="43"/>
        <v>0</v>
      </c>
    </row>
    <row r="118" spans="1:12" ht="15.75" x14ac:dyDescent="0.25">
      <c r="A118" s="70" t="s">
        <v>193</v>
      </c>
      <c r="B118" s="71"/>
      <c r="C118" s="4" t="s">
        <v>3</v>
      </c>
      <c r="D118" s="29">
        <f t="shared" ref="D118:K118" si="44">D117+D111</f>
        <v>0</v>
      </c>
      <c r="E118" s="29">
        <f t="shared" si="44"/>
        <v>0</v>
      </c>
      <c r="F118" s="29">
        <f t="shared" si="44"/>
        <v>0</v>
      </c>
      <c r="G118" s="29">
        <f t="shared" si="44"/>
        <v>0</v>
      </c>
      <c r="H118" s="29">
        <f t="shared" si="44"/>
        <v>0</v>
      </c>
      <c r="I118" s="29">
        <f t="shared" si="44"/>
        <v>0</v>
      </c>
      <c r="J118" s="29">
        <f t="shared" si="44"/>
        <v>0</v>
      </c>
      <c r="K118" s="29">
        <f t="shared" si="44"/>
        <v>0</v>
      </c>
      <c r="L118" s="50">
        <f t="shared" ref="L118" si="45">L117+L112</f>
        <v>0</v>
      </c>
    </row>
    <row r="119" spans="1:12" ht="15.75" x14ac:dyDescent="0.25">
      <c r="A119" s="478" t="s">
        <v>194</v>
      </c>
      <c r="B119" s="479"/>
      <c r="C119" s="4" t="s">
        <v>3</v>
      </c>
      <c r="D119" s="29">
        <f>D118+D105</f>
        <v>0</v>
      </c>
      <c r="E119" s="29">
        <f t="shared" ref="E119:K119" si="46">E118+E105</f>
        <v>0</v>
      </c>
      <c r="F119" s="29">
        <f t="shared" si="46"/>
        <v>0</v>
      </c>
      <c r="G119" s="29">
        <f t="shared" si="46"/>
        <v>0</v>
      </c>
      <c r="H119" s="29">
        <f t="shared" si="46"/>
        <v>0</v>
      </c>
      <c r="I119" s="29">
        <f t="shared" si="46"/>
        <v>0</v>
      </c>
      <c r="J119" s="29">
        <f t="shared" si="46"/>
        <v>0</v>
      </c>
      <c r="K119" s="29">
        <f t="shared" si="46"/>
        <v>0</v>
      </c>
      <c r="L119" s="50">
        <f t="shared" ref="L119" si="47">L118+L106</f>
        <v>0</v>
      </c>
    </row>
    <row r="120" spans="1:12" ht="15.75" thickBot="1" x14ac:dyDescent="0.3">
      <c r="A120" s="442" t="s">
        <v>203</v>
      </c>
      <c r="B120" s="443"/>
      <c r="C120" s="443"/>
      <c r="D120" s="443"/>
      <c r="E120" s="443"/>
      <c r="F120" s="443"/>
      <c r="G120" s="443"/>
      <c r="H120" s="443"/>
      <c r="I120" s="443"/>
      <c r="J120" s="443"/>
      <c r="K120" s="443"/>
      <c r="L120" s="444"/>
    </row>
    <row r="121" spans="1:12" ht="16.5" thickBot="1" x14ac:dyDescent="0.3">
      <c r="A121" s="445" t="s">
        <v>95</v>
      </c>
      <c r="B121" s="446"/>
      <c r="C121" s="4" t="s">
        <v>3</v>
      </c>
      <c r="D121" s="165">
        <f>Mulanje!L121</f>
        <v>0</v>
      </c>
      <c r="E121" s="164">
        <f>Luchenza!L121</f>
        <v>0</v>
      </c>
      <c r="F121" s="164">
        <f>Thyolo!L121</f>
        <v>0</v>
      </c>
      <c r="G121" s="165">
        <f>Muloza!L121</f>
        <v>0</v>
      </c>
      <c r="H121" s="165">
        <f>MUST!L121</f>
        <v>0</v>
      </c>
      <c r="I121" s="165">
        <f>Phalombe!L121</f>
        <v>0</v>
      </c>
      <c r="J121" s="165">
        <f>Mikolongwe!L121</f>
        <v>0</v>
      </c>
      <c r="K121" s="165">
        <f>Migowi!L121</f>
        <v>0</v>
      </c>
      <c r="L121" s="165">
        <f>Migowi!M121</f>
        <v>0</v>
      </c>
    </row>
    <row r="122" spans="1:12" ht="15.75" x14ac:dyDescent="0.25">
      <c r="A122" s="445" t="s">
        <v>94</v>
      </c>
      <c r="B122" s="446"/>
      <c r="C122" s="4" t="s">
        <v>3</v>
      </c>
      <c r="D122" s="165">
        <f>Mulanje!L122</f>
        <v>0</v>
      </c>
      <c r="E122" s="164">
        <f>Luchenza!L122</f>
        <v>0</v>
      </c>
      <c r="F122" s="164">
        <f>Thyolo!L122</f>
        <v>0</v>
      </c>
      <c r="G122" s="165">
        <f>Muloza!L122</f>
        <v>0</v>
      </c>
      <c r="H122" s="165">
        <f>MUST!L122</f>
        <v>0</v>
      </c>
      <c r="I122" s="165">
        <f>Phalombe!L122</f>
        <v>0</v>
      </c>
      <c r="J122" s="165">
        <f>Mikolongwe!L122</f>
        <v>0</v>
      </c>
      <c r="K122" s="165">
        <f>Migowi!L122</f>
        <v>0</v>
      </c>
      <c r="L122" s="165">
        <f>Migowi!M122</f>
        <v>0</v>
      </c>
    </row>
    <row r="123" spans="1:12" ht="15.75" x14ac:dyDescent="0.25">
      <c r="A123" s="480" t="s">
        <v>93</v>
      </c>
      <c r="B123" s="481"/>
      <c r="C123" s="26" t="s">
        <v>6</v>
      </c>
      <c r="D123" s="25" t="e">
        <f t="shared" ref="D123:L123" si="48">D122/D121</f>
        <v>#DIV/0!</v>
      </c>
      <c r="E123" s="25" t="e">
        <f t="shared" si="48"/>
        <v>#DIV/0!</v>
      </c>
      <c r="F123" s="25" t="e">
        <f t="shared" si="48"/>
        <v>#DIV/0!</v>
      </c>
      <c r="G123" s="25" t="e">
        <f t="shared" si="48"/>
        <v>#DIV/0!</v>
      </c>
      <c r="H123" s="25" t="e">
        <f t="shared" si="48"/>
        <v>#DIV/0!</v>
      </c>
      <c r="I123" s="25" t="e">
        <f t="shared" si="48"/>
        <v>#DIV/0!</v>
      </c>
      <c r="J123" s="25" t="e">
        <f t="shared" si="48"/>
        <v>#DIV/0!</v>
      </c>
      <c r="K123" s="25" t="e">
        <f t="shared" si="48"/>
        <v>#DIV/0!</v>
      </c>
      <c r="L123" s="98" t="e">
        <f t="shared" si="48"/>
        <v>#DIV/0!</v>
      </c>
    </row>
    <row r="124" spans="1:12" x14ac:dyDescent="0.25">
      <c r="A124" s="453" t="s">
        <v>92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5"/>
    </row>
    <row r="125" spans="1:12" ht="15.75" x14ac:dyDescent="0.25">
      <c r="A125" s="475" t="s">
        <v>91</v>
      </c>
      <c r="B125" s="21" t="s">
        <v>85</v>
      </c>
      <c r="C125" s="4" t="s">
        <v>3</v>
      </c>
      <c r="D125" s="22">
        <f>Mulanje!J125</f>
        <v>0</v>
      </c>
      <c r="E125" s="22">
        <f>Luchenza!J125</f>
        <v>0</v>
      </c>
      <c r="F125" s="22">
        <f>Thyolo!J125</f>
        <v>0</v>
      </c>
      <c r="G125" s="22">
        <f>Muloza!J125</f>
        <v>0</v>
      </c>
      <c r="H125" s="22">
        <f>MUST!J125</f>
        <v>0</v>
      </c>
      <c r="I125" s="22">
        <f>Phalombe!J125</f>
        <v>0</v>
      </c>
      <c r="J125" s="22">
        <f>Mikolongwe!J125</f>
        <v>0</v>
      </c>
      <c r="K125" s="22">
        <f>Migowi!J125</f>
        <v>0</v>
      </c>
      <c r="L125" s="16">
        <f>D125</f>
        <v>0</v>
      </c>
    </row>
    <row r="126" spans="1:12" ht="15.75" x14ac:dyDescent="0.25">
      <c r="A126" s="476"/>
      <c r="B126" s="21" t="s">
        <v>84</v>
      </c>
      <c r="C126" s="4" t="s">
        <v>3</v>
      </c>
      <c r="D126" s="22">
        <f>Mulanje!J126+Mulanje!K126+Mulanje!L126</f>
        <v>0</v>
      </c>
      <c r="E126" s="22">
        <f>Luchenza!J126+Luchenza!K126+Luchenza!L126</f>
        <v>0</v>
      </c>
      <c r="F126" s="22">
        <f>Thyolo!J126+Thyolo!K126+Thyolo!L126</f>
        <v>0</v>
      </c>
      <c r="G126" s="22">
        <f>Muloza!J126+Muloza!K126+Muloza!L126</f>
        <v>0</v>
      </c>
      <c r="H126" s="22">
        <f>MUST!J126+MUST!K126+MUST!L126</f>
        <v>0</v>
      </c>
      <c r="I126" s="22">
        <f>Phalombe!J126+Phalombe!K126+Phalombe!L126</f>
        <v>0</v>
      </c>
      <c r="J126" s="22">
        <f>Mikolongwe!J126+Mikolongwe!K126+Mikolongwe!L126</f>
        <v>0</v>
      </c>
      <c r="K126" s="22">
        <f>Migowi!J126+Migowi!K126+Migowi!L126</f>
        <v>0</v>
      </c>
      <c r="L126" s="16">
        <f>SUM(D126:K126)</f>
        <v>0</v>
      </c>
    </row>
    <row r="127" spans="1:12" ht="15.75" x14ac:dyDescent="0.25">
      <c r="A127" s="476"/>
      <c r="B127" s="72" t="s">
        <v>88</v>
      </c>
      <c r="C127" s="4" t="s">
        <v>3</v>
      </c>
      <c r="D127" s="22">
        <f>Mulanje!J127+Mulanje!K127+Mulanje!L127</f>
        <v>0</v>
      </c>
      <c r="E127" s="22">
        <f>Luchenza!J127+Luchenza!K127+Luchenza!L127</f>
        <v>0</v>
      </c>
      <c r="F127" s="22">
        <f>Thyolo!J127+Thyolo!K127+Thyolo!L127</f>
        <v>0</v>
      </c>
      <c r="G127" s="22">
        <f>Muloza!J127+Muloza!K127+Muloza!L127</f>
        <v>0</v>
      </c>
      <c r="H127" s="22">
        <f>MUST!J127+MUST!K127+MUST!L127</f>
        <v>0</v>
      </c>
      <c r="I127" s="22">
        <f>Phalombe!J127+Phalombe!K127+Phalombe!L127</f>
        <v>0</v>
      </c>
      <c r="J127" s="22">
        <f>Mikolongwe!J127+Mikolongwe!K127+Mikolongwe!L127</f>
        <v>0</v>
      </c>
      <c r="K127" s="22">
        <f>Migowi!J127+Migowi!K127+Migowi!L127</f>
        <v>0</v>
      </c>
      <c r="L127" s="16">
        <f>SUM(D127:K127)</f>
        <v>0</v>
      </c>
    </row>
    <row r="128" spans="1:12" ht="15.75" x14ac:dyDescent="0.25">
      <c r="A128" s="476"/>
      <c r="B128" s="21" t="s">
        <v>82</v>
      </c>
      <c r="C128" s="4" t="s">
        <v>3</v>
      </c>
      <c r="D128" s="22">
        <f>Mulanje!J128+Mulanje!K128+Mulanje!L128</f>
        <v>0</v>
      </c>
      <c r="E128" s="22">
        <f>Luchenza!J128+Luchenza!K128+Luchenza!L128</f>
        <v>0</v>
      </c>
      <c r="F128" s="22">
        <f>Thyolo!J128+Thyolo!K128+Thyolo!L128</f>
        <v>0</v>
      </c>
      <c r="G128" s="22">
        <f>Muloza!J128+Muloza!K128+Muloza!L128</f>
        <v>0</v>
      </c>
      <c r="H128" s="22">
        <f>MUST!J128+MUST!K128+MUST!L128</f>
        <v>0</v>
      </c>
      <c r="I128" s="22">
        <f>Phalombe!J128+Phalombe!K128+Phalombe!L128</f>
        <v>0</v>
      </c>
      <c r="J128" s="22">
        <f>Mikolongwe!J128+Mikolongwe!K128+Mikolongwe!L128</f>
        <v>0</v>
      </c>
      <c r="K128" s="22">
        <f>Migowi!J128+Migowi!K128+Migowi!L128</f>
        <v>0</v>
      </c>
      <c r="L128" s="16">
        <f>SUM(D128:K128)</f>
        <v>0</v>
      </c>
    </row>
    <row r="129" spans="1:12" ht="15.75" x14ac:dyDescent="0.25">
      <c r="A129" s="477"/>
      <c r="B129" s="21" t="s">
        <v>81</v>
      </c>
      <c r="C129" s="4" t="s">
        <v>3</v>
      </c>
      <c r="D129" s="126">
        <f t="shared" ref="D129:K129" si="49">D125+D126-D127-D128</f>
        <v>0</v>
      </c>
      <c r="E129" s="127">
        <f t="shared" si="49"/>
        <v>0</v>
      </c>
      <c r="F129" s="127">
        <f t="shared" si="49"/>
        <v>0</v>
      </c>
      <c r="G129" s="126">
        <f t="shared" si="49"/>
        <v>0</v>
      </c>
      <c r="H129" s="126">
        <f t="shared" si="49"/>
        <v>0</v>
      </c>
      <c r="I129" s="126">
        <f t="shared" si="49"/>
        <v>0</v>
      </c>
      <c r="J129" s="126">
        <f t="shared" si="49"/>
        <v>0</v>
      </c>
      <c r="K129" s="126">
        <f t="shared" si="49"/>
        <v>0</v>
      </c>
      <c r="L129" s="16">
        <f>L125+L126-L127-L128</f>
        <v>0</v>
      </c>
    </row>
    <row r="130" spans="1:12" ht="15.75" x14ac:dyDescent="0.25">
      <c r="A130" s="475" t="s">
        <v>90</v>
      </c>
      <c r="B130" s="24" t="s">
        <v>85</v>
      </c>
      <c r="C130" s="23" t="s">
        <v>3</v>
      </c>
      <c r="D130" s="22">
        <f>Mulanje!J130</f>
        <v>0</v>
      </c>
      <c r="E130" s="22">
        <f>Luchenza!J130</f>
        <v>0</v>
      </c>
      <c r="F130" s="22">
        <f>Thyolo!J130</f>
        <v>0</v>
      </c>
      <c r="G130" s="22">
        <f>Muloza!J130</f>
        <v>0</v>
      </c>
      <c r="H130" s="22">
        <f>MUST!J130</f>
        <v>0</v>
      </c>
      <c r="I130" s="22">
        <f>Phalombe!J130</f>
        <v>0</v>
      </c>
      <c r="J130" s="22">
        <f>Mikolongwe!J130</f>
        <v>0</v>
      </c>
      <c r="K130" s="22">
        <f>Migowi!J130</f>
        <v>0</v>
      </c>
      <c r="L130" s="16">
        <f>D130</f>
        <v>0</v>
      </c>
    </row>
    <row r="131" spans="1:12" ht="15.75" x14ac:dyDescent="0.25">
      <c r="A131" s="476"/>
      <c r="B131" s="21" t="s">
        <v>84</v>
      </c>
      <c r="C131" s="4" t="s">
        <v>3</v>
      </c>
      <c r="D131" s="22">
        <f>Mulanje!J131+Mulanje!K131+Mulanje!L131</f>
        <v>0</v>
      </c>
      <c r="E131" s="22">
        <f>Luchenza!J131+Luchenza!K131+Luchenza!L131</f>
        <v>0</v>
      </c>
      <c r="F131" s="22">
        <f>Thyolo!J131+Thyolo!K131+Thyolo!L131</f>
        <v>0</v>
      </c>
      <c r="G131" s="22">
        <f>Muloza!J131+Muloza!K131+Muloza!L131</f>
        <v>0</v>
      </c>
      <c r="H131" s="22">
        <f>MUST!J131+MUST!K131+MUST!L131</f>
        <v>0</v>
      </c>
      <c r="I131" s="22">
        <f>Phalombe!J131+Phalombe!K131+Phalombe!L131</f>
        <v>0</v>
      </c>
      <c r="J131" s="22">
        <f>Mikolongwe!J131+Mikolongwe!K131+Mikolongwe!L131</f>
        <v>0</v>
      </c>
      <c r="K131" s="22">
        <f>Migowi!J131+Migowi!K131+Migowi!L131</f>
        <v>0</v>
      </c>
      <c r="L131" s="16">
        <f>SUM(D131:K131)</f>
        <v>0</v>
      </c>
    </row>
    <row r="132" spans="1:12" ht="15.75" x14ac:dyDescent="0.25">
      <c r="A132" s="476"/>
      <c r="B132" s="72" t="s">
        <v>88</v>
      </c>
      <c r="C132" s="4" t="s">
        <v>3</v>
      </c>
      <c r="D132" s="22">
        <f>Mulanje!J132+Mulanje!K132+Mulanje!L132</f>
        <v>0</v>
      </c>
      <c r="E132" s="22">
        <f>Luchenza!J132+Luchenza!K132+Luchenza!L132</f>
        <v>0</v>
      </c>
      <c r="F132" s="22">
        <f>Thyolo!J132+Thyolo!K132+Thyolo!L132</f>
        <v>0</v>
      </c>
      <c r="G132" s="22">
        <f>Muloza!J132+Muloza!K132+Muloza!L132</f>
        <v>0</v>
      </c>
      <c r="H132" s="22">
        <f>MUST!J132+MUST!K132+MUST!L132</f>
        <v>0</v>
      </c>
      <c r="I132" s="22">
        <f>Phalombe!J132+Phalombe!K132+Phalombe!L132</f>
        <v>0</v>
      </c>
      <c r="J132" s="22">
        <f>Mikolongwe!J132+Mikolongwe!K132+Mikolongwe!L132</f>
        <v>0</v>
      </c>
      <c r="K132" s="22">
        <f>Migowi!J132+Migowi!K132+Migowi!L132</f>
        <v>0</v>
      </c>
      <c r="L132" s="16">
        <f>SUM(D132:K132)</f>
        <v>0</v>
      </c>
    </row>
    <row r="133" spans="1:12" ht="15.75" x14ac:dyDescent="0.25">
      <c r="A133" s="476"/>
      <c r="B133" s="21" t="s">
        <v>82</v>
      </c>
      <c r="C133" s="4" t="s">
        <v>3</v>
      </c>
      <c r="D133" s="22">
        <f>Mulanje!J133+Mulanje!K133+Mulanje!L133</f>
        <v>0</v>
      </c>
      <c r="E133" s="22">
        <f>Luchenza!J133+Luchenza!K133+Luchenza!L133</f>
        <v>0</v>
      </c>
      <c r="F133" s="22">
        <f>Thyolo!J133+Thyolo!K133+Thyolo!L133</f>
        <v>0</v>
      </c>
      <c r="G133" s="22">
        <f>Muloza!J133+Muloza!K133+Muloza!L133</f>
        <v>0</v>
      </c>
      <c r="H133" s="22">
        <f>MUST!J133+MUST!K133+MUST!L133</f>
        <v>0</v>
      </c>
      <c r="I133" s="22">
        <f>Phalombe!J133+Phalombe!K133+Phalombe!L133</f>
        <v>0</v>
      </c>
      <c r="J133" s="22">
        <f>Mikolongwe!J133+Mikolongwe!K133+Mikolongwe!L133</f>
        <v>0</v>
      </c>
      <c r="K133" s="22">
        <f>Migowi!J133+Migowi!K133+Migowi!L133</f>
        <v>0</v>
      </c>
      <c r="L133" s="16">
        <f>SUM(D133:K133)</f>
        <v>0</v>
      </c>
    </row>
    <row r="134" spans="1:12" ht="15.75" x14ac:dyDescent="0.25">
      <c r="A134" s="477"/>
      <c r="B134" s="21" t="s">
        <v>81</v>
      </c>
      <c r="C134" s="4" t="s">
        <v>3</v>
      </c>
      <c r="D134" s="126">
        <f t="shared" ref="D134:K134" si="50">D130+D131-D132-D133</f>
        <v>0</v>
      </c>
      <c r="E134" s="127">
        <f t="shared" si="50"/>
        <v>0</v>
      </c>
      <c r="F134" s="127">
        <f t="shared" si="50"/>
        <v>0</v>
      </c>
      <c r="G134" s="126">
        <f t="shared" si="50"/>
        <v>0</v>
      </c>
      <c r="H134" s="126">
        <f t="shared" si="50"/>
        <v>0</v>
      </c>
      <c r="I134" s="126">
        <f t="shared" si="50"/>
        <v>0</v>
      </c>
      <c r="J134" s="126">
        <f t="shared" si="50"/>
        <v>0</v>
      </c>
      <c r="K134" s="126">
        <f t="shared" si="50"/>
        <v>0</v>
      </c>
      <c r="L134" s="16">
        <f>L130+L131-L132-L133</f>
        <v>0</v>
      </c>
    </row>
    <row r="135" spans="1:12" ht="15.75" x14ac:dyDescent="0.25">
      <c r="A135" s="475" t="s">
        <v>89</v>
      </c>
      <c r="B135" s="21" t="s">
        <v>85</v>
      </c>
      <c r="C135" s="4" t="s">
        <v>3</v>
      </c>
      <c r="D135" s="22">
        <f>Mulanje!J135</f>
        <v>0</v>
      </c>
      <c r="E135" s="22">
        <f>Luchenza!J135</f>
        <v>0</v>
      </c>
      <c r="F135" s="22">
        <f>Thyolo!J135</f>
        <v>0</v>
      </c>
      <c r="G135" s="22">
        <f>Muloza!J135</f>
        <v>0</v>
      </c>
      <c r="H135" s="22">
        <f>MUST!J135</f>
        <v>0</v>
      </c>
      <c r="I135" s="22">
        <f>Phalombe!J135</f>
        <v>0</v>
      </c>
      <c r="J135" s="22">
        <f>Mikolongwe!J135</f>
        <v>0</v>
      </c>
      <c r="K135" s="22">
        <f>Migowi!J135</f>
        <v>0</v>
      </c>
      <c r="L135" s="16">
        <f>D135</f>
        <v>0</v>
      </c>
    </row>
    <row r="136" spans="1:12" ht="15.75" x14ac:dyDescent="0.25">
      <c r="A136" s="476"/>
      <c r="B136" s="21" t="s">
        <v>84</v>
      </c>
      <c r="C136" s="4" t="s">
        <v>3</v>
      </c>
      <c r="D136" s="22">
        <f>Mulanje!J136+Mulanje!K136+Mulanje!L136</f>
        <v>0</v>
      </c>
      <c r="E136" s="22">
        <f>Luchenza!J136+Luchenza!K136+Luchenza!L136</f>
        <v>0</v>
      </c>
      <c r="F136" s="22">
        <f>Thyolo!J136+Thyolo!K136+Thyolo!L136</f>
        <v>0</v>
      </c>
      <c r="G136" s="22">
        <f>Muloza!J136+Muloza!K136+Muloza!L136</f>
        <v>0</v>
      </c>
      <c r="H136" s="22">
        <f>MUST!J136+MUST!K136+MUST!L136</f>
        <v>0</v>
      </c>
      <c r="I136" s="22">
        <f>Phalombe!J136+Phalombe!K136+Phalombe!L136</f>
        <v>0</v>
      </c>
      <c r="J136" s="22">
        <f>Mikolongwe!J136+Mikolongwe!K136+Mikolongwe!L136</f>
        <v>0</v>
      </c>
      <c r="K136" s="22">
        <f>Migowi!J136+Migowi!K136+Migowi!L136</f>
        <v>0</v>
      </c>
      <c r="L136" s="16">
        <f>SUM(D136:K136)</f>
        <v>0</v>
      </c>
    </row>
    <row r="137" spans="1:12" ht="15.75" x14ac:dyDescent="0.25">
      <c r="A137" s="476"/>
      <c r="B137" s="72" t="s">
        <v>88</v>
      </c>
      <c r="C137" s="4" t="s">
        <v>3</v>
      </c>
      <c r="D137" s="22">
        <f>Mulanje!J137+Mulanje!K137+Mulanje!L137</f>
        <v>0</v>
      </c>
      <c r="E137" s="22">
        <f>Luchenza!J137+Luchenza!K137+Luchenza!L137</f>
        <v>0</v>
      </c>
      <c r="F137" s="22">
        <f>Thyolo!J137+Thyolo!K137+Thyolo!L137</f>
        <v>0</v>
      </c>
      <c r="G137" s="22">
        <f>Muloza!J137+Muloza!K137+Muloza!L137</f>
        <v>0</v>
      </c>
      <c r="H137" s="22">
        <f>MUST!J137+MUST!K137+MUST!L137</f>
        <v>0</v>
      </c>
      <c r="I137" s="22">
        <f>Phalombe!J137+Phalombe!K137+Phalombe!L137</f>
        <v>0</v>
      </c>
      <c r="J137" s="22">
        <f>Mikolongwe!J137+Mikolongwe!K137+Mikolongwe!L137</f>
        <v>0</v>
      </c>
      <c r="K137" s="22">
        <f>Migowi!J137+Migowi!K137+Migowi!L137</f>
        <v>0</v>
      </c>
      <c r="L137" s="16">
        <f>SUM(D137:K137)</f>
        <v>0</v>
      </c>
    </row>
    <row r="138" spans="1:12" ht="15.75" x14ac:dyDescent="0.25">
      <c r="A138" s="476"/>
      <c r="B138" s="21" t="s">
        <v>82</v>
      </c>
      <c r="C138" s="4" t="s">
        <v>3</v>
      </c>
      <c r="D138" s="22">
        <f>Mulanje!J138+Mulanje!K138+Mulanje!L138</f>
        <v>0</v>
      </c>
      <c r="E138" s="22">
        <f>Luchenza!J138+Luchenza!K138+Luchenza!L138</f>
        <v>0</v>
      </c>
      <c r="F138" s="22">
        <f>Thyolo!J138+Thyolo!K138+Thyolo!L138</f>
        <v>0</v>
      </c>
      <c r="G138" s="22">
        <f>Muloza!J138+Muloza!K138+Muloza!L138</f>
        <v>0</v>
      </c>
      <c r="H138" s="22">
        <f>MUST!J138+MUST!K138+MUST!L138</f>
        <v>0</v>
      </c>
      <c r="I138" s="22">
        <f>Phalombe!J138+Phalombe!K138+Phalombe!L138</f>
        <v>0</v>
      </c>
      <c r="J138" s="22">
        <f>Mikolongwe!J138+Mikolongwe!K138+Mikolongwe!L138</f>
        <v>0</v>
      </c>
      <c r="K138" s="22">
        <f>Migowi!J138+Migowi!K138+Migowi!L138</f>
        <v>0</v>
      </c>
      <c r="L138" s="16">
        <f>SUM(D138:K138)</f>
        <v>0</v>
      </c>
    </row>
    <row r="139" spans="1:12" ht="15.75" x14ac:dyDescent="0.25">
      <c r="A139" s="477"/>
      <c r="B139" s="21" t="s">
        <v>81</v>
      </c>
      <c r="C139" s="4" t="s">
        <v>3</v>
      </c>
      <c r="D139" s="126">
        <f t="shared" ref="D139:K139" si="51">D135+D136-D137-D138</f>
        <v>0</v>
      </c>
      <c r="E139" s="127">
        <f t="shared" si="51"/>
        <v>0</v>
      </c>
      <c r="F139" s="127">
        <f t="shared" si="51"/>
        <v>0</v>
      </c>
      <c r="G139" s="126">
        <f t="shared" si="51"/>
        <v>0</v>
      </c>
      <c r="H139" s="126">
        <f t="shared" si="51"/>
        <v>0</v>
      </c>
      <c r="I139" s="126">
        <f t="shared" si="51"/>
        <v>0</v>
      </c>
      <c r="J139" s="126">
        <f t="shared" si="51"/>
        <v>0</v>
      </c>
      <c r="K139" s="126">
        <f t="shared" si="51"/>
        <v>0</v>
      </c>
      <c r="L139" s="16">
        <f>L135+L136-L137-L138</f>
        <v>0</v>
      </c>
    </row>
    <row r="140" spans="1:12" ht="15.75" x14ac:dyDescent="0.25">
      <c r="A140" s="475" t="s">
        <v>87</v>
      </c>
      <c r="B140" s="21" t="s">
        <v>85</v>
      </c>
      <c r="C140" s="4" t="s">
        <v>3</v>
      </c>
      <c r="D140" s="22">
        <f>Mulanje!J140</f>
        <v>0</v>
      </c>
      <c r="E140" s="22">
        <f>Luchenza!J140</f>
        <v>0</v>
      </c>
      <c r="F140" s="22">
        <f>Thyolo!J140</f>
        <v>0</v>
      </c>
      <c r="G140" s="22">
        <f>Muloza!J140</f>
        <v>0</v>
      </c>
      <c r="H140" s="22">
        <f>MUST!J140</f>
        <v>0</v>
      </c>
      <c r="I140" s="22">
        <f>Phalombe!J140</f>
        <v>26</v>
      </c>
      <c r="J140" s="22">
        <f>Mikolongwe!J140</f>
        <v>0</v>
      </c>
      <c r="K140" s="22">
        <f>Migowi!J140</f>
        <v>0</v>
      </c>
      <c r="L140" s="16">
        <f>D140</f>
        <v>0</v>
      </c>
    </row>
    <row r="141" spans="1:12" ht="15.75" x14ac:dyDescent="0.25">
      <c r="A141" s="476"/>
      <c r="B141" s="21" t="s">
        <v>84</v>
      </c>
      <c r="C141" s="4" t="s">
        <v>3</v>
      </c>
      <c r="D141" s="22">
        <f>Mulanje!J141+Mulanje!K141+Mulanje!L141</f>
        <v>0</v>
      </c>
      <c r="E141" s="22">
        <f>Luchenza!J141+Luchenza!K141+Luchenza!L141</f>
        <v>0</v>
      </c>
      <c r="F141" s="22">
        <f>Thyolo!J141+Thyolo!K141+Thyolo!L141</f>
        <v>0</v>
      </c>
      <c r="G141" s="22">
        <f>Muloza!J141+Muloza!K141+Muloza!L141</f>
        <v>0</v>
      </c>
      <c r="H141" s="22">
        <f>MUST!J141+MUST!K141+MUST!L142</f>
        <v>0</v>
      </c>
      <c r="I141" s="22">
        <f>Phalombe!J141+Phalombe!K141+Phalombe!L141</f>
        <v>0</v>
      </c>
      <c r="J141" s="22">
        <f>Mikolongwe!J141+Mikolongwe!K141+Mikolongwe!L141</f>
        <v>0</v>
      </c>
      <c r="K141" s="22">
        <f>Migowi!J141+Migowi!K141+Migowi!L141</f>
        <v>0</v>
      </c>
      <c r="L141" s="16">
        <f>SUM(D141:K141)</f>
        <v>0</v>
      </c>
    </row>
    <row r="142" spans="1:12" ht="15.75" x14ac:dyDescent="0.25">
      <c r="A142" s="476"/>
      <c r="B142" s="21" t="s">
        <v>83</v>
      </c>
      <c r="C142" s="4" t="s">
        <v>3</v>
      </c>
      <c r="D142" s="22">
        <f>Mulanje!J142+Mulanje!K142+Mulanje!L142</f>
        <v>0</v>
      </c>
      <c r="E142" s="22">
        <f>Luchenza!J142+Luchenza!K142+Luchenza!L142</f>
        <v>0</v>
      </c>
      <c r="F142" s="22">
        <f>Thyolo!J142+Thyolo!K142+Thyolo!L142</f>
        <v>0</v>
      </c>
      <c r="G142" s="22">
        <f>Muloza!J142+Muloza!K142+Muloza!L142</f>
        <v>0</v>
      </c>
      <c r="H142" s="22">
        <f>MUST!J142+MUST!K142+MUST!L143</f>
        <v>0</v>
      </c>
      <c r="I142" s="22">
        <f>Phalombe!J142+Phalombe!K142+Phalombe!L142</f>
        <v>0</v>
      </c>
      <c r="J142" s="22">
        <f>Mikolongwe!J142+Mikolongwe!K142+Mikolongwe!L142</f>
        <v>0</v>
      </c>
      <c r="K142" s="22">
        <f>Migowi!J142+Migowi!K142+Migowi!L142</f>
        <v>0</v>
      </c>
      <c r="L142" s="16">
        <f>SUM(D142:K142)</f>
        <v>0</v>
      </c>
    </row>
    <row r="143" spans="1:12" ht="15.75" x14ac:dyDescent="0.25">
      <c r="A143" s="476"/>
      <c r="B143" s="21" t="s">
        <v>82</v>
      </c>
      <c r="C143" s="4" t="s">
        <v>3</v>
      </c>
      <c r="D143" s="22">
        <f>Mulanje!J143+Mulanje!K143+Mulanje!L143</f>
        <v>0</v>
      </c>
      <c r="E143" s="22">
        <f>Luchenza!J143+Luchenza!K143+Luchenza!L143</f>
        <v>0</v>
      </c>
      <c r="F143" s="22">
        <f>Thyolo!J143+Thyolo!K143+Thyolo!L143</f>
        <v>0</v>
      </c>
      <c r="G143" s="22">
        <f>Muloza!J143+Muloza!K143+Muloza!L143</f>
        <v>0</v>
      </c>
      <c r="H143" s="22">
        <f>MUST!J143+MUST!K143+MUST!L144</f>
        <v>0</v>
      </c>
      <c r="I143" s="22">
        <f>Phalombe!J143+Phalombe!K143+Phalombe!L143</f>
        <v>0</v>
      </c>
      <c r="J143" s="22">
        <f>Mikolongwe!J143+Mikolongwe!K143+Mikolongwe!L143</f>
        <v>0</v>
      </c>
      <c r="K143" s="22">
        <f>Migowi!J143+Migowi!K143+Migowi!L143</f>
        <v>0</v>
      </c>
      <c r="L143" s="16">
        <f>SUM(D143:K143)</f>
        <v>0</v>
      </c>
    </row>
    <row r="144" spans="1:12" ht="15.75" x14ac:dyDescent="0.25">
      <c r="A144" s="477"/>
      <c r="B144" s="21" t="s">
        <v>81</v>
      </c>
      <c r="C144" s="4" t="s">
        <v>3</v>
      </c>
      <c r="D144" s="126">
        <f t="shared" ref="D144:K144" si="52">D140+D141-D142-D143</f>
        <v>0</v>
      </c>
      <c r="E144" s="127">
        <f t="shared" si="52"/>
        <v>0</v>
      </c>
      <c r="F144" s="127">
        <f t="shared" si="52"/>
        <v>0</v>
      </c>
      <c r="G144" s="126">
        <f t="shared" si="52"/>
        <v>0</v>
      </c>
      <c r="H144" s="126">
        <f t="shared" si="52"/>
        <v>0</v>
      </c>
      <c r="I144" s="126">
        <f t="shared" si="52"/>
        <v>26</v>
      </c>
      <c r="J144" s="126">
        <f t="shared" si="52"/>
        <v>0</v>
      </c>
      <c r="K144" s="126">
        <f t="shared" si="52"/>
        <v>0</v>
      </c>
      <c r="L144" s="16">
        <f>L140+L141-L142-L143</f>
        <v>0</v>
      </c>
    </row>
    <row r="145" spans="1:12" ht="15.75" x14ac:dyDescent="0.25">
      <c r="A145" s="475" t="s">
        <v>86</v>
      </c>
      <c r="B145" s="21" t="s">
        <v>85</v>
      </c>
      <c r="C145" s="4" t="s">
        <v>3</v>
      </c>
      <c r="D145" s="125">
        <f t="shared" ref="D145:K148" si="53">D125+D130+D135+D140</f>
        <v>0</v>
      </c>
      <c r="E145" s="125">
        <f t="shared" si="53"/>
        <v>0</v>
      </c>
      <c r="F145" s="125">
        <f t="shared" si="53"/>
        <v>0</v>
      </c>
      <c r="G145" s="125">
        <f t="shared" si="53"/>
        <v>0</v>
      </c>
      <c r="H145" s="125">
        <f t="shared" si="53"/>
        <v>0</v>
      </c>
      <c r="I145" s="125">
        <f t="shared" si="53"/>
        <v>26</v>
      </c>
      <c r="J145" s="125">
        <f t="shared" si="53"/>
        <v>0</v>
      </c>
      <c r="K145" s="125">
        <f t="shared" si="53"/>
        <v>0</v>
      </c>
      <c r="L145" s="99">
        <f t="shared" ref="L145:L149" si="54">L125+L130+L135+L140</f>
        <v>0</v>
      </c>
    </row>
    <row r="146" spans="1:12" ht="15.75" x14ac:dyDescent="0.25">
      <c r="A146" s="476"/>
      <c r="B146" s="21" t="s">
        <v>84</v>
      </c>
      <c r="C146" s="4" t="s">
        <v>3</v>
      </c>
      <c r="D146" s="125">
        <f t="shared" si="53"/>
        <v>0</v>
      </c>
      <c r="E146" s="125">
        <f t="shared" si="53"/>
        <v>0</v>
      </c>
      <c r="F146" s="125">
        <f t="shared" si="53"/>
        <v>0</v>
      </c>
      <c r="G146" s="125">
        <f t="shared" si="53"/>
        <v>0</v>
      </c>
      <c r="H146" s="125">
        <f t="shared" si="53"/>
        <v>0</v>
      </c>
      <c r="I146" s="125">
        <f t="shared" si="53"/>
        <v>0</v>
      </c>
      <c r="J146" s="125">
        <f t="shared" si="53"/>
        <v>0</v>
      </c>
      <c r="K146" s="125">
        <f t="shared" si="53"/>
        <v>0</v>
      </c>
      <c r="L146" s="99">
        <f t="shared" si="54"/>
        <v>0</v>
      </c>
    </row>
    <row r="147" spans="1:12" ht="15.75" x14ac:dyDescent="0.25">
      <c r="A147" s="476"/>
      <c r="B147" s="21" t="s">
        <v>83</v>
      </c>
      <c r="C147" s="4" t="s">
        <v>3</v>
      </c>
      <c r="D147" s="125">
        <f t="shared" si="53"/>
        <v>0</v>
      </c>
      <c r="E147" s="125">
        <f t="shared" si="53"/>
        <v>0</v>
      </c>
      <c r="F147" s="125">
        <f t="shared" si="53"/>
        <v>0</v>
      </c>
      <c r="G147" s="125">
        <f t="shared" si="53"/>
        <v>0</v>
      </c>
      <c r="H147" s="125">
        <f t="shared" si="53"/>
        <v>0</v>
      </c>
      <c r="I147" s="125">
        <f t="shared" si="53"/>
        <v>0</v>
      </c>
      <c r="J147" s="125">
        <f t="shared" si="53"/>
        <v>0</v>
      </c>
      <c r="K147" s="125">
        <f t="shared" si="53"/>
        <v>0</v>
      </c>
      <c r="L147" s="99">
        <f t="shared" si="54"/>
        <v>0</v>
      </c>
    </row>
    <row r="148" spans="1:12" ht="15.75" x14ac:dyDescent="0.25">
      <c r="A148" s="476"/>
      <c r="B148" s="21" t="s">
        <v>82</v>
      </c>
      <c r="C148" s="4" t="s">
        <v>3</v>
      </c>
      <c r="D148" s="125">
        <f t="shared" si="53"/>
        <v>0</v>
      </c>
      <c r="E148" s="125">
        <f t="shared" si="53"/>
        <v>0</v>
      </c>
      <c r="F148" s="125">
        <f t="shared" si="53"/>
        <v>0</v>
      </c>
      <c r="G148" s="125">
        <f t="shared" si="53"/>
        <v>0</v>
      </c>
      <c r="H148" s="125">
        <f t="shared" si="53"/>
        <v>0</v>
      </c>
      <c r="I148" s="125">
        <f t="shared" si="53"/>
        <v>0</v>
      </c>
      <c r="J148" s="125">
        <f t="shared" si="53"/>
        <v>0</v>
      </c>
      <c r="K148" s="125">
        <f t="shared" si="53"/>
        <v>0</v>
      </c>
      <c r="L148" s="99">
        <f t="shared" si="54"/>
        <v>0</v>
      </c>
    </row>
    <row r="149" spans="1:12" ht="15.75" x14ac:dyDescent="0.25">
      <c r="A149" s="477"/>
      <c r="B149" s="21" t="s">
        <v>81</v>
      </c>
      <c r="C149" s="4" t="s">
        <v>3</v>
      </c>
      <c r="D149" s="126">
        <f t="shared" ref="D149:K149" si="55">D145+D146-D147-D148</f>
        <v>0</v>
      </c>
      <c r="E149" s="127">
        <f t="shared" si="55"/>
        <v>0</v>
      </c>
      <c r="F149" s="127">
        <f t="shared" si="55"/>
        <v>0</v>
      </c>
      <c r="G149" s="126">
        <f t="shared" si="55"/>
        <v>0</v>
      </c>
      <c r="H149" s="126">
        <f t="shared" si="55"/>
        <v>0</v>
      </c>
      <c r="I149" s="126">
        <f t="shared" si="55"/>
        <v>26</v>
      </c>
      <c r="J149" s="126">
        <f t="shared" si="55"/>
        <v>0</v>
      </c>
      <c r="K149" s="126">
        <f t="shared" si="55"/>
        <v>0</v>
      </c>
      <c r="L149" s="99">
        <f t="shared" si="54"/>
        <v>0</v>
      </c>
    </row>
    <row r="150" spans="1:12" x14ac:dyDescent="0.25">
      <c r="A150" s="442" t="s">
        <v>80</v>
      </c>
      <c r="B150" s="443"/>
      <c r="C150" s="443"/>
      <c r="D150" s="443"/>
      <c r="E150" s="443"/>
      <c r="F150" s="443"/>
      <c r="G150" s="443"/>
      <c r="H150" s="443"/>
      <c r="I150" s="443"/>
      <c r="J150" s="443"/>
      <c r="K150" s="443"/>
      <c r="L150" s="444"/>
    </row>
    <row r="151" spans="1:12" ht="15.6" customHeight="1" x14ac:dyDescent="0.25">
      <c r="A151" s="472" t="s">
        <v>79</v>
      </c>
      <c r="B151" s="473"/>
      <c r="C151" s="473"/>
      <c r="D151" s="473"/>
      <c r="E151" s="473"/>
      <c r="F151" s="473"/>
      <c r="G151" s="473"/>
      <c r="H151" s="473"/>
      <c r="I151" s="473"/>
      <c r="J151" s="473"/>
      <c r="K151" s="473"/>
      <c r="L151" s="474"/>
    </row>
    <row r="152" spans="1:12" ht="15.75" x14ac:dyDescent="0.25">
      <c r="A152" s="462" t="s">
        <v>78</v>
      </c>
      <c r="B152" s="81" t="s">
        <v>63</v>
      </c>
      <c r="C152" s="4"/>
      <c r="D152" s="161"/>
      <c r="E152" s="161"/>
      <c r="F152" s="161"/>
      <c r="G152" s="161"/>
      <c r="H152" s="161"/>
      <c r="I152" s="161"/>
      <c r="J152" s="162"/>
      <c r="K152" s="162"/>
      <c r="L152" s="8"/>
    </row>
    <row r="153" spans="1:12" ht="15.75" x14ac:dyDescent="0.25">
      <c r="A153" s="463"/>
      <c r="B153" s="17" t="s">
        <v>73</v>
      </c>
      <c r="C153" s="4" t="s">
        <v>57</v>
      </c>
      <c r="D153" s="22">
        <f>Mulanje!J153+Mulanje!K153+Mulanje!L153</f>
        <v>0</v>
      </c>
      <c r="E153" s="22">
        <f>Luchenza!J153+Luchenza!K153+Luchenza!L153</f>
        <v>0</v>
      </c>
      <c r="F153" s="22">
        <f>Thyolo!J153+Thyolo!K153+Thyolo!L153</f>
        <v>0</v>
      </c>
      <c r="G153" s="22">
        <f>Muloza!J153+Muloza!K153+Muloza!L153</f>
        <v>0</v>
      </c>
      <c r="H153" s="22">
        <f>Muloza!K153+Muloza!L153+Muloza!M153</f>
        <v>0</v>
      </c>
      <c r="I153" s="22">
        <f>Phalombe!J153+Phalombe!K153+Phalombe!L153</f>
        <v>0</v>
      </c>
      <c r="J153" s="22">
        <f>Mikolongwe!J153+Mikolongwe!K153+Mikolongwe!L153</f>
        <v>0</v>
      </c>
      <c r="K153" s="22">
        <f>Migowi!J153+Migowi!K153+Migowi!L153</f>
        <v>0</v>
      </c>
      <c r="L153" s="16">
        <f t="shared" ref="L153:L165" si="56">SUM(D153:K153)</f>
        <v>0</v>
      </c>
    </row>
    <row r="154" spans="1:12" ht="15.75" x14ac:dyDescent="0.25">
      <c r="A154" s="463"/>
      <c r="B154" s="17" t="s">
        <v>72</v>
      </c>
      <c r="C154" s="4" t="s">
        <v>57</v>
      </c>
      <c r="D154" s="22">
        <f>Mulanje!J154+Mulanje!K154+Mulanje!L154</f>
        <v>0</v>
      </c>
      <c r="E154" s="22">
        <f>Luchenza!J154+Luchenza!K154+Luchenza!L154</f>
        <v>0</v>
      </c>
      <c r="F154" s="22">
        <f>Thyolo!J154+Thyolo!K154+Thyolo!L154</f>
        <v>0</v>
      </c>
      <c r="G154" s="22">
        <f>Muloza!J154+Muloza!K154+Muloza!L154</f>
        <v>0</v>
      </c>
      <c r="H154" s="22">
        <f>MUST!J154+MUST!K154+MUST!L154</f>
        <v>0</v>
      </c>
      <c r="I154" s="22">
        <f>Phalombe!J154+Phalombe!K154+Phalombe!L154</f>
        <v>0</v>
      </c>
      <c r="J154" s="22">
        <f>Mikolongwe!J154+Mikolongwe!K154+Mikolongwe!L154</f>
        <v>0</v>
      </c>
      <c r="K154" s="22">
        <f>Migowi!J154+Migowi!K154+Migowi!L154</f>
        <v>0</v>
      </c>
      <c r="L154" s="16">
        <f t="shared" si="56"/>
        <v>0</v>
      </c>
    </row>
    <row r="155" spans="1:12" ht="15.75" x14ac:dyDescent="0.25">
      <c r="A155" s="463"/>
      <c r="B155" s="17" t="s">
        <v>53</v>
      </c>
      <c r="C155" s="4" t="s">
        <v>57</v>
      </c>
      <c r="D155" s="22">
        <f>Mulanje!J155+Mulanje!K155+Mulanje!L155</f>
        <v>0</v>
      </c>
      <c r="E155" s="22">
        <f>Luchenza!J155+Luchenza!K155+Luchenza!L155</f>
        <v>0</v>
      </c>
      <c r="F155" s="22">
        <f>Thyolo!J155+Thyolo!K155+Thyolo!L155</f>
        <v>0</v>
      </c>
      <c r="G155" s="22">
        <f>Muloza!J155+Muloza!K155+Muloza!L155</f>
        <v>0</v>
      </c>
      <c r="H155" s="22">
        <f>MUST!J155+MUST!K155+MUST!L155</f>
        <v>0</v>
      </c>
      <c r="I155" s="22">
        <f>Phalombe!J155+Phalombe!K155+Phalombe!L155</f>
        <v>0</v>
      </c>
      <c r="J155" s="22">
        <f>Mikolongwe!J155+Mikolongwe!K155+Mikolongwe!L155</f>
        <v>0</v>
      </c>
      <c r="K155" s="22">
        <f>Migowi!J155+Migowi!K155+Migowi!L155</f>
        <v>0</v>
      </c>
      <c r="L155" s="16">
        <f t="shared" si="56"/>
        <v>0</v>
      </c>
    </row>
    <row r="156" spans="1:12" ht="15.75" x14ac:dyDescent="0.25">
      <c r="A156" s="463"/>
      <c r="B156" s="17" t="s">
        <v>71</v>
      </c>
      <c r="C156" s="4" t="s">
        <v>57</v>
      </c>
      <c r="D156" s="22">
        <f>Mulanje!J156+Mulanje!K156+Mulanje!L156</f>
        <v>0</v>
      </c>
      <c r="E156" s="22">
        <f>Luchenza!J156+Luchenza!K156+Luchenza!L156</f>
        <v>0</v>
      </c>
      <c r="F156" s="22">
        <f>Thyolo!J156+Thyolo!K156+Thyolo!L156</f>
        <v>0</v>
      </c>
      <c r="G156" s="22">
        <f>Muloza!J156+Muloza!K156+Muloza!L156</f>
        <v>0</v>
      </c>
      <c r="H156" s="22">
        <f>MUST!J156+MUST!K156+MUST!L156</f>
        <v>0</v>
      </c>
      <c r="I156" s="22">
        <f>Phalombe!J156+Phalombe!K156+Phalombe!L156</f>
        <v>0</v>
      </c>
      <c r="J156" s="22">
        <f>Mikolongwe!J156+Mikolongwe!K156+Mikolongwe!L156</f>
        <v>0</v>
      </c>
      <c r="K156" s="22">
        <f>Migowi!J156+Migowi!K156+Migowi!L156</f>
        <v>0</v>
      </c>
      <c r="L156" s="16">
        <f t="shared" si="56"/>
        <v>0</v>
      </c>
    </row>
    <row r="157" spans="1:12" ht="15.75" x14ac:dyDescent="0.25">
      <c r="A157" s="463"/>
      <c r="B157" s="17" t="s">
        <v>52</v>
      </c>
      <c r="C157" s="4" t="s">
        <v>57</v>
      </c>
      <c r="D157" s="22">
        <f>Mulanje!J157+Mulanje!K157+Mulanje!L157</f>
        <v>0</v>
      </c>
      <c r="E157" s="22">
        <f>Luchenza!J157+Luchenza!K157+Luchenza!L157</f>
        <v>0</v>
      </c>
      <c r="F157" s="22">
        <f>Thyolo!J157+Thyolo!K157+Thyolo!L157</f>
        <v>0</v>
      </c>
      <c r="G157" s="22">
        <f>Muloza!J157+Muloza!K157+Muloza!L157</f>
        <v>0</v>
      </c>
      <c r="H157" s="22">
        <f>MUST!J157+MUST!K157+MUST!L157</f>
        <v>0</v>
      </c>
      <c r="I157" s="22">
        <f>Phalombe!J157+Phalombe!K157+Phalombe!L157</f>
        <v>0</v>
      </c>
      <c r="J157" s="22">
        <f>Mikolongwe!J157+Mikolongwe!K157+Mikolongwe!L157</f>
        <v>0</v>
      </c>
      <c r="K157" s="22">
        <f>Migowi!J157+Migowi!K157+Migowi!L157</f>
        <v>0</v>
      </c>
      <c r="L157" s="16">
        <f t="shared" si="56"/>
        <v>0</v>
      </c>
    </row>
    <row r="158" spans="1:12" ht="15.75" x14ac:dyDescent="0.25">
      <c r="A158" s="463"/>
      <c r="B158" s="17" t="s">
        <v>51</v>
      </c>
      <c r="C158" s="4" t="s">
        <v>57</v>
      </c>
      <c r="D158" s="22">
        <f>Mulanje!J158+Mulanje!K158+Mulanje!L158</f>
        <v>0</v>
      </c>
      <c r="E158" s="22">
        <f>Luchenza!J158+Luchenza!K158+Luchenza!L158</f>
        <v>0</v>
      </c>
      <c r="F158" s="22">
        <f>Thyolo!J158+Thyolo!K158+Thyolo!L158</f>
        <v>0</v>
      </c>
      <c r="G158" s="22">
        <f>Muloza!J158+Muloza!K158+Muloza!L158</f>
        <v>0</v>
      </c>
      <c r="H158" s="22">
        <f>MUST!J158+MUST!K158+MUST!L158</f>
        <v>0</v>
      </c>
      <c r="I158" s="22">
        <f>Phalombe!J158+Phalombe!K158+Phalombe!L158</f>
        <v>0</v>
      </c>
      <c r="J158" s="22">
        <f>Mikolongwe!J158+Mikolongwe!K158+Mikolongwe!L158</f>
        <v>0</v>
      </c>
      <c r="K158" s="22">
        <f>Migowi!J158+Migowi!K158+Migowi!L158</f>
        <v>0</v>
      </c>
      <c r="L158" s="16">
        <f t="shared" si="56"/>
        <v>0</v>
      </c>
    </row>
    <row r="159" spans="1:12" ht="15.75" x14ac:dyDescent="0.25">
      <c r="A159" s="463"/>
      <c r="B159" s="17" t="s">
        <v>62</v>
      </c>
      <c r="C159" s="4" t="s">
        <v>57</v>
      </c>
      <c r="D159" s="22">
        <f>Mulanje!J159+Mulanje!K159+Mulanje!L159</f>
        <v>0</v>
      </c>
      <c r="E159" s="22">
        <f>Luchenza!J159+Luchenza!K159+Luchenza!L159</f>
        <v>0</v>
      </c>
      <c r="F159" s="22">
        <f>Thyolo!J159+Thyolo!K159+Thyolo!L159</f>
        <v>0</v>
      </c>
      <c r="G159" s="22">
        <f>Muloza!J159+Muloza!K159+Muloza!L159</f>
        <v>0</v>
      </c>
      <c r="H159" s="22">
        <f>MUST!J159+MUST!K159+MUST!L159</f>
        <v>0</v>
      </c>
      <c r="I159" s="22">
        <f>Phalombe!J159+Phalombe!K159+Phalombe!L159</f>
        <v>0</v>
      </c>
      <c r="J159" s="22">
        <f>Mikolongwe!J159+Mikolongwe!K159+Mikolongwe!L159</f>
        <v>0</v>
      </c>
      <c r="K159" s="22">
        <f>Migowi!J159+Migowi!K159+Migowi!L159</f>
        <v>0</v>
      </c>
      <c r="L159" s="16">
        <f t="shared" si="56"/>
        <v>0</v>
      </c>
    </row>
    <row r="160" spans="1:12" ht="15.75" x14ac:dyDescent="0.25">
      <c r="A160" s="463"/>
      <c r="B160" s="17" t="s">
        <v>50</v>
      </c>
      <c r="C160" s="4" t="s">
        <v>57</v>
      </c>
      <c r="D160" s="22">
        <f>Mulanje!J160+Mulanje!K160+Mulanje!L160</f>
        <v>0</v>
      </c>
      <c r="E160" s="22">
        <f>Luchenza!J160+Luchenza!K160+Luchenza!L160</f>
        <v>0</v>
      </c>
      <c r="F160" s="22">
        <f>Thyolo!J160+Thyolo!K160+Thyolo!L160</f>
        <v>0</v>
      </c>
      <c r="G160" s="22">
        <f>Muloza!J160+Muloza!K160+Muloza!L160</f>
        <v>0</v>
      </c>
      <c r="H160" s="22">
        <f>MUST!J160+MUST!K160+MUST!L160</f>
        <v>0</v>
      </c>
      <c r="I160" s="22">
        <f>Phalombe!J160+Phalombe!K160+Phalombe!L160</f>
        <v>0</v>
      </c>
      <c r="J160" s="22">
        <f>Mikolongwe!J160+Mikolongwe!K160+Mikolongwe!L160</f>
        <v>0</v>
      </c>
      <c r="K160" s="22">
        <f>Migowi!J160+Migowi!K160+Migowi!L160</f>
        <v>0</v>
      </c>
      <c r="L160" s="16">
        <f t="shared" si="56"/>
        <v>0</v>
      </c>
    </row>
    <row r="161" spans="1:12" ht="15.75" x14ac:dyDescent="0.25">
      <c r="A161" s="463"/>
      <c r="B161" s="17" t="s">
        <v>49</v>
      </c>
      <c r="C161" s="4" t="s">
        <v>57</v>
      </c>
      <c r="D161" s="22">
        <f>Mulanje!J161+Mulanje!K161+Mulanje!L161</f>
        <v>0</v>
      </c>
      <c r="E161" s="22">
        <f>Luchenza!J161+Luchenza!K161+Luchenza!L161</f>
        <v>0</v>
      </c>
      <c r="F161" s="22">
        <f>Thyolo!J161+Thyolo!K161+Thyolo!L161</f>
        <v>0</v>
      </c>
      <c r="G161" s="22">
        <f>Muloza!J161+Muloza!K161+Muloza!L161</f>
        <v>0</v>
      </c>
      <c r="H161" s="22">
        <f>MUST!J161+MUST!K161+MUST!L161</f>
        <v>0</v>
      </c>
      <c r="I161" s="22">
        <f>Phalombe!J161+Phalombe!K161+Phalombe!L161</f>
        <v>0</v>
      </c>
      <c r="J161" s="22">
        <f>Mikolongwe!J161+Mikolongwe!K161+Mikolongwe!L161</f>
        <v>0</v>
      </c>
      <c r="K161" s="22">
        <f>Migowi!J161+Migowi!K161+Migowi!L161</f>
        <v>0</v>
      </c>
      <c r="L161" s="16">
        <f t="shared" si="56"/>
        <v>0</v>
      </c>
    </row>
    <row r="162" spans="1:12" ht="15.75" x14ac:dyDescent="0.25">
      <c r="A162" s="463"/>
      <c r="B162" s="17" t="s">
        <v>77</v>
      </c>
      <c r="C162" s="4" t="s">
        <v>57</v>
      </c>
      <c r="D162" s="22">
        <f>Mulanje!J162+Mulanje!K162+Mulanje!L162</f>
        <v>0</v>
      </c>
      <c r="E162" s="22">
        <f>Luchenza!J162+Luchenza!K162+Luchenza!L162</f>
        <v>0</v>
      </c>
      <c r="F162" s="22">
        <f>Thyolo!J162+Thyolo!K162+Thyolo!L162</f>
        <v>0</v>
      </c>
      <c r="G162" s="22">
        <f>Muloza!J162+Muloza!K162+Muloza!L162</f>
        <v>0</v>
      </c>
      <c r="H162" s="22">
        <f>MUST!J162+MUST!K162+MUST!L162</f>
        <v>0</v>
      </c>
      <c r="I162" s="22">
        <f>Phalombe!J162+Phalombe!K162+Phalombe!L162</f>
        <v>0</v>
      </c>
      <c r="J162" s="22">
        <f>Mikolongwe!J162+Mikolongwe!K162+Mikolongwe!L162</f>
        <v>0</v>
      </c>
      <c r="K162" s="22">
        <f>Migowi!J162+Migowi!K162+Migowi!L162</f>
        <v>0</v>
      </c>
      <c r="L162" s="16">
        <f t="shared" si="56"/>
        <v>0</v>
      </c>
    </row>
    <row r="163" spans="1:12" ht="15.75" x14ac:dyDescent="0.25">
      <c r="A163" s="463"/>
      <c r="B163" s="17" t="s">
        <v>69</v>
      </c>
      <c r="C163" s="4" t="s">
        <v>57</v>
      </c>
      <c r="D163" s="22">
        <f>Mulanje!J163+Mulanje!K163+Mulanje!L163</f>
        <v>0</v>
      </c>
      <c r="E163" s="22">
        <f>Luchenza!J163+Luchenza!K163+Luchenza!L163</f>
        <v>0</v>
      </c>
      <c r="F163" s="22">
        <f>Thyolo!J163+Thyolo!K163+Thyolo!L163</f>
        <v>0</v>
      </c>
      <c r="G163" s="22">
        <f>Muloza!J163+Muloza!K163+Muloza!L163</f>
        <v>0</v>
      </c>
      <c r="H163" s="22">
        <f>MUST!J163+MUST!K163+MUST!L163</f>
        <v>0</v>
      </c>
      <c r="I163" s="22">
        <f>Phalombe!J163+Phalombe!K163+Phalombe!L163</f>
        <v>0</v>
      </c>
      <c r="J163" s="22">
        <f>Mikolongwe!J163+Mikolongwe!K163+Mikolongwe!L163</f>
        <v>0</v>
      </c>
      <c r="K163" s="22">
        <f>Migowi!J163+Migowi!K163+Migowi!L163</f>
        <v>0</v>
      </c>
      <c r="L163" s="16">
        <f t="shared" si="56"/>
        <v>0</v>
      </c>
    </row>
    <row r="164" spans="1:12" ht="15.75" x14ac:dyDescent="0.25">
      <c r="A164" s="463"/>
      <c r="B164" s="17" t="s">
        <v>68</v>
      </c>
      <c r="C164" s="4" t="s">
        <v>57</v>
      </c>
      <c r="D164" s="22">
        <f>Mulanje!J164+Mulanje!K164+Mulanje!L164</f>
        <v>0</v>
      </c>
      <c r="E164" s="22">
        <f>Luchenza!J164+Luchenza!K164+Luchenza!L164</f>
        <v>0</v>
      </c>
      <c r="F164" s="22">
        <f>Thyolo!J164+Thyolo!K164+Thyolo!L164</f>
        <v>0</v>
      </c>
      <c r="G164" s="22">
        <f>Muloza!J164+Muloza!K164+Muloza!L164</f>
        <v>0</v>
      </c>
      <c r="H164" s="22">
        <f>MUST!J164+MUST!K164+MUST!L164</f>
        <v>0</v>
      </c>
      <c r="I164" s="22">
        <f>Phalombe!J164+Phalombe!K164+Phalombe!L164</f>
        <v>0</v>
      </c>
      <c r="J164" s="22">
        <f>Mikolongwe!J164+Mikolongwe!K164+Mikolongwe!L164</f>
        <v>0</v>
      </c>
      <c r="K164" s="22">
        <f>Migowi!J164+Migowi!K164+Migowi!L164</f>
        <v>0</v>
      </c>
      <c r="L164" s="16">
        <f t="shared" si="56"/>
        <v>0</v>
      </c>
    </row>
    <row r="165" spans="1:12" ht="15.75" x14ac:dyDescent="0.25">
      <c r="A165" s="464"/>
      <c r="B165" s="17" t="s">
        <v>76</v>
      </c>
      <c r="C165" s="4" t="s">
        <v>57</v>
      </c>
      <c r="D165" s="22">
        <f>Mulanje!J165+Mulanje!K165+Mulanje!L165</f>
        <v>0</v>
      </c>
      <c r="E165" s="22">
        <f>Luchenza!J165+Luchenza!K165+Luchenza!L165</f>
        <v>0</v>
      </c>
      <c r="F165" s="22">
        <f>Thyolo!J165+Thyolo!K165+Thyolo!L165</f>
        <v>0</v>
      </c>
      <c r="G165" s="22">
        <f>Muloza!J165+Muloza!K165+Muloza!L165</f>
        <v>0</v>
      </c>
      <c r="H165" s="22">
        <f>MUST!J165+MUST!K165+MUST!L165</f>
        <v>0</v>
      </c>
      <c r="I165" s="22">
        <f>Phalombe!J165+Phalombe!K165+Phalombe!L165</f>
        <v>0</v>
      </c>
      <c r="J165" s="22">
        <f>Mikolongwe!J165+Mikolongwe!K165+Mikolongwe!L165</f>
        <v>0</v>
      </c>
      <c r="K165" s="22">
        <f>Migowi!J165+Migowi!K165+Migowi!L165</f>
        <v>0</v>
      </c>
      <c r="L165" s="16">
        <f t="shared" si="56"/>
        <v>0</v>
      </c>
    </row>
    <row r="166" spans="1:12" ht="15.75" x14ac:dyDescent="0.25">
      <c r="A166" s="46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75" x14ac:dyDescent="0.25">
      <c r="A167" s="463"/>
      <c r="B167" s="17" t="s">
        <v>74</v>
      </c>
      <c r="C167" s="4" t="s">
        <v>57</v>
      </c>
      <c r="D167" s="22">
        <f>Mulanje!J167+Mulanje!K167+Mulanje!L167</f>
        <v>0</v>
      </c>
      <c r="E167" s="22">
        <f>Luchenza!J167+Luchenza!K167+Luchenza!L167</f>
        <v>0</v>
      </c>
      <c r="F167" s="22">
        <f>Thyolo!J167+Thyolo!K167+Thyolo!L167</f>
        <v>0</v>
      </c>
      <c r="G167" s="22">
        <f>Muloza!J167+Muloza!K167+Muloza!L167</f>
        <v>0</v>
      </c>
      <c r="H167" s="22">
        <f>MUST!J167+MUST!K167+MUST!L167</f>
        <v>0</v>
      </c>
      <c r="I167" s="22">
        <f>Phalombe!J167+Phalombe!K167+Phalombe!L167</f>
        <v>0</v>
      </c>
      <c r="J167" s="22">
        <f>Mikolongwe!J167+Mikolongwe!K167+Mikolongwe!L167</f>
        <v>0</v>
      </c>
      <c r="K167" s="22">
        <f>Migowi!J167+Migowi!K167+Migowi!L167</f>
        <v>0</v>
      </c>
      <c r="L167" s="16">
        <f t="shared" ref="L167:L175" si="57">SUM(D167:K167)</f>
        <v>0</v>
      </c>
    </row>
    <row r="168" spans="1:12" ht="15.75" x14ac:dyDescent="0.25">
      <c r="A168" s="463"/>
      <c r="B168" s="17" t="s">
        <v>73</v>
      </c>
      <c r="C168" s="4" t="s">
        <v>57</v>
      </c>
      <c r="D168" s="22">
        <f>Mulanje!J168+Mulanje!K168+Mulanje!L168</f>
        <v>0</v>
      </c>
      <c r="E168" s="22">
        <f>Luchenza!J168+Luchenza!K168+Luchenza!L168</f>
        <v>0</v>
      </c>
      <c r="F168" s="22">
        <f>Thyolo!J168+Thyolo!K168+Thyolo!L168</f>
        <v>0</v>
      </c>
      <c r="G168" s="22">
        <f>Muloza!J168+Muloza!K168+Muloza!L168</f>
        <v>0</v>
      </c>
      <c r="H168" s="22">
        <f>MUST!J168+MUST!K168+MUST!L168</f>
        <v>0</v>
      </c>
      <c r="I168" s="22">
        <f>Phalombe!J168+Phalombe!K168+Phalombe!L168</f>
        <v>0</v>
      </c>
      <c r="J168" s="22">
        <f>Mikolongwe!J168+Mikolongwe!K168+Mikolongwe!L168</f>
        <v>0</v>
      </c>
      <c r="K168" s="22">
        <f>Migowi!J168+Migowi!K168+Migowi!L168</f>
        <v>0</v>
      </c>
      <c r="L168" s="16">
        <f t="shared" si="57"/>
        <v>0</v>
      </c>
    </row>
    <row r="169" spans="1:12" ht="15.75" x14ac:dyDescent="0.25">
      <c r="A169" s="463"/>
      <c r="B169" s="17" t="s">
        <v>72</v>
      </c>
      <c r="C169" s="4" t="s">
        <v>57</v>
      </c>
      <c r="D169" s="22">
        <f>Mulanje!J169+Mulanje!K169+Mulanje!L169</f>
        <v>0</v>
      </c>
      <c r="E169" s="22">
        <f>Luchenza!J169+Luchenza!K169+Luchenza!L169</f>
        <v>0</v>
      </c>
      <c r="F169" s="22">
        <f>Thyolo!J169+Thyolo!K169+Thyolo!L169</f>
        <v>0</v>
      </c>
      <c r="G169" s="22">
        <f>Muloza!J169+Muloza!K169+Muloza!L169</f>
        <v>0</v>
      </c>
      <c r="H169" s="22">
        <f>MUST!J169+MUST!K169+MUST!L169</f>
        <v>0</v>
      </c>
      <c r="I169" s="22">
        <f>Phalombe!J169+Phalombe!K169+Phalombe!L169</f>
        <v>0</v>
      </c>
      <c r="J169" s="22">
        <f>Mikolongwe!J169+Mikolongwe!K169+Mikolongwe!L169</f>
        <v>0</v>
      </c>
      <c r="K169" s="22">
        <f>Migowi!J169+Migowi!K169+Migowi!L169</f>
        <v>0</v>
      </c>
      <c r="L169" s="16">
        <f t="shared" si="57"/>
        <v>0</v>
      </c>
    </row>
    <row r="170" spans="1:12" ht="15.75" x14ac:dyDescent="0.25">
      <c r="A170" s="463"/>
      <c r="B170" s="17" t="s">
        <v>71</v>
      </c>
      <c r="C170" s="4" t="s">
        <v>57</v>
      </c>
      <c r="D170" s="22">
        <f>Mulanje!J170+Mulanje!K170+Mulanje!L170</f>
        <v>0</v>
      </c>
      <c r="E170" s="22">
        <f>Luchenza!J170+Luchenza!K170+Luchenza!L170</f>
        <v>0</v>
      </c>
      <c r="F170" s="22">
        <f>Thyolo!J170+Thyolo!K170+Thyolo!L170</f>
        <v>0</v>
      </c>
      <c r="G170" s="22">
        <f>Muloza!J170+Muloza!K170+Muloza!L170</f>
        <v>0</v>
      </c>
      <c r="H170" s="22">
        <f>MUST!J170+MUST!K170+MUST!L170</f>
        <v>0</v>
      </c>
      <c r="I170" s="22">
        <f>Phalombe!J170+Phalombe!K170+Phalombe!L170</f>
        <v>0</v>
      </c>
      <c r="J170" s="22">
        <f>Mikolongwe!J170+Mikolongwe!K170+Mikolongwe!L170</f>
        <v>0</v>
      </c>
      <c r="K170" s="22">
        <f>Migowi!J170+Migowi!K170+Migowi!L170</f>
        <v>0</v>
      </c>
      <c r="L170" s="16">
        <f t="shared" si="57"/>
        <v>0</v>
      </c>
    </row>
    <row r="171" spans="1:12" ht="15.75" x14ac:dyDescent="0.25">
      <c r="A171" s="463"/>
      <c r="B171" s="17" t="s">
        <v>52</v>
      </c>
      <c r="C171" s="4" t="s">
        <v>57</v>
      </c>
      <c r="D171" s="22">
        <f>Mulanje!J171+Mulanje!K171+Mulanje!L171</f>
        <v>0</v>
      </c>
      <c r="E171" s="22">
        <f>Luchenza!J171+Luchenza!K171+Luchenza!L171</f>
        <v>0</v>
      </c>
      <c r="F171" s="22">
        <f>Thyolo!J171+Thyolo!K171+Thyolo!L171</f>
        <v>0</v>
      </c>
      <c r="G171" s="22">
        <f>Muloza!J171+Muloza!K171+Muloza!L171</f>
        <v>0</v>
      </c>
      <c r="H171" s="22">
        <f>MUST!J171+MUST!K171+MUST!L171</f>
        <v>0</v>
      </c>
      <c r="I171" s="22">
        <f>Phalombe!J171+Phalombe!K171+Phalombe!L171</f>
        <v>0</v>
      </c>
      <c r="J171" s="22">
        <f>Mikolongwe!J171+Mikolongwe!K171+Mikolongwe!L171</f>
        <v>0</v>
      </c>
      <c r="K171" s="22">
        <f>Migowi!J171+Migowi!K171+Migowi!L171</f>
        <v>0</v>
      </c>
      <c r="L171" s="16">
        <f t="shared" si="57"/>
        <v>0</v>
      </c>
    </row>
    <row r="172" spans="1:12" ht="15.75" x14ac:dyDescent="0.25">
      <c r="A172" s="463"/>
      <c r="B172" s="17" t="s">
        <v>62</v>
      </c>
      <c r="C172" s="4" t="s">
        <v>57</v>
      </c>
      <c r="D172" s="22">
        <f>Mulanje!J172+Mulanje!K172+Mulanje!L172</f>
        <v>0</v>
      </c>
      <c r="E172" s="22">
        <f>Luchenza!J172+Luchenza!K172+Luchenza!L172</f>
        <v>0</v>
      </c>
      <c r="F172" s="22">
        <f>Thyolo!J172+Thyolo!K172+Thyolo!L172</f>
        <v>0</v>
      </c>
      <c r="G172" s="22">
        <f>Muloza!J172+Muloza!K172+Muloza!L172</f>
        <v>0</v>
      </c>
      <c r="H172" s="22">
        <f>MUST!J172+MUST!K172+MUST!L172</f>
        <v>0</v>
      </c>
      <c r="I172" s="22">
        <f>Phalombe!J172+Phalombe!K172+Phalombe!L172</f>
        <v>0</v>
      </c>
      <c r="J172" s="22">
        <f>Mikolongwe!J172+Mikolongwe!K172+Mikolongwe!L172</f>
        <v>0</v>
      </c>
      <c r="K172" s="22">
        <f>Migowi!J172+Migowi!K172+Migowi!L172</f>
        <v>0</v>
      </c>
      <c r="L172" s="16">
        <f t="shared" si="57"/>
        <v>0</v>
      </c>
    </row>
    <row r="173" spans="1:12" ht="15.75" x14ac:dyDescent="0.25">
      <c r="A173" s="463"/>
      <c r="B173" s="17" t="s">
        <v>61</v>
      </c>
      <c r="C173" s="4" t="s">
        <v>57</v>
      </c>
      <c r="D173" s="22">
        <f>Mulanje!J173+Mulanje!K173+Mulanje!L173</f>
        <v>0</v>
      </c>
      <c r="E173" s="22">
        <f>Luchenza!J173+Luchenza!K173+Luchenza!L173</f>
        <v>0</v>
      </c>
      <c r="F173" s="22">
        <f>Thyolo!J173+Thyolo!K173+Thyolo!L173</f>
        <v>0</v>
      </c>
      <c r="G173" s="22">
        <f>Muloza!J173+Muloza!K173+Muloza!L173</f>
        <v>0</v>
      </c>
      <c r="H173" s="22">
        <f>MUST!J173+MUST!K173+MUST!L173</f>
        <v>0</v>
      </c>
      <c r="I173" s="22">
        <f>Phalombe!J173+Phalombe!K173+Phalombe!L173</f>
        <v>0</v>
      </c>
      <c r="J173" s="22">
        <f>Mikolongwe!J173+Mikolongwe!K173+Mikolongwe!L173</f>
        <v>0</v>
      </c>
      <c r="K173" s="22">
        <f>Migowi!J173+Migowi!K173+Migowi!L173</f>
        <v>0</v>
      </c>
      <c r="L173" s="16">
        <f t="shared" si="57"/>
        <v>0</v>
      </c>
    </row>
    <row r="174" spans="1:12" ht="15.75" x14ac:dyDescent="0.25">
      <c r="A174" s="463"/>
      <c r="B174" s="17" t="s">
        <v>60</v>
      </c>
      <c r="C174" s="4" t="s">
        <v>57</v>
      </c>
      <c r="D174" s="22">
        <f>Mulanje!J174+Mulanje!K174+Mulanje!L174</f>
        <v>0</v>
      </c>
      <c r="E174" s="22">
        <f>Luchenza!J174+Luchenza!K174+Luchenza!L174</f>
        <v>0</v>
      </c>
      <c r="F174" s="22">
        <f>Thyolo!J174+Thyolo!K174+Thyolo!L174</f>
        <v>0</v>
      </c>
      <c r="G174" s="22">
        <f>Muloza!J174+Muloza!K174+Muloza!L174</f>
        <v>0</v>
      </c>
      <c r="H174" s="22">
        <f>MUST!J174+MUST!K174+MUST!L174</f>
        <v>0</v>
      </c>
      <c r="I174" s="22">
        <f>Phalombe!J174+Phalombe!K174+Phalombe!L174</f>
        <v>0</v>
      </c>
      <c r="J174" s="22">
        <f>Mikolongwe!J174+Mikolongwe!K174+Mikolongwe!L174</f>
        <v>0</v>
      </c>
      <c r="K174" s="22">
        <f>Migowi!J174+Migowi!K174+Migowi!L174</f>
        <v>0</v>
      </c>
      <c r="L174" s="16">
        <f t="shared" si="57"/>
        <v>0</v>
      </c>
    </row>
    <row r="175" spans="1:12" ht="15.75" x14ac:dyDescent="0.25">
      <c r="A175" s="464"/>
      <c r="B175" s="17" t="s">
        <v>69</v>
      </c>
      <c r="C175" s="4" t="s">
        <v>57</v>
      </c>
      <c r="D175" s="22">
        <f>Mulanje!J175+Mulanje!K175+Mulanje!L175</f>
        <v>0</v>
      </c>
      <c r="E175" s="22">
        <f>Luchenza!J175+Luchenza!K175+Luchenza!L175</f>
        <v>0</v>
      </c>
      <c r="F175" s="22">
        <f>Thyolo!J175+Thyolo!K175+Thyolo!L175</f>
        <v>0</v>
      </c>
      <c r="G175" s="22">
        <f>Muloza!J175+Muloza!K175+Muloza!L175</f>
        <v>0</v>
      </c>
      <c r="H175" s="22">
        <f>MUST!J175+MUST!K175+MUST!L175</f>
        <v>0</v>
      </c>
      <c r="I175" s="22">
        <f>Phalombe!J175+Phalombe!K175+Phalombe!L175</f>
        <v>0</v>
      </c>
      <c r="J175" s="22">
        <f>Mikolongwe!J175+Mikolongwe!K175+Mikolongwe!L175</f>
        <v>0</v>
      </c>
      <c r="K175" s="22">
        <f>Migowi!J175+Migowi!K175+Migowi!L175</f>
        <v>0</v>
      </c>
      <c r="L175" s="16">
        <f t="shared" si="57"/>
        <v>0</v>
      </c>
    </row>
    <row r="176" spans="1:12" ht="15.75" x14ac:dyDescent="0.25">
      <c r="A176" s="46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75" x14ac:dyDescent="0.25">
      <c r="A177" s="463"/>
      <c r="B177" s="17" t="s">
        <v>60</v>
      </c>
      <c r="C177" s="4" t="s">
        <v>57</v>
      </c>
      <c r="D177" s="22">
        <f>Mulanje!J177+Mulanje!K177+Mulanje!L177</f>
        <v>0</v>
      </c>
      <c r="E177" s="22">
        <f>Luchenza!J177+Luchenza!K177+Luchenza!L177</f>
        <v>0</v>
      </c>
      <c r="F177" s="22">
        <f>Thyolo!J177+Thyolo!K177+Thyolo!L177</f>
        <v>0</v>
      </c>
      <c r="G177" s="22">
        <f>Muloza!J177+Muloza!K177+Muloza!L177</f>
        <v>0</v>
      </c>
      <c r="H177" s="22">
        <f>MUST!J177+MUST!K177+MUST!L177</f>
        <v>0</v>
      </c>
      <c r="I177" s="22">
        <f>Phalombe!J177+Phalombe!K177+Phalombe!L177</f>
        <v>0</v>
      </c>
      <c r="J177" s="22">
        <f>Mikolongwe!J177+Mikolongwe!K177+Mikolongwe!L177</f>
        <v>0</v>
      </c>
      <c r="K177" s="22">
        <f>Migowi!J177+Migowi!K177+Migowi!L177</f>
        <v>0</v>
      </c>
      <c r="L177" s="16">
        <f t="shared" ref="L177:L182" si="58">SUM(D177:K177)</f>
        <v>0</v>
      </c>
    </row>
    <row r="178" spans="1:12" ht="15.75" x14ac:dyDescent="0.25">
      <c r="A178" s="463"/>
      <c r="B178" s="17" t="s">
        <v>69</v>
      </c>
      <c r="C178" s="4" t="s">
        <v>57</v>
      </c>
      <c r="D178" s="22">
        <f>Mulanje!J178+Mulanje!K178+Mulanje!L178</f>
        <v>0</v>
      </c>
      <c r="E178" s="22">
        <f>Luchenza!J178+Luchenza!K178+Luchenza!L178</f>
        <v>0</v>
      </c>
      <c r="F178" s="22">
        <f>Thyolo!J178+Thyolo!K178+Thyolo!L178</f>
        <v>0</v>
      </c>
      <c r="G178" s="22">
        <f>Muloza!J178+Muloza!K178+Muloza!L178</f>
        <v>0</v>
      </c>
      <c r="H178" s="22">
        <f>MUST!J178+MUST!K178+MUST!L178</f>
        <v>0</v>
      </c>
      <c r="I178" s="22">
        <f>Phalombe!J178+Phalombe!K178+Phalombe!L178</f>
        <v>0</v>
      </c>
      <c r="J178" s="22">
        <f>Mikolongwe!J178+Mikolongwe!K178+Mikolongwe!L178</f>
        <v>0</v>
      </c>
      <c r="K178" s="22">
        <f>Migowi!J178+Migowi!K178+Migowi!L178</f>
        <v>0</v>
      </c>
      <c r="L178" s="16">
        <f t="shared" si="58"/>
        <v>0</v>
      </c>
    </row>
    <row r="179" spans="1:12" ht="15.75" x14ac:dyDescent="0.25">
      <c r="A179" s="463"/>
      <c r="B179" s="17" t="s">
        <v>68</v>
      </c>
      <c r="C179" s="4" t="s">
        <v>57</v>
      </c>
      <c r="D179" s="22">
        <f>Mulanje!J179+Mulanje!K179+Mulanje!L179</f>
        <v>0</v>
      </c>
      <c r="E179" s="22">
        <f>Luchenza!J179+Luchenza!K179+Luchenza!L179</f>
        <v>0</v>
      </c>
      <c r="F179" s="22">
        <f>Thyolo!J179+Thyolo!K179+Thyolo!L179</f>
        <v>0</v>
      </c>
      <c r="G179" s="22">
        <f>Muloza!J179+Muloza!K179+Muloza!L179</f>
        <v>0</v>
      </c>
      <c r="H179" s="22">
        <f>MUST!J179+MUST!K179+MUST!L179</f>
        <v>0</v>
      </c>
      <c r="I179" s="22">
        <f>Phalombe!J179+Phalombe!K179+Phalombe!L179</f>
        <v>0</v>
      </c>
      <c r="J179" s="22">
        <f>Mikolongwe!J179+Mikolongwe!K179+Mikolongwe!L179</f>
        <v>0</v>
      </c>
      <c r="K179" s="22">
        <f>Migowi!J179+Migowi!K179+Migowi!L179</f>
        <v>0</v>
      </c>
      <c r="L179" s="16">
        <f t="shared" si="58"/>
        <v>0</v>
      </c>
    </row>
    <row r="180" spans="1:12" ht="15.75" x14ac:dyDescent="0.25">
      <c r="A180" s="463"/>
      <c r="B180" s="17" t="s">
        <v>67</v>
      </c>
      <c r="C180" s="4" t="s">
        <v>57</v>
      </c>
      <c r="D180" s="22">
        <f>Mulanje!J180+Mulanje!K180+Mulanje!L180</f>
        <v>0</v>
      </c>
      <c r="E180" s="22">
        <f>Luchenza!J180+Luchenza!K180+Luchenza!L180</f>
        <v>0</v>
      </c>
      <c r="F180" s="22">
        <f>Thyolo!J180+Thyolo!K180+Thyolo!L180</f>
        <v>0</v>
      </c>
      <c r="G180" s="22">
        <f>Muloza!J180+Muloza!K180+Muloza!L180</f>
        <v>0</v>
      </c>
      <c r="H180" s="22">
        <f>MUST!J180+MUST!K180+MUST!L180</f>
        <v>0</v>
      </c>
      <c r="I180" s="22">
        <f>Phalombe!J180+Phalombe!K180+Phalombe!L180</f>
        <v>0</v>
      </c>
      <c r="J180" s="22">
        <f>Mikolongwe!J180+Mikolongwe!K180+Mikolongwe!L180</f>
        <v>0</v>
      </c>
      <c r="K180" s="22">
        <f>Migowi!J180+Migowi!K180+Migowi!L180</f>
        <v>0</v>
      </c>
      <c r="L180" s="16">
        <f t="shared" si="58"/>
        <v>0</v>
      </c>
    </row>
    <row r="181" spans="1:12" ht="15.75" x14ac:dyDescent="0.25">
      <c r="A181" s="463"/>
      <c r="B181" s="17" t="s">
        <v>66</v>
      </c>
      <c r="C181" s="4" t="s">
        <v>57</v>
      </c>
      <c r="D181" s="22">
        <f>Mulanje!J181+Mulanje!K181+Mulanje!L181</f>
        <v>0</v>
      </c>
      <c r="E181" s="22">
        <f>Luchenza!J181+Luchenza!K181+Luchenza!L181</f>
        <v>0</v>
      </c>
      <c r="F181" s="22">
        <f>Thyolo!J181+Thyolo!K181+Thyolo!L181</f>
        <v>0</v>
      </c>
      <c r="G181" s="22">
        <f>Muloza!J181+Muloza!K181+Muloza!L181</f>
        <v>0</v>
      </c>
      <c r="H181" s="22">
        <f>MUST!J181+MUST!K181+MUST!L181</f>
        <v>0</v>
      </c>
      <c r="I181" s="22">
        <f>Phalombe!J181+Phalombe!K181+Phalombe!L181</f>
        <v>0</v>
      </c>
      <c r="J181" s="22">
        <f>Mikolongwe!J181+Mikolongwe!K181+Mikolongwe!L181</f>
        <v>0</v>
      </c>
      <c r="K181" s="22">
        <f>Migowi!J181+Migowi!K181+Migowi!L181</f>
        <v>0</v>
      </c>
      <c r="L181" s="16">
        <f t="shared" si="58"/>
        <v>0</v>
      </c>
    </row>
    <row r="182" spans="1:12" ht="15.75" x14ac:dyDescent="0.25">
      <c r="A182" s="464"/>
      <c r="B182" s="17" t="s">
        <v>65</v>
      </c>
      <c r="C182" s="4" t="s">
        <v>57</v>
      </c>
      <c r="D182" s="22">
        <f>Mulanje!J182+Mulanje!K182+Mulanje!L182</f>
        <v>0</v>
      </c>
      <c r="E182" s="22">
        <f>Luchenza!J182+Luchenza!K182+Luchenza!L182</f>
        <v>0</v>
      </c>
      <c r="F182" s="22">
        <f>Thyolo!J182+Thyolo!K182+Thyolo!L182</f>
        <v>0</v>
      </c>
      <c r="G182" s="22">
        <f>Muloza!J182+Muloza!K182+Muloza!L182</f>
        <v>0</v>
      </c>
      <c r="H182" s="22">
        <f>MUST!J182+MUST!K182+MUST!L182</f>
        <v>0</v>
      </c>
      <c r="I182" s="22">
        <f>Phalombe!J182+Phalombe!K182+Phalombe!L182</f>
        <v>0</v>
      </c>
      <c r="J182" s="22">
        <f>Mikolongwe!J182+Mikolongwe!K182+Mikolongwe!L182</f>
        <v>0</v>
      </c>
      <c r="K182" s="22">
        <f>Migowi!J182+Migowi!K182+Migowi!L182</f>
        <v>0</v>
      </c>
      <c r="L182" s="16">
        <f t="shared" si="58"/>
        <v>0</v>
      </c>
    </row>
    <row r="183" spans="1:12" ht="15.75" x14ac:dyDescent="0.25">
      <c r="A183" s="46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75" x14ac:dyDescent="0.25">
      <c r="A184" s="463"/>
      <c r="B184" s="17" t="s">
        <v>73</v>
      </c>
      <c r="C184" s="4"/>
      <c r="D184" s="22">
        <f>Mulanje!J184+Mulanje!K184+Mulanje!L184</f>
        <v>0</v>
      </c>
      <c r="E184" s="22">
        <f>Luchenza!J184+Luchenza!K184+Luchenza!L184</f>
        <v>0</v>
      </c>
      <c r="F184" s="22">
        <f>Thyolo!J184+Thyolo!K184+Thyolo!L184</f>
        <v>0</v>
      </c>
      <c r="G184" s="22">
        <f>Muloza!J184+Muloza!K184+Muloza!L184</f>
        <v>0</v>
      </c>
      <c r="H184" s="22">
        <f>MUST!J184+MUST!K184+MUST!L184</f>
        <v>0</v>
      </c>
      <c r="I184" s="22">
        <f>Phalombe!J184+Phalombe!K184+Phalombe!L184</f>
        <v>0</v>
      </c>
      <c r="J184" s="22">
        <f>Mikolongwe!J184+Mikolongwe!K184+Mikolongwe!L184</f>
        <v>0</v>
      </c>
      <c r="K184" s="22">
        <f>Migowi!J184+Migowi!K184+Migowi!L184</f>
        <v>0</v>
      </c>
      <c r="L184" s="16">
        <f>SUM(D184:K184)</f>
        <v>0</v>
      </c>
    </row>
    <row r="185" spans="1:12" ht="15.75" x14ac:dyDescent="0.25">
      <c r="A185" s="463"/>
      <c r="B185" s="17" t="s">
        <v>72</v>
      </c>
      <c r="C185" s="4"/>
      <c r="D185" s="22">
        <f>Mulanje!J185+Mulanje!K185+Mulanje!L185</f>
        <v>0</v>
      </c>
      <c r="E185" s="22">
        <f>Luchenza!J185+Luchenza!K185+Luchenza!L185</f>
        <v>0</v>
      </c>
      <c r="F185" s="22">
        <f>Thyolo!J185+Thyolo!K185+Thyolo!L185</f>
        <v>0</v>
      </c>
      <c r="G185" s="22">
        <f>Muloza!J185+Muloza!K185+Muloza!L185</f>
        <v>0</v>
      </c>
      <c r="H185" s="22">
        <f>MUST!J185+MUST!K185+MUST!L185</f>
        <v>0</v>
      </c>
      <c r="I185" s="22">
        <f>Phalombe!J185+Phalombe!K185+Phalombe!L185</f>
        <v>0</v>
      </c>
      <c r="J185" s="22">
        <f>Mikolongwe!J185+Mikolongwe!K185+Mikolongwe!L185</f>
        <v>0</v>
      </c>
      <c r="K185" s="22">
        <f>Migowi!J185+Migowi!K185+Migowi!L185</f>
        <v>0</v>
      </c>
      <c r="L185" s="16">
        <f>SUM(D185:K185)</f>
        <v>0</v>
      </c>
    </row>
    <row r="186" spans="1:12" ht="15.75" x14ac:dyDescent="0.25">
      <c r="A186" s="463"/>
      <c r="B186" s="17" t="s">
        <v>53</v>
      </c>
      <c r="C186" s="4"/>
      <c r="D186" s="22">
        <f>Mulanje!J186+Mulanje!K186+Mulanje!L186</f>
        <v>0</v>
      </c>
      <c r="E186" s="22">
        <f>Luchenza!J186+Luchenza!K186+Luchenza!L186</f>
        <v>0</v>
      </c>
      <c r="F186" s="22">
        <f>Thyolo!J186+Thyolo!K186+Thyolo!L186</f>
        <v>0</v>
      </c>
      <c r="G186" s="22">
        <f>Muloza!J186+Muloza!K186+Muloza!L186</f>
        <v>0</v>
      </c>
      <c r="H186" s="22">
        <f>MUST!J186+MUST!K186+MUST!L186</f>
        <v>0</v>
      </c>
      <c r="I186" s="22">
        <f>Phalombe!J186+Phalombe!K186+Phalombe!L186</f>
        <v>0</v>
      </c>
      <c r="J186" s="22">
        <f>Mikolongwe!J186+Mikolongwe!K186+Mikolongwe!L186</f>
        <v>0</v>
      </c>
      <c r="K186" s="22">
        <f>Migowi!J186+Migowi!K186+Migowi!L186</f>
        <v>0</v>
      </c>
      <c r="L186" s="16">
        <f>SUM(D186:K186)</f>
        <v>0</v>
      </c>
    </row>
    <row r="187" spans="1:12" ht="15.75" x14ac:dyDescent="0.25">
      <c r="A187" s="464"/>
      <c r="B187" s="17" t="s">
        <v>52</v>
      </c>
      <c r="C187" s="4"/>
      <c r="D187" s="22">
        <f>Mulanje!J187+Mulanje!K187+Mulanje!L187</f>
        <v>0</v>
      </c>
      <c r="E187" s="22">
        <f>Luchenza!J187+Luchenza!K187+Luchenza!L187</f>
        <v>0</v>
      </c>
      <c r="F187" s="22">
        <f>Thyolo!J187+Thyolo!K187+Thyolo!L187</f>
        <v>0</v>
      </c>
      <c r="G187" s="22">
        <f>Muloza!J187+Muloza!K187+Muloza!L187</f>
        <v>0</v>
      </c>
      <c r="H187" s="22">
        <f>MUST!J187+MUST!K187+MUST!L187</f>
        <v>0</v>
      </c>
      <c r="I187" s="22">
        <f>Phalombe!J187+Phalombe!K187+Phalombe!L187</f>
        <v>0</v>
      </c>
      <c r="J187" s="22">
        <f>Mikolongwe!J187+Mikolongwe!K187+Mikolongwe!L187</f>
        <v>0</v>
      </c>
      <c r="K187" s="22">
        <f>Migowi!J187+Migowi!K187+Migowi!L187</f>
        <v>0</v>
      </c>
      <c r="L187" s="16">
        <f>SUM(D187:K187)</f>
        <v>0</v>
      </c>
    </row>
    <row r="188" spans="1:12" ht="15.75" x14ac:dyDescent="0.25">
      <c r="A188" s="46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75" x14ac:dyDescent="0.25">
      <c r="A189" s="463"/>
      <c r="B189" s="18" t="s">
        <v>52</v>
      </c>
      <c r="C189" s="4" t="s">
        <v>57</v>
      </c>
      <c r="D189" s="22">
        <f>Mulanje!J189+Mulanje!K189+Mulanje!L189</f>
        <v>0</v>
      </c>
      <c r="E189" s="22">
        <f>Luchenza!J189+Luchenza!K189+Luchenza!L189</f>
        <v>0</v>
      </c>
      <c r="F189" s="22">
        <f>Thyolo!J189+Thyolo!K189+Thyolo!L189</f>
        <v>0</v>
      </c>
      <c r="G189" s="22">
        <f>Muloza!J189+Muloza!K189+Muloza!L189</f>
        <v>0</v>
      </c>
      <c r="H189" s="22">
        <f>MUST!J189+MUST!K189+MUST!L189</f>
        <v>0</v>
      </c>
      <c r="I189" s="22">
        <f>Phalombe!J189+Phalombe!K189+Phalombe!L189</f>
        <v>0</v>
      </c>
      <c r="J189" s="22">
        <f>Mikolongwe!J189+Mikolongwe!K189+Mikolongwe!L189</f>
        <v>0</v>
      </c>
      <c r="K189" s="22">
        <f>Migowi!J189+Migowi!K189+Migowi!L189</f>
        <v>0</v>
      </c>
      <c r="L189" s="16">
        <f>SUM(D189:K189)</f>
        <v>0</v>
      </c>
    </row>
    <row r="190" spans="1:12" ht="15.75" x14ac:dyDescent="0.25">
      <c r="A190" s="463"/>
      <c r="B190" s="17" t="s">
        <v>62</v>
      </c>
      <c r="C190" s="4" t="s">
        <v>57</v>
      </c>
      <c r="D190" s="22">
        <f>Mulanje!J190+Mulanje!K190+Mulanje!L190</f>
        <v>0</v>
      </c>
      <c r="E190" s="22">
        <f>Luchenza!J190+Luchenza!K190+Luchenza!L190</f>
        <v>0</v>
      </c>
      <c r="F190" s="22">
        <f>Thyolo!J190+Thyolo!K190+Thyolo!L190</f>
        <v>0</v>
      </c>
      <c r="G190" s="22">
        <f>Muloza!J190+Muloza!K190+Muloza!L190</f>
        <v>0</v>
      </c>
      <c r="H190" s="22">
        <f>MUST!J190+MUST!K190+MUST!L190</f>
        <v>0</v>
      </c>
      <c r="I190" s="22">
        <f>Phalombe!J190+Phalombe!K190+Phalombe!L190</f>
        <v>0</v>
      </c>
      <c r="J190" s="22">
        <f>Mikolongwe!J190+Mikolongwe!K190+Mikolongwe!L190</f>
        <v>0</v>
      </c>
      <c r="K190" s="22">
        <f>Migowi!J190+Migowi!K190+Migowi!L190</f>
        <v>0</v>
      </c>
      <c r="L190" s="16">
        <f>SUM(D190:K190)</f>
        <v>0</v>
      </c>
    </row>
    <row r="191" spans="1:12" ht="15.75" x14ac:dyDescent="0.25">
      <c r="A191" s="463"/>
      <c r="B191" s="17" t="s">
        <v>61</v>
      </c>
      <c r="C191" s="4" t="s">
        <v>57</v>
      </c>
      <c r="D191" s="22">
        <f>Mulanje!J191+Mulanje!K191+Mulanje!L191</f>
        <v>0</v>
      </c>
      <c r="E191" s="22">
        <f>Luchenza!J191+Luchenza!K191+Luchenza!L191</f>
        <v>0</v>
      </c>
      <c r="F191" s="22">
        <f>Thyolo!J191+Thyolo!K191+Thyolo!L191</f>
        <v>0</v>
      </c>
      <c r="G191" s="22">
        <f>Muloza!J191+Muloza!K191+Muloza!L191</f>
        <v>0</v>
      </c>
      <c r="H191" s="22">
        <f>MUST!J191+MUST!K191+MUST!L191</f>
        <v>0</v>
      </c>
      <c r="I191" s="22">
        <f>Phalombe!J191+Phalombe!K191+Phalombe!L191</f>
        <v>0</v>
      </c>
      <c r="J191" s="22">
        <f>Mikolongwe!J191+Mikolongwe!K191+Mikolongwe!L191</f>
        <v>0</v>
      </c>
      <c r="K191" s="22">
        <f>Migowi!J191+Migowi!K191+Migowi!L191</f>
        <v>0</v>
      </c>
      <c r="L191" s="16">
        <f>SUM(D191:K191)</f>
        <v>0</v>
      </c>
    </row>
    <row r="192" spans="1:12" ht="15.75" x14ac:dyDescent="0.25">
      <c r="A192" s="464"/>
      <c r="B192" s="17" t="s">
        <v>60</v>
      </c>
      <c r="C192" s="4" t="s">
        <v>57</v>
      </c>
      <c r="D192" s="22">
        <f>Mulanje!J192+Mulanje!K192+Mulanje!L192</f>
        <v>0</v>
      </c>
      <c r="E192" s="22">
        <f>Luchenza!J192+Luchenza!K192+Luchenza!L192</f>
        <v>0</v>
      </c>
      <c r="F192" s="22">
        <f>Thyolo!J192+Thyolo!K192+Thyolo!L192</f>
        <v>0</v>
      </c>
      <c r="G192" s="22">
        <f>Muloza!J192+Muloza!K192+Muloza!L192</f>
        <v>0</v>
      </c>
      <c r="H192" s="22">
        <f>MUST!J192+MUST!K192+MUST!L192</f>
        <v>0</v>
      </c>
      <c r="I192" s="22">
        <f>Phalombe!J192+Phalombe!K192+Phalombe!L192</f>
        <v>0</v>
      </c>
      <c r="J192" s="22">
        <f>Mikolongwe!J192+Mikolongwe!K192+Mikolongwe!L192</f>
        <v>0</v>
      </c>
      <c r="K192" s="22">
        <f>Migowi!J192+Migowi!K192+Migowi!L192</f>
        <v>0</v>
      </c>
      <c r="L192" s="16">
        <f>SUM(D192:K192)</f>
        <v>0</v>
      </c>
    </row>
    <row r="193" spans="1:12" ht="15.75" x14ac:dyDescent="0.25">
      <c r="A193" s="465" t="s">
        <v>59</v>
      </c>
      <c r="B193" s="466"/>
      <c r="C193" s="4"/>
      <c r="D193" s="9">
        <f>SUM(D153:D192)</f>
        <v>0</v>
      </c>
      <c r="E193" s="9">
        <f t="shared" ref="E193:L193" si="59">SUM(E153:E192)</f>
        <v>0</v>
      </c>
      <c r="F193" s="9">
        <f t="shared" si="59"/>
        <v>0</v>
      </c>
      <c r="G193" s="9">
        <f t="shared" si="59"/>
        <v>0</v>
      </c>
      <c r="H193" s="9">
        <f t="shared" si="59"/>
        <v>0</v>
      </c>
      <c r="I193" s="9">
        <f t="shared" si="59"/>
        <v>0</v>
      </c>
      <c r="J193" s="9">
        <f t="shared" si="59"/>
        <v>0</v>
      </c>
      <c r="K193" s="9">
        <f t="shared" si="59"/>
        <v>0</v>
      </c>
      <c r="L193" s="92">
        <f t="shared" si="59"/>
        <v>0</v>
      </c>
    </row>
    <row r="194" spans="1:12" ht="15.75" x14ac:dyDescent="0.25">
      <c r="A194" s="467" t="s">
        <v>58</v>
      </c>
      <c r="B194" s="468"/>
      <c r="C194" s="4" t="s">
        <v>57</v>
      </c>
      <c r="D194" s="22">
        <f>Mulanje!J194+Mulanje!K194+Mulanje!L194</f>
        <v>0</v>
      </c>
      <c r="E194" s="22">
        <f>Luchenza!J194+Luchenza!K194+Luchenza!L194</f>
        <v>0</v>
      </c>
      <c r="F194" s="22">
        <f>Thyolo!J194+Thyolo!K194+Thyolo!L194</f>
        <v>0</v>
      </c>
      <c r="G194" s="22">
        <f>Muloza!J194+Muloza!K194+Muloza!L194</f>
        <v>0</v>
      </c>
      <c r="H194" s="22">
        <f>MUST!J194+MUST!K194+MUST!L194</f>
        <v>0</v>
      </c>
      <c r="I194" s="22">
        <f>Phalombe!J194+Phalombe!K194+Phalombe!L194</f>
        <v>0</v>
      </c>
      <c r="J194" s="22">
        <f>Mikolongwe!J194+Mikolongwe!K194+Mikolongwe!L194</f>
        <v>0</v>
      </c>
      <c r="K194" s="22">
        <f>Migowi!J194+Migowi!K194+Migowi!L194</f>
        <v>0</v>
      </c>
      <c r="L194" s="8">
        <f>SUM(D194:K194)</f>
        <v>0</v>
      </c>
    </row>
    <row r="195" spans="1:12" ht="15.75" x14ac:dyDescent="0.25">
      <c r="A195" s="469"/>
      <c r="B195" s="470"/>
      <c r="C195" s="14" t="s">
        <v>55</v>
      </c>
      <c r="D195" s="22">
        <f>Mulanje!J195+Mulanje!K195+Mulanje!L195</f>
        <v>0</v>
      </c>
      <c r="E195" s="22">
        <f>Luchenza!J195+Luchenza!K195+Luchenza!L195</f>
        <v>0</v>
      </c>
      <c r="F195" s="22">
        <f>Thyolo!J195+Thyolo!K195+Thyolo!L195</f>
        <v>0</v>
      </c>
      <c r="G195" s="22">
        <f>Muloza!J195+Muloza!K195+Muloza!L195</f>
        <v>0</v>
      </c>
      <c r="H195" s="22">
        <f>MUST!J195+MUST!K195+MUST!L195</f>
        <v>0</v>
      </c>
      <c r="I195" s="22">
        <f>Phalombe!J195+Phalombe!K195+Phalombe!L195</f>
        <v>0</v>
      </c>
      <c r="J195" s="22">
        <f>Mikolongwe!J195+Mikolongwe!K195+Mikolongwe!L195</f>
        <v>0</v>
      </c>
      <c r="K195" s="22">
        <f>Migowi!J195+Migowi!K195+Migowi!L195</f>
        <v>0</v>
      </c>
      <c r="L195" s="8">
        <f>SUM(D195:K195)</f>
        <v>0</v>
      </c>
    </row>
    <row r="196" spans="1:12" ht="15.75" x14ac:dyDescent="0.25">
      <c r="A196" s="75" t="s">
        <v>204</v>
      </c>
      <c r="B196" s="76"/>
      <c r="C196" s="14" t="s">
        <v>55</v>
      </c>
      <c r="D196" s="22">
        <f>Mulanje!J196+Mulanje!K196+Mulanje!L196</f>
        <v>0</v>
      </c>
      <c r="E196" s="22">
        <f>Luchenza!J196+Luchenza!K196+Luchenza!L196</f>
        <v>0</v>
      </c>
      <c r="F196" s="22">
        <f>Thyolo!J196+Thyolo!K196+Thyolo!L196</f>
        <v>0</v>
      </c>
      <c r="G196" s="22">
        <f>Muloza!J196+Muloza!K196+Muloza!L196</f>
        <v>0</v>
      </c>
      <c r="H196" s="22">
        <f>MUST!J196+MUST!K196+MUST!L196</f>
        <v>0</v>
      </c>
      <c r="I196" s="22">
        <f>Phalombe!J196+Phalombe!K196+Phalombe!L196</f>
        <v>0</v>
      </c>
      <c r="J196" s="22">
        <f>Mikolongwe!J196+Mikolongwe!K196+Mikolongwe!L196</f>
        <v>0</v>
      </c>
      <c r="K196" s="22">
        <f>Migowi!J196+Migowi!K196+Migowi!L196</f>
        <v>0</v>
      </c>
      <c r="L196" s="8"/>
    </row>
    <row r="197" spans="1:12" ht="15.75" x14ac:dyDescent="0.25">
      <c r="A197" s="445" t="s">
        <v>56</v>
      </c>
      <c r="B197" s="446"/>
      <c r="C197" s="14" t="s">
        <v>55</v>
      </c>
      <c r="D197" s="22">
        <f>Mulanje!J197+Mulanje!K197+Mulanje!L197</f>
        <v>0</v>
      </c>
      <c r="E197" s="22">
        <f>Luchenza!J197+Luchenza!K197+Luchenza!L197</f>
        <v>0</v>
      </c>
      <c r="F197" s="22">
        <f>Thyolo!J197+Thyolo!K197+Thyolo!L197</f>
        <v>0</v>
      </c>
      <c r="G197" s="22">
        <f>Muloza!J197+Muloza!K197+Muloza!L197</f>
        <v>0</v>
      </c>
      <c r="H197" s="22">
        <f>MUST!J197+MUST!K197+MUST!L197</f>
        <v>0</v>
      </c>
      <c r="I197" s="22">
        <f>Phalombe!J197+Phalombe!K197+Phalombe!L197</f>
        <v>0</v>
      </c>
      <c r="J197" s="22">
        <f>Mikolongwe!J197+Mikolongwe!K197+Mikolongwe!L197</f>
        <v>0</v>
      </c>
      <c r="K197" s="22">
        <f>Migowi!J197+Migowi!K197+Migowi!L197</f>
        <v>0</v>
      </c>
      <c r="L197" s="8">
        <f>SUM(D197:K197)</f>
        <v>0</v>
      </c>
    </row>
    <row r="198" spans="1:12" x14ac:dyDescent="0.25">
      <c r="A198" s="442" t="s">
        <v>205</v>
      </c>
      <c r="B198" s="443"/>
      <c r="C198" s="443"/>
      <c r="D198" s="443"/>
      <c r="E198" s="443"/>
      <c r="F198" s="443"/>
      <c r="G198" s="443"/>
      <c r="H198" s="443"/>
      <c r="I198" s="443"/>
      <c r="J198" s="443"/>
      <c r="K198" s="443"/>
      <c r="L198" s="444"/>
    </row>
    <row r="199" spans="1:12" ht="15.75" x14ac:dyDescent="0.25">
      <c r="A199" s="467" t="s">
        <v>54</v>
      </c>
      <c r="B199" s="69" t="s">
        <v>53</v>
      </c>
      <c r="C199" s="4" t="s">
        <v>47</v>
      </c>
      <c r="D199" s="22">
        <f>Mulanje!J199+Mulanje!K199+Mulanje!L199</f>
        <v>0</v>
      </c>
      <c r="E199" s="22">
        <f>Luchenza!J199+Luchenza!K199+Luchenza!L199</f>
        <v>0</v>
      </c>
      <c r="F199" s="22">
        <f>Thyolo!J199+Thyolo!K199+Thyolo!L199</f>
        <v>0</v>
      </c>
      <c r="G199" s="22">
        <f>Muloza!J199+Muloza!K199+Muloza!L199</f>
        <v>0</v>
      </c>
      <c r="H199" s="22">
        <f>MUST!J199+MUST!K199+MUST!L199</f>
        <v>0</v>
      </c>
      <c r="I199" s="22">
        <f>Phalombe!J199+Phalombe!K199+Phalombe!L199</f>
        <v>0</v>
      </c>
      <c r="J199" s="22">
        <f>Mikolongwe!J199+Mikolongwe!K199+Mikolongwe!L199</f>
        <v>0</v>
      </c>
      <c r="K199" s="22">
        <f>Migowi!J199+Migowi!K199+Migowi!L199</f>
        <v>0</v>
      </c>
      <c r="L199" s="8">
        <f t="shared" ref="L199:L204" si="60">SUM(D199:K199)</f>
        <v>0</v>
      </c>
    </row>
    <row r="200" spans="1:12" ht="15.75" x14ac:dyDescent="0.25">
      <c r="A200" s="471"/>
      <c r="B200" s="69" t="s">
        <v>52</v>
      </c>
      <c r="C200" s="4" t="s">
        <v>47</v>
      </c>
      <c r="D200" s="22">
        <f>Mulanje!J200+Mulanje!K200+Mulanje!L200</f>
        <v>0</v>
      </c>
      <c r="E200" s="22">
        <f>Luchenza!J200+Luchenza!K200+Luchenza!L200</f>
        <v>0</v>
      </c>
      <c r="F200" s="22">
        <f>Thyolo!J200+Thyolo!K200+Thyolo!L200</f>
        <v>0</v>
      </c>
      <c r="G200" s="22">
        <f>Muloza!J200+Muloza!K200+Muloza!L200</f>
        <v>0</v>
      </c>
      <c r="H200" s="22">
        <f>MUST!J200+MUST!K200+MUST!L200</f>
        <v>0</v>
      </c>
      <c r="I200" s="22">
        <f>Phalombe!J200+Phalombe!K200+Phalombe!L200</f>
        <v>0</v>
      </c>
      <c r="J200" s="22">
        <f>Mikolongwe!J200+Mikolongwe!K200+Mikolongwe!L200</f>
        <v>0</v>
      </c>
      <c r="K200" s="22">
        <f>Migowi!J200+Migowi!K200+Migowi!L200</f>
        <v>0</v>
      </c>
      <c r="L200" s="8">
        <f t="shared" si="60"/>
        <v>0</v>
      </c>
    </row>
    <row r="201" spans="1:12" ht="15.75" x14ac:dyDescent="0.25">
      <c r="A201" s="471"/>
      <c r="B201" s="69" t="s">
        <v>51</v>
      </c>
      <c r="C201" s="4" t="s">
        <v>47</v>
      </c>
      <c r="D201" s="22">
        <f>Mulanje!J201+Mulanje!K201+Mulanje!L201</f>
        <v>0</v>
      </c>
      <c r="E201" s="22">
        <f>Luchenza!J201+Luchenza!K201+Luchenza!L201</f>
        <v>0</v>
      </c>
      <c r="F201" s="22">
        <f>Thyolo!J201+Thyolo!K201+Thyolo!L201</f>
        <v>0</v>
      </c>
      <c r="G201" s="22">
        <f>Muloza!J201+Muloza!K201+Muloza!L201</f>
        <v>0</v>
      </c>
      <c r="H201" s="22">
        <f>MUST!J201+MUST!K201+MUST!L201</f>
        <v>0</v>
      </c>
      <c r="I201" s="22">
        <f>Phalombe!J201+Phalombe!K201+Phalombe!L201</f>
        <v>0</v>
      </c>
      <c r="J201" s="22">
        <f>Mikolongwe!J201+Mikolongwe!K201+Mikolongwe!L201</f>
        <v>0</v>
      </c>
      <c r="K201" s="22">
        <f>Migowi!J201+Migowi!K201+Migowi!L201</f>
        <v>0</v>
      </c>
      <c r="L201" s="8">
        <f t="shared" si="60"/>
        <v>0</v>
      </c>
    </row>
    <row r="202" spans="1:12" ht="15.75" x14ac:dyDescent="0.25">
      <c r="A202" s="471"/>
      <c r="B202" s="69" t="s">
        <v>50</v>
      </c>
      <c r="C202" s="4" t="s">
        <v>47</v>
      </c>
      <c r="D202" s="22">
        <f>Mulanje!J202+Mulanje!K202+Mulanje!L202</f>
        <v>0</v>
      </c>
      <c r="E202" s="22">
        <f>Luchenza!J202+Luchenza!K202+Luchenza!L202</f>
        <v>0</v>
      </c>
      <c r="F202" s="22">
        <f>Thyolo!J202+Thyolo!K202+Thyolo!L202</f>
        <v>0</v>
      </c>
      <c r="G202" s="22">
        <f>Muloza!J202+Muloza!K202+Muloza!L202</f>
        <v>0</v>
      </c>
      <c r="H202" s="22">
        <f>MUST!J202+MUST!K202+MUST!L202</f>
        <v>0</v>
      </c>
      <c r="I202" s="22">
        <f>Phalombe!J202+Phalombe!K202+Phalombe!L202</f>
        <v>0</v>
      </c>
      <c r="J202" s="22">
        <f>Mikolongwe!J202+Mikolongwe!K202+Mikolongwe!L202</f>
        <v>0</v>
      </c>
      <c r="K202" s="22">
        <f>Migowi!J202+Migowi!K202+Migowi!L202</f>
        <v>0</v>
      </c>
      <c r="L202" s="8">
        <f t="shared" si="60"/>
        <v>0</v>
      </c>
    </row>
    <row r="203" spans="1:12" ht="15.75" x14ac:dyDescent="0.25">
      <c r="A203" s="469"/>
      <c r="B203" s="69" t="s">
        <v>49</v>
      </c>
      <c r="C203" s="4" t="s">
        <v>47</v>
      </c>
      <c r="D203" s="22">
        <f>Mulanje!J203+Mulanje!K203+Mulanje!L203</f>
        <v>0</v>
      </c>
      <c r="E203" s="22">
        <f>Luchenza!J203+Luchenza!K203+Luchenza!L203</f>
        <v>0</v>
      </c>
      <c r="F203" s="22">
        <f>Thyolo!J203+Thyolo!K203+Thyolo!L203</f>
        <v>0</v>
      </c>
      <c r="G203" s="22">
        <f>Muloza!J203+Muloza!K203+Muloza!L203</f>
        <v>0</v>
      </c>
      <c r="H203" s="22">
        <f>MUST!J203+MUST!K203+MUST!L203</f>
        <v>0</v>
      </c>
      <c r="I203" s="22">
        <f>Phalombe!J203+Phalombe!K203+Phalombe!L203</f>
        <v>0</v>
      </c>
      <c r="J203" s="22">
        <f>Mikolongwe!J203+Mikolongwe!K203+Mikolongwe!L203</f>
        <v>0</v>
      </c>
      <c r="K203" s="22">
        <f>Migowi!J203+Migowi!K203+Migowi!L203</f>
        <v>0</v>
      </c>
      <c r="L203" s="8">
        <f t="shared" si="60"/>
        <v>0</v>
      </c>
    </row>
    <row r="204" spans="1:12" ht="15.75" x14ac:dyDescent="0.25">
      <c r="A204" s="73" t="s">
        <v>48</v>
      </c>
      <c r="B204" s="69"/>
      <c r="C204" s="4" t="s">
        <v>47</v>
      </c>
      <c r="D204" s="13">
        <f t="shared" ref="D204:K204" si="61">SUM(D199:D203)</f>
        <v>0</v>
      </c>
      <c r="E204" s="13">
        <f t="shared" si="61"/>
        <v>0</v>
      </c>
      <c r="F204" s="13">
        <f t="shared" si="61"/>
        <v>0</v>
      </c>
      <c r="G204" s="13">
        <f t="shared" si="61"/>
        <v>0</v>
      </c>
      <c r="H204" s="13">
        <f t="shared" si="61"/>
        <v>0</v>
      </c>
      <c r="I204" s="13">
        <f t="shared" si="61"/>
        <v>0</v>
      </c>
      <c r="J204" s="13">
        <f t="shared" si="61"/>
        <v>0</v>
      </c>
      <c r="K204" s="13">
        <f t="shared" si="61"/>
        <v>0</v>
      </c>
      <c r="L204" s="100">
        <f t="shared" si="60"/>
        <v>0</v>
      </c>
    </row>
    <row r="205" spans="1:12" x14ac:dyDescent="0.25">
      <c r="A205" s="442" t="s">
        <v>46</v>
      </c>
      <c r="B205" s="443"/>
      <c r="C205" s="443"/>
      <c r="D205" s="443"/>
      <c r="E205" s="443"/>
      <c r="F205" s="443"/>
      <c r="G205" s="443"/>
      <c r="H205" s="443"/>
      <c r="I205" s="443"/>
      <c r="J205" s="443"/>
      <c r="K205" s="443"/>
      <c r="L205" s="444"/>
    </row>
    <row r="206" spans="1:12" ht="15.75" x14ac:dyDescent="0.25">
      <c r="A206" s="445" t="s">
        <v>43</v>
      </c>
      <c r="B206" s="446"/>
      <c r="C206" s="4" t="s">
        <v>31</v>
      </c>
      <c r="D206" s="13">
        <f>Mulanje!J206+Mulanje!K206+Mulanje!L206</f>
        <v>0</v>
      </c>
      <c r="E206" s="13">
        <f>Luchenza!J206+Luchenza!K206+Luchenza!L206</f>
        <v>0</v>
      </c>
      <c r="F206" s="13">
        <f>Thyolo!J206+Thyolo!K206+Thyolo!L206</f>
        <v>0</v>
      </c>
      <c r="G206" s="13">
        <f>Muloza!J206+Muloza!K206+Muloza!L206</f>
        <v>0</v>
      </c>
      <c r="H206" s="13">
        <f>MUST!J206+MUST!K206+MUST!L206</f>
        <v>0</v>
      </c>
      <c r="I206" s="13">
        <f>Phalombe!J206+Phalombe!K206+Phalombe!L206</f>
        <v>0</v>
      </c>
      <c r="J206" s="13">
        <f>Mikolongwe!J206+Mikolongwe!K206+Mikolongwe!L206</f>
        <v>0</v>
      </c>
      <c r="K206" s="13">
        <f>Migowi!J206+Migowi!K206+Migowi!L206</f>
        <v>0</v>
      </c>
      <c r="L206" s="8">
        <f>SUM(D206:K206)</f>
        <v>0</v>
      </c>
    </row>
    <row r="207" spans="1:12" ht="15.75" x14ac:dyDescent="0.25">
      <c r="A207" s="445" t="s">
        <v>42</v>
      </c>
      <c r="B207" s="446"/>
      <c r="C207" s="4" t="s">
        <v>31</v>
      </c>
      <c r="D207" s="13">
        <f>Mulanje!J207+Mulanje!K207+Mulanje!L207</f>
        <v>0</v>
      </c>
      <c r="E207" s="13">
        <f>Luchenza!J207+Luchenza!K207+Luchenza!L207</f>
        <v>0</v>
      </c>
      <c r="F207" s="13">
        <f>Thyolo!J207+Thyolo!K207+Thyolo!L207</f>
        <v>0</v>
      </c>
      <c r="G207" s="13">
        <f>Muloza!J207+Muloza!K207+Muloza!L207</f>
        <v>0</v>
      </c>
      <c r="H207" s="13">
        <f>MUST!J207+MUST!K207+MUST!L207</f>
        <v>0</v>
      </c>
      <c r="I207" s="13">
        <f>Phalombe!J207+Phalombe!K207+Phalombe!L207</f>
        <v>0</v>
      </c>
      <c r="J207" s="13">
        <f>Mikolongwe!J207+Mikolongwe!K207+Mikolongwe!L207</f>
        <v>0</v>
      </c>
      <c r="K207" s="13">
        <f>Migowi!J207+Migowi!K207+Migowi!L207</f>
        <v>0</v>
      </c>
      <c r="L207" s="8">
        <f>SUM(D207:K207)</f>
        <v>0</v>
      </c>
    </row>
    <row r="208" spans="1:12" ht="15.75" x14ac:dyDescent="0.25">
      <c r="A208" s="460" t="s">
        <v>41</v>
      </c>
      <c r="B208" s="461"/>
      <c r="C208" s="4" t="s">
        <v>31</v>
      </c>
      <c r="D208" s="13">
        <f>Mulanje!J208+Mulanje!K208+Mulanje!L208</f>
        <v>0</v>
      </c>
      <c r="E208" s="13">
        <f>Luchenza!J208+Luchenza!K208+Luchenza!L208</f>
        <v>0</v>
      </c>
      <c r="F208" s="13">
        <f>Thyolo!J208+Thyolo!K208+Thyolo!L208</f>
        <v>0</v>
      </c>
      <c r="G208" s="13">
        <f>Muloza!J208+Muloza!K208+Muloza!L208</f>
        <v>0</v>
      </c>
      <c r="H208" s="13">
        <f>MUST!J208+MUST!K208+MUST!L208</f>
        <v>0</v>
      </c>
      <c r="I208" s="13">
        <f>Phalombe!J208+Phalombe!K208+Phalombe!L208</f>
        <v>0</v>
      </c>
      <c r="J208" s="13">
        <f>Mikolongwe!J208+Mikolongwe!K208+Mikolongwe!L208</f>
        <v>0</v>
      </c>
      <c r="K208" s="13">
        <f>Migowi!J208+Migowi!K208+Migowi!L208</f>
        <v>0</v>
      </c>
      <c r="L208" s="8">
        <f>SUM(D208:K208)</f>
        <v>0</v>
      </c>
    </row>
    <row r="209" spans="1:12" ht="15.75" x14ac:dyDescent="0.25">
      <c r="A209" s="445" t="s">
        <v>40</v>
      </c>
      <c r="B209" s="446"/>
      <c r="C209" s="4" t="s">
        <v>31</v>
      </c>
      <c r="D209" s="13">
        <f>Mulanje!J209+Mulanje!K209+Mulanje!L209</f>
        <v>0</v>
      </c>
      <c r="E209" s="13">
        <f>Luchenza!J209+Luchenza!K209+Luchenza!L209</f>
        <v>0</v>
      </c>
      <c r="F209" s="13">
        <f>Thyolo!J209+Thyolo!K209+Thyolo!L209</f>
        <v>0</v>
      </c>
      <c r="G209" s="13">
        <f>Muloza!J209+Muloza!K209+Muloza!L209</f>
        <v>0</v>
      </c>
      <c r="H209" s="13">
        <f>MUST!J209+MUST!K209+MUST!L209</f>
        <v>0</v>
      </c>
      <c r="I209" s="13">
        <f>Phalombe!J209+Phalombe!K209+Phalombe!L209</f>
        <v>0</v>
      </c>
      <c r="J209" s="13">
        <f>Mikolongwe!J209+Mikolongwe!K209+Mikolongwe!L209</f>
        <v>0</v>
      </c>
      <c r="K209" s="13">
        <f>Migowi!J209+Migowi!K209+Migowi!L209</f>
        <v>0</v>
      </c>
      <c r="L209" s="8">
        <f>SUM(D209:K209)</f>
        <v>0</v>
      </c>
    </row>
    <row r="210" spans="1:12" ht="15.75" x14ac:dyDescent="0.25">
      <c r="A210" s="449" t="s">
        <v>45</v>
      </c>
      <c r="B210" s="450"/>
      <c r="C210" s="4" t="s">
        <v>31</v>
      </c>
      <c r="D210" s="9">
        <f t="shared" ref="D210:K210" si="62">SUM(D206:D209)</f>
        <v>0</v>
      </c>
      <c r="E210" s="9">
        <f t="shared" si="62"/>
        <v>0</v>
      </c>
      <c r="F210" s="9">
        <f t="shared" si="62"/>
        <v>0</v>
      </c>
      <c r="G210" s="9">
        <f t="shared" si="62"/>
        <v>0</v>
      </c>
      <c r="H210" s="9">
        <f t="shared" si="62"/>
        <v>0</v>
      </c>
      <c r="I210" s="9">
        <f t="shared" si="62"/>
        <v>0</v>
      </c>
      <c r="J210" s="9">
        <f t="shared" si="62"/>
        <v>0</v>
      </c>
      <c r="K210" s="9">
        <f t="shared" si="62"/>
        <v>0</v>
      </c>
      <c r="L210" s="8">
        <f>SUM(D210:K210)</f>
        <v>0</v>
      </c>
    </row>
    <row r="211" spans="1:12" x14ac:dyDescent="0.25">
      <c r="A211" s="442" t="s">
        <v>44</v>
      </c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4"/>
    </row>
    <row r="212" spans="1:12" ht="15.75" x14ac:dyDescent="0.25">
      <c r="A212" s="445" t="s">
        <v>43</v>
      </c>
      <c r="B212" s="446"/>
      <c r="C212" s="4" t="s">
        <v>31</v>
      </c>
      <c r="D212" s="13">
        <f>Mulanje!J212+Mulanje!K212+Mulanje!L212</f>
        <v>0</v>
      </c>
      <c r="E212" s="13">
        <f>Luchenza!J212+Luchenza!K212+Luchenza!L212</f>
        <v>0</v>
      </c>
      <c r="F212" s="13">
        <f>Thyolo!J212+Thyolo!K212+Thyolo!L212</f>
        <v>0</v>
      </c>
      <c r="G212" s="13">
        <f>Muloza!J212+Muloza!K212+Muloza!L212</f>
        <v>0</v>
      </c>
      <c r="H212" s="13">
        <f>MUST!J212+MUST!K212+MUST!L212</f>
        <v>0</v>
      </c>
      <c r="I212" s="13">
        <f>Phalombe!J212+Phalombe!K212+Phalombe!L212</f>
        <v>0</v>
      </c>
      <c r="J212" s="13">
        <f>Mikolongwe!J212+Mikolongwe!K212+Mikolongwe!L212</f>
        <v>0</v>
      </c>
      <c r="K212" s="13">
        <f>Migowi!J212+Migowi!K212+Migowi!L212</f>
        <v>0</v>
      </c>
      <c r="L212" s="8">
        <f>SUM(D212:K212)</f>
        <v>0</v>
      </c>
    </row>
    <row r="213" spans="1:12" ht="15.75" x14ac:dyDescent="0.25">
      <c r="A213" s="445" t="s">
        <v>42</v>
      </c>
      <c r="B213" s="446"/>
      <c r="C213" s="4" t="s">
        <v>31</v>
      </c>
      <c r="D213" s="13">
        <f>Mulanje!J213+Mulanje!K213+Mulanje!L213</f>
        <v>0</v>
      </c>
      <c r="E213" s="13">
        <f>Luchenza!J213+Luchenza!K213+Luchenza!L213</f>
        <v>0</v>
      </c>
      <c r="F213" s="13">
        <f>Thyolo!J213+Thyolo!K213+Thyolo!L213</f>
        <v>0</v>
      </c>
      <c r="G213" s="13">
        <f>Muloza!J213+Muloza!K213+Muloza!L213</f>
        <v>0</v>
      </c>
      <c r="H213" s="13">
        <f>MUST!J213+MUST!K213+MUST!L213</f>
        <v>0</v>
      </c>
      <c r="I213" s="13">
        <f>Phalombe!J213+Phalombe!K213+Phalombe!L213</f>
        <v>0</v>
      </c>
      <c r="J213" s="13">
        <f>Mikolongwe!J213+Mikolongwe!K213+Mikolongwe!L213</f>
        <v>0</v>
      </c>
      <c r="K213" s="13">
        <f>Migowi!J213+Migowi!K213+Migowi!L213</f>
        <v>0</v>
      </c>
      <c r="L213" s="8">
        <f>SUM(D213:K213)</f>
        <v>0</v>
      </c>
    </row>
    <row r="214" spans="1:12" ht="15.75" x14ac:dyDescent="0.25">
      <c r="A214" s="460" t="s">
        <v>41</v>
      </c>
      <c r="B214" s="461"/>
      <c r="C214" s="4" t="s">
        <v>31</v>
      </c>
      <c r="D214" s="13">
        <f>Mulanje!J214+Mulanje!K214+Mulanje!L214</f>
        <v>0</v>
      </c>
      <c r="E214" s="13">
        <f>Luchenza!J214+Luchenza!K214+Luchenza!L214</f>
        <v>0</v>
      </c>
      <c r="F214" s="13">
        <f>Thyolo!J214+Thyolo!K214+Thyolo!L214</f>
        <v>0</v>
      </c>
      <c r="G214" s="13">
        <f>Muloza!J214+Muloza!K214+Muloza!L214</f>
        <v>0</v>
      </c>
      <c r="H214" s="13">
        <f>MUST!J214+MUST!K214+MUST!L214</f>
        <v>0</v>
      </c>
      <c r="I214" s="13">
        <f>Phalombe!J214+Phalombe!K214+Phalombe!L214</f>
        <v>0</v>
      </c>
      <c r="J214" s="13">
        <f>Mikolongwe!J214+Mikolongwe!K214+Mikolongwe!L214</f>
        <v>0</v>
      </c>
      <c r="K214" s="13">
        <f>Migowi!J214+Migowi!K214+Migowi!L214</f>
        <v>0</v>
      </c>
      <c r="L214" s="8">
        <f>SUM(D214:K214)</f>
        <v>0</v>
      </c>
    </row>
    <row r="215" spans="1:12" ht="15.75" x14ac:dyDescent="0.25">
      <c r="A215" s="445" t="s">
        <v>40</v>
      </c>
      <c r="B215" s="446"/>
      <c r="C215" s="4" t="s">
        <v>31</v>
      </c>
      <c r="D215" s="13">
        <f>Mulanje!J215+Mulanje!K215+Mulanje!L215</f>
        <v>0</v>
      </c>
      <c r="E215" s="13">
        <f>Luchenza!J215+Luchenza!K215+Luchenza!L215</f>
        <v>0</v>
      </c>
      <c r="F215" s="13">
        <f>Thyolo!J215+Thyolo!K215+Thyolo!L215</f>
        <v>0</v>
      </c>
      <c r="G215" s="13">
        <f>Muloza!J215+Muloza!K215+Muloza!L215</f>
        <v>0</v>
      </c>
      <c r="H215" s="13">
        <f>MUST!J215+MUST!K215+MUST!L215</f>
        <v>0</v>
      </c>
      <c r="I215" s="13">
        <f>Phalombe!J215+Phalombe!K215+Phalombe!L215</f>
        <v>0</v>
      </c>
      <c r="J215" s="13">
        <f>Mikolongwe!J215+Mikolongwe!K215+Mikolongwe!L215</f>
        <v>0</v>
      </c>
      <c r="K215" s="13">
        <f>Migowi!J215+Migowi!K215+Migowi!L215</f>
        <v>0</v>
      </c>
      <c r="L215" s="8">
        <f>SUM(D215:K215)</f>
        <v>0</v>
      </c>
    </row>
    <row r="216" spans="1:12" ht="15.75" x14ac:dyDescent="0.25">
      <c r="A216" s="449" t="s">
        <v>39</v>
      </c>
      <c r="B216" s="450"/>
      <c r="C216" s="4" t="s">
        <v>31</v>
      </c>
      <c r="D216" s="9">
        <f t="shared" ref="D216:K216" si="63">SUM(D212:D215)</f>
        <v>0</v>
      </c>
      <c r="E216" s="9">
        <f t="shared" si="63"/>
        <v>0</v>
      </c>
      <c r="F216" s="9">
        <f t="shared" si="63"/>
        <v>0</v>
      </c>
      <c r="G216" s="9">
        <f t="shared" si="63"/>
        <v>0</v>
      </c>
      <c r="H216" s="9">
        <f>SUM(H212:H215)</f>
        <v>0</v>
      </c>
      <c r="I216" s="9">
        <f t="shared" si="63"/>
        <v>0</v>
      </c>
      <c r="J216" s="9">
        <f t="shared" si="63"/>
        <v>0</v>
      </c>
      <c r="K216" s="9">
        <f t="shared" si="63"/>
        <v>0</v>
      </c>
      <c r="L216" s="8">
        <f>SUM(D216:K216)</f>
        <v>0</v>
      </c>
    </row>
    <row r="217" spans="1:12" ht="15.75" x14ac:dyDescent="0.25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L217" si="64">E210+E216</f>
        <v>0</v>
      </c>
      <c r="F217" s="9">
        <f t="shared" si="64"/>
        <v>0</v>
      </c>
      <c r="G217" s="9">
        <f t="shared" si="64"/>
        <v>0</v>
      </c>
      <c r="H217" s="9">
        <f t="shared" si="64"/>
        <v>0</v>
      </c>
      <c r="I217" s="9">
        <f t="shared" si="64"/>
        <v>0</v>
      </c>
      <c r="J217" s="9">
        <f t="shared" si="64"/>
        <v>0</v>
      </c>
      <c r="K217" s="9">
        <f t="shared" si="64"/>
        <v>0</v>
      </c>
      <c r="L217" s="35">
        <f t="shared" si="64"/>
        <v>0</v>
      </c>
    </row>
    <row r="218" spans="1:12" x14ac:dyDescent="0.25">
      <c r="A218" s="442" t="s">
        <v>37</v>
      </c>
      <c r="B218" s="443"/>
      <c r="C218" s="443"/>
      <c r="D218" s="443"/>
      <c r="E218" s="443"/>
      <c r="F218" s="443"/>
      <c r="G218" s="443"/>
      <c r="H218" s="443"/>
      <c r="I218" s="443"/>
      <c r="J218" s="443"/>
      <c r="K218" s="443"/>
      <c r="L218" s="444"/>
    </row>
    <row r="219" spans="1:12" ht="15.75" x14ac:dyDescent="0.25">
      <c r="A219" s="445" t="s">
        <v>35</v>
      </c>
      <c r="B219" s="446"/>
      <c r="C219" s="4" t="s">
        <v>31</v>
      </c>
      <c r="D219" s="13">
        <f>Mulanje!J219+Mulanje!K219+Mulanje!L219</f>
        <v>0</v>
      </c>
      <c r="E219" s="13">
        <f>Luchenza!J219+Luchenza!K219+Luchenza!L219</f>
        <v>0</v>
      </c>
      <c r="F219" s="13">
        <f>Thyolo!J219+Thyolo!K219+Thyolo!L219</f>
        <v>0</v>
      </c>
      <c r="G219" s="13">
        <f>Muloza!J219+Muloza!K219+Muloza!L219</f>
        <v>0</v>
      </c>
      <c r="H219" s="13">
        <f>MUST!J219+MUST!K219+MUST!L219</f>
        <v>0</v>
      </c>
      <c r="I219" s="13">
        <f>Phalombe!J219+Phalombe!K219+Phalombe!L219</f>
        <v>0</v>
      </c>
      <c r="J219" s="13">
        <f>Mikolongwe!J219+Mikolongwe!K219+Mikolongwe!L219</f>
        <v>0</v>
      </c>
      <c r="K219" s="13">
        <f>Migowi!J219+Migowi!K219+Migowi!L219</f>
        <v>0</v>
      </c>
      <c r="L219" s="8">
        <f>SUM(D219:K219)</f>
        <v>0</v>
      </c>
    </row>
    <row r="220" spans="1:12" ht="15.75" x14ac:dyDescent="0.25">
      <c r="A220" s="445" t="s">
        <v>34</v>
      </c>
      <c r="B220" s="446"/>
      <c r="C220" s="4" t="s">
        <v>31</v>
      </c>
      <c r="D220" s="13">
        <f>Mulanje!J220+Mulanje!K220+Mulanje!L220</f>
        <v>0</v>
      </c>
      <c r="E220" s="13">
        <f>Luchenza!J220+Luchenza!K220+Luchenza!L220</f>
        <v>0</v>
      </c>
      <c r="F220" s="13">
        <f>Thyolo!J220+Thyolo!K220+Thyolo!L220</f>
        <v>0</v>
      </c>
      <c r="G220" s="13">
        <f>Muloza!J220+Muloza!K220+Muloza!L220</f>
        <v>0</v>
      </c>
      <c r="H220" s="13">
        <f>MUST!J220+MUST!K220+MUST!L220</f>
        <v>0</v>
      </c>
      <c r="I220" s="13">
        <f>Phalombe!J220+Phalombe!K220+Phalombe!L220</f>
        <v>0</v>
      </c>
      <c r="J220" s="13">
        <f>Mikolongwe!J220+Mikolongwe!K220+Mikolongwe!L220</f>
        <v>0</v>
      </c>
      <c r="K220" s="13">
        <f>Migowi!J220+Migowi!K220+Migowi!L220</f>
        <v>0</v>
      </c>
      <c r="L220" s="8">
        <f>SUM(D220:K220)</f>
        <v>0</v>
      </c>
    </row>
    <row r="221" spans="1:12" ht="15.75" x14ac:dyDescent="0.25">
      <c r="A221" s="445" t="s">
        <v>33</v>
      </c>
      <c r="B221" s="446"/>
      <c r="C221" s="4" t="s">
        <v>31</v>
      </c>
      <c r="D221" s="13">
        <f>Mulanje!J221+Mulanje!K221+Mulanje!L221</f>
        <v>0</v>
      </c>
      <c r="E221" s="13">
        <f>Luchenza!J221+Luchenza!K221+Luchenza!L221</f>
        <v>0</v>
      </c>
      <c r="F221" s="13">
        <f>Thyolo!J221+Thyolo!K221+Thyolo!L221</f>
        <v>0</v>
      </c>
      <c r="G221" s="13">
        <f>Muloza!J221+Muloza!K221+Muloza!L221</f>
        <v>0</v>
      </c>
      <c r="H221" s="13">
        <f>MUST!J221+MUST!K221+MUST!L221</f>
        <v>0</v>
      </c>
      <c r="I221" s="13">
        <f>Phalombe!J221+Phalombe!K221+Phalombe!L221</f>
        <v>0</v>
      </c>
      <c r="J221" s="13">
        <f>Mikolongwe!J221+Mikolongwe!K221+Mikolongwe!L221</f>
        <v>0</v>
      </c>
      <c r="K221" s="13">
        <f>Migowi!J221+Migowi!K221+Migowi!L221</f>
        <v>0</v>
      </c>
      <c r="L221" s="8">
        <f>SUM(D221:K221)</f>
        <v>0</v>
      </c>
    </row>
    <row r="222" spans="1:12" ht="15.75" x14ac:dyDescent="0.25">
      <c r="A222" s="445" t="s">
        <v>32</v>
      </c>
      <c r="B222" s="446"/>
      <c r="C222" s="4" t="s">
        <v>31</v>
      </c>
      <c r="D222" s="13">
        <f>Mulanje!J222+Mulanje!K222+Mulanje!L222</f>
        <v>0</v>
      </c>
      <c r="E222" s="13">
        <f>Luchenza!J222+Luchenza!K222+Luchenza!L222</f>
        <v>0</v>
      </c>
      <c r="F222" s="13">
        <f>Thyolo!J222+Thyolo!K222+Thyolo!L222</f>
        <v>0</v>
      </c>
      <c r="G222" s="13">
        <f>Muloza!J222+Muloza!K222+Muloza!L222</f>
        <v>0</v>
      </c>
      <c r="H222" s="13">
        <f>MUST!J222+MUST!K222+MUST!L222</f>
        <v>0</v>
      </c>
      <c r="I222" s="13">
        <f>Phalombe!J222+Phalombe!K222+Phalombe!L222</f>
        <v>0</v>
      </c>
      <c r="J222" s="13">
        <f>Mikolongwe!J222+Mikolongwe!K222+Mikolongwe!L222</f>
        <v>0</v>
      </c>
      <c r="K222" s="13">
        <f>Migowi!J222+Migowi!K222+Migowi!L222</f>
        <v>0</v>
      </c>
      <c r="L222" s="8">
        <f>SUM(D222:K222)</f>
        <v>0</v>
      </c>
    </row>
    <row r="223" spans="1:12" ht="15.75" x14ac:dyDescent="0.25">
      <c r="A223" s="449" t="s">
        <v>36</v>
      </c>
      <c r="B223" s="450"/>
      <c r="C223" s="4" t="s">
        <v>31</v>
      </c>
      <c r="D223" s="10">
        <f t="shared" ref="D223:K223" si="65">SUM(D219:D222)</f>
        <v>0</v>
      </c>
      <c r="E223" s="9">
        <f t="shared" si="65"/>
        <v>0</v>
      </c>
      <c r="F223" s="9">
        <f t="shared" si="65"/>
        <v>0</v>
      </c>
      <c r="G223" s="9">
        <f t="shared" si="65"/>
        <v>0</v>
      </c>
      <c r="H223" s="9">
        <f t="shared" si="65"/>
        <v>0</v>
      </c>
      <c r="I223" s="9">
        <f t="shared" si="65"/>
        <v>0</v>
      </c>
      <c r="J223" s="12">
        <f t="shared" si="65"/>
        <v>0</v>
      </c>
      <c r="K223" s="12">
        <f t="shared" si="65"/>
        <v>0</v>
      </c>
      <c r="L223" s="8">
        <f>SUM(D223:K223)</f>
        <v>0</v>
      </c>
    </row>
    <row r="224" spans="1:12" x14ac:dyDescent="0.25">
      <c r="A224" s="442" t="s">
        <v>213</v>
      </c>
      <c r="B224" s="443"/>
      <c r="C224" s="443"/>
      <c r="D224" s="443"/>
      <c r="E224" s="443"/>
      <c r="F224" s="443"/>
      <c r="G224" s="443"/>
      <c r="H224" s="443"/>
      <c r="I224" s="443"/>
      <c r="J224" s="443"/>
      <c r="K224" s="443"/>
      <c r="L224" s="444"/>
    </row>
    <row r="225" spans="1:12" ht="15.75" x14ac:dyDescent="0.25">
      <c r="A225" s="445" t="s">
        <v>35</v>
      </c>
      <c r="B225" s="446"/>
      <c r="C225" s="4" t="s">
        <v>31</v>
      </c>
      <c r="D225" s="13">
        <f>Mulanje!J225+Mulanje!K225+Mulanje!L225</f>
        <v>0</v>
      </c>
      <c r="E225" s="13">
        <f>Luchenza!J225+Luchenza!K225+Luchenza!L225</f>
        <v>0</v>
      </c>
      <c r="F225" s="13">
        <f>Thyolo!J225+Thyolo!K225+Thyolo!L225</f>
        <v>0</v>
      </c>
      <c r="G225" s="13">
        <f>Muloza!J225+Muloza!K225+Muloza!L225</f>
        <v>0</v>
      </c>
      <c r="H225" s="13">
        <f>MUST!J225+MUST!K225+MUST!L225</f>
        <v>0</v>
      </c>
      <c r="I225" s="13">
        <f>Phalombe!J225+Phalombe!K225+Phalombe!L225</f>
        <v>0</v>
      </c>
      <c r="J225" s="13">
        <f>Mikolongwe!J225+Mikolongwe!K225+Mikolongwe!L225</f>
        <v>0</v>
      </c>
      <c r="K225" s="13">
        <f>Migowi!J225+Migowi!K225+Migowi!L225</f>
        <v>0</v>
      </c>
      <c r="L225" s="8">
        <f t="shared" ref="L225:L230" si="66">SUM(D225:K225)</f>
        <v>0</v>
      </c>
    </row>
    <row r="226" spans="1:12" ht="15.75" x14ac:dyDescent="0.25">
      <c r="A226" s="445" t="s">
        <v>34</v>
      </c>
      <c r="B226" s="446"/>
      <c r="C226" s="4" t="s">
        <v>31</v>
      </c>
      <c r="D226" s="13">
        <f>Mulanje!J226+Mulanje!K226+Mulanje!L226</f>
        <v>0</v>
      </c>
      <c r="E226" s="13">
        <f>Luchenza!J226+Luchenza!K226+Luchenza!L226</f>
        <v>0</v>
      </c>
      <c r="F226" s="13">
        <f>Thyolo!J226+Thyolo!K226+Thyolo!L226</f>
        <v>0</v>
      </c>
      <c r="G226" s="13">
        <f>Muloza!J226+Muloza!K226+Muloza!L226</f>
        <v>0</v>
      </c>
      <c r="H226" s="13">
        <f>MUST!J226+MUST!K226+MUST!L226</f>
        <v>0</v>
      </c>
      <c r="I226" s="13">
        <f>Phalombe!J226+Phalombe!K226+Phalombe!L226</f>
        <v>0</v>
      </c>
      <c r="J226" s="13">
        <f>Mikolongwe!J226+Mikolongwe!K226+Mikolongwe!L226</f>
        <v>0</v>
      </c>
      <c r="K226" s="13">
        <f>Migowi!J226+Migowi!K226+Migowi!L226</f>
        <v>0</v>
      </c>
      <c r="L226" s="8">
        <f t="shared" si="66"/>
        <v>0</v>
      </c>
    </row>
    <row r="227" spans="1:12" ht="15.75" x14ac:dyDescent="0.25">
      <c r="A227" s="445" t="s">
        <v>33</v>
      </c>
      <c r="B227" s="446"/>
      <c r="C227" s="4" t="s">
        <v>31</v>
      </c>
      <c r="D227" s="13">
        <f>Mulanje!J227+Mulanje!K227+Mulanje!L227</f>
        <v>0</v>
      </c>
      <c r="E227" s="13">
        <f>Luchenza!J227+Luchenza!K227+Luchenza!L227</f>
        <v>0</v>
      </c>
      <c r="F227" s="13">
        <f>Thyolo!J227+Thyolo!K227+Thyolo!L227</f>
        <v>0</v>
      </c>
      <c r="G227" s="13">
        <f>Muloza!J227+Muloza!K227+Muloza!L227</f>
        <v>0</v>
      </c>
      <c r="H227" s="13">
        <f>MUST!J227+MUST!K227+MUST!L227</f>
        <v>0</v>
      </c>
      <c r="I227" s="13">
        <f>Phalombe!J227+Phalombe!K227+Phalombe!L227</f>
        <v>0</v>
      </c>
      <c r="J227" s="13">
        <f>Mikolongwe!J227+Mikolongwe!K227+Mikolongwe!L227</f>
        <v>0</v>
      </c>
      <c r="K227" s="13">
        <f>Migowi!J227+Migowi!K227+Migowi!L227</f>
        <v>0</v>
      </c>
      <c r="L227" s="8">
        <f t="shared" si="66"/>
        <v>0</v>
      </c>
    </row>
    <row r="228" spans="1:12" ht="15.75" x14ac:dyDescent="0.25">
      <c r="A228" s="445" t="s">
        <v>32</v>
      </c>
      <c r="B228" s="446"/>
      <c r="C228" s="4" t="s">
        <v>31</v>
      </c>
      <c r="D228" s="13">
        <f>Mulanje!J228+Mulanje!K228+Mulanje!L228</f>
        <v>0</v>
      </c>
      <c r="E228" s="13">
        <f>Luchenza!J228+Luchenza!K228+Luchenza!L228</f>
        <v>0</v>
      </c>
      <c r="F228" s="13">
        <f>Thyolo!J228+Thyolo!K228+Thyolo!L228</f>
        <v>0</v>
      </c>
      <c r="G228" s="13">
        <f>Muloza!J228+Muloza!K228+Muloza!L228</f>
        <v>0</v>
      </c>
      <c r="H228" s="13">
        <f>MUST!J228+MUST!K228+MUST!L228</f>
        <v>0</v>
      </c>
      <c r="I228" s="13">
        <f>Phalombe!J228+Phalombe!K228+Phalombe!L228</f>
        <v>0</v>
      </c>
      <c r="J228" s="13">
        <f>Mikolongwe!J228+Mikolongwe!K228+Mikolongwe!L228</f>
        <v>0</v>
      </c>
      <c r="K228" s="13">
        <f>Migowi!J228+Migowi!K228+Migowi!L228</f>
        <v>0</v>
      </c>
      <c r="L228" s="8">
        <f t="shared" si="66"/>
        <v>0</v>
      </c>
    </row>
    <row r="229" spans="1:12" ht="15.75" x14ac:dyDescent="0.25">
      <c r="A229" s="449" t="s">
        <v>214</v>
      </c>
      <c r="B229" s="450"/>
      <c r="C229" s="4" t="s">
        <v>31</v>
      </c>
      <c r="D229" s="10">
        <f t="shared" ref="D229:K229" si="67">SUM(D225:D228)</f>
        <v>0</v>
      </c>
      <c r="E229" s="9">
        <f t="shared" si="67"/>
        <v>0</v>
      </c>
      <c r="F229" s="9">
        <f t="shared" si="67"/>
        <v>0</v>
      </c>
      <c r="G229" s="9">
        <f t="shared" si="67"/>
        <v>0</v>
      </c>
      <c r="H229" s="9">
        <f t="shared" si="67"/>
        <v>0</v>
      </c>
      <c r="I229" s="9">
        <f t="shared" si="67"/>
        <v>0</v>
      </c>
      <c r="J229" s="12">
        <f t="shared" si="67"/>
        <v>0</v>
      </c>
      <c r="K229" s="12">
        <f t="shared" si="67"/>
        <v>0</v>
      </c>
      <c r="L229" s="8">
        <f t="shared" si="66"/>
        <v>0</v>
      </c>
    </row>
    <row r="230" spans="1:12" ht="15.75" x14ac:dyDescent="0.25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68">E223+E229</f>
        <v>0</v>
      </c>
      <c r="F230" s="10">
        <f t="shared" si="68"/>
        <v>0</v>
      </c>
      <c r="G230" s="10">
        <f t="shared" si="68"/>
        <v>0</v>
      </c>
      <c r="H230" s="10">
        <f t="shared" si="68"/>
        <v>0</v>
      </c>
      <c r="I230" s="10">
        <f t="shared" si="68"/>
        <v>0</v>
      </c>
      <c r="J230" s="10">
        <f t="shared" si="68"/>
        <v>0</v>
      </c>
      <c r="K230" s="10">
        <f t="shared" si="68"/>
        <v>0</v>
      </c>
      <c r="L230" s="8">
        <f t="shared" si="66"/>
        <v>0</v>
      </c>
    </row>
    <row r="231" spans="1:12" x14ac:dyDescent="0.25">
      <c r="A231" s="442" t="s">
        <v>30</v>
      </c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4"/>
    </row>
    <row r="232" spans="1:12" ht="15.75" x14ac:dyDescent="0.25">
      <c r="A232" s="445" t="s">
        <v>29</v>
      </c>
      <c r="B232" s="446"/>
      <c r="C232" s="4" t="s">
        <v>18</v>
      </c>
      <c r="D232" s="13">
        <f>Mulanje!J232+Mulanje!K232+Mulanje!L232</f>
        <v>0</v>
      </c>
      <c r="E232" s="13">
        <f>Luchenza!J232+Luchenza!K232+Luchenza!L232</f>
        <v>0</v>
      </c>
      <c r="F232" s="13">
        <f>Thyolo!J232+Thyolo!K232+Thyolo!L232</f>
        <v>0</v>
      </c>
      <c r="G232" s="13">
        <f>Muloza!J232+Muloza!K232+Muloza!L232</f>
        <v>0</v>
      </c>
      <c r="H232" s="13">
        <f>MUST!J232+MUST!K232+MUST!L232</f>
        <v>0</v>
      </c>
      <c r="I232" s="13">
        <f>Phalombe!J232+Phalombe!K232+Phalombe!L232</f>
        <v>0</v>
      </c>
      <c r="J232" s="13">
        <f>Mikolongwe!J232+Mikolongwe!K232+Mikolongwe!L232</f>
        <v>0</v>
      </c>
      <c r="K232" s="13">
        <f>Migowi!J232+Migowi!K232+Migowi!L232</f>
        <v>0</v>
      </c>
      <c r="L232" s="8">
        <f>SUM(D232:K232)</f>
        <v>0</v>
      </c>
    </row>
    <row r="233" spans="1:12" ht="15.75" x14ac:dyDescent="0.25">
      <c r="A233" s="445" t="s">
        <v>28</v>
      </c>
      <c r="B233" s="446"/>
      <c r="C233" s="4" t="s">
        <v>18</v>
      </c>
      <c r="D233" s="13">
        <f>Mulanje!J233+Mulanje!K233+Mulanje!L233</f>
        <v>0</v>
      </c>
      <c r="E233" s="13">
        <f>Luchenza!J233+Luchenza!K233+Luchenza!L233</f>
        <v>0</v>
      </c>
      <c r="F233" s="13">
        <f>Thyolo!J233+Thyolo!K233+Thyolo!L233</f>
        <v>0</v>
      </c>
      <c r="G233" s="13">
        <f>Muloza!J233+Muloza!K233+Muloza!L233</f>
        <v>0</v>
      </c>
      <c r="H233" s="13">
        <f>MUST!J233+MUST!K233+MUST!L233</f>
        <v>0</v>
      </c>
      <c r="I233" s="13">
        <f>Phalombe!J233+Phalombe!K233+Phalombe!L233</f>
        <v>0</v>
      </c>
      <c r="J233" s="13">
        <f>Mikolongwe!J233+Mikolongwe!K233+Mikolongwe!L233</f>
        <v>0</v>
      </c>
      <c r="K233" s="13">
        <f>Migowi!J233+Migowi!K233+Migowi!L233</f>
        <v>0</v>
      </c>
      <c r="L233" s="8">
        <f>SUM(D233:K233)</f>
        <v>0</v>
      </c>
    </row>
    <row r="234" spans="1:12" ht="15.75" x14ac:dyDescent="0.25">
      <c r="A234" s="445" t="s">
        <v>27</v>
      </c>
      <c r="B234" s="446"/>
      <c r="C234" s="4" t="s">
        <v>18</v>
      </c>
      <c r="D234" s="13">
        <f>Mulanje!J234+Mulanje!K234+Mulanje!L234</f>
        <v>0</v>
      </c>
      <c r="E234" s="13">
        <f>Luchenza!J234+Luchenza!K234+Luchenza!L234</f>
        <v>0</v>
      </c>
      <c r="F234" s="13">
        <f>Thyolo!J234+Thyolo!K234+Thyolo!L234</f>
        <v>0</v>
      </c>
      <c r="G234" s="13">
        <f>Muloza!J234+Muloza!K234+Muloza!L234</f>
        <v>0</v>
      </c>
      <c r="H234" s="13">
        <f>MUST!J234+MUST!K234+MUST!L234</f>
        <v>0</v>
      </c>
      <c r="I234" s="13">
        <f>Phalombe!J234+Phalombe!K234+Phalombe!L234</f>
        <v>0</v>
      </c>
      <c r="J234" s="13">
        <f>Mikolongwe!J234+Mikolongwe!K234+Mikolongwe!L234</f>
        <v>0</v>
      </c>
      <c r="K234" s="13">
        <f>Migowi!J234+Migowi!K234+Migowi!L234</f>
        <v>0</v>
      </c>
      <c r="L234" s="8">
        <f>SUM(D234:K234)</f>
        <v>0</v>
      </c>
    </row>
    <row r="235" spans="1:12" ht="15.75" x14ac:dyDescent="0.25">
      <c r="A235" s="445" t="s">
        <v>26</v>
      </c>
      <c r="B235" s="446"/>
      <c r="C235" s="4" t="s">
        <v>18</v>
      </c>
      <c r="D235" s="13">
        <f>Mulanje!J235+Mulanje!K235+Mulanje!L235</f>
        <v>0</v>
      </c>
      <c r="E235" s="13">
        <f>Luchenza!J235+Luchenza!K235+Luchenza!L235</f>
        <v>0</v>
      </c>
      <c r="F235" s="13">
        <f>Thyolo!J235+Thyolo!K235+Thyolo!L235</f>
        <v>0</v>
      </c>
      <c r="G235" s="13">
        <f>Muloza!J235+Muloza!K235+Muloza!L235</f>
        <v>0</v>
      </c>
      <c r="H235" s="13">
        <f>MUST!J235+MUST!K235+MUST!L235</f>
        <v>0</v>
      </c>
      <c r="I235" s="13">
        <f>Phalombe!J235+Phalombe!K235+Phalombe!L235</f>
        <v>0</v>
      </c>
      <c r="J235" s="13">
        <f>Mikolongwe!J235+Mikolongwe!K235+Mikolongwe!L235</f>
        <v>0</v>
      </c>
      <c r="K235" s="13">
        <f>Migowi!J235+Migowi!K235+Migowi!L235</f>
        <v>0</v>
      </c>
      <c r="L235" s="8">
        <f>SUM(D235:K235)</f>
        <v>0</v>
      </c>
    </row>
    <row r="236" spans="1:12" ht="15.75" x14ac:dyDescent="0.25">
      <c r="A236" s="449" t="s">
        <v>25</v>
      </c>
      <c r="B236" s="450"/>
      <c r="C236" s="4" t="s">
        <v>18</v>
      </c>
      <c r="D236" s="10"/>
      <c r="E236" s="10"/>
      <c r="F236" s="10"/>
      <c r="G236" s="10"/>
      <c r="H236" s="10"/>
      <c r="I236" s="10"/>
      <c r="J236" s="10"/>
      <c r="K236" s="10"/>
      <c r="L236" s="35">
        <f t="shared" ref="L236" si="69">SUM(L232:L235)</f>
        <v>0</v>
      </c>
    </row>
    <row r="237" spans="1:12" x14ac:dyDescent="0.25">
      <c r="A237" s="442" t="s">
        <v>24</v>
      </c>
      <c r="B237" s="443"/>
      <c r="C237" s="443"/>
      <c r="D237" s="443"/>
      <c r="E237" s="443"/>
      <c r="F237" s="443"/>
      <c r="G237" s="443"/>
      <c r="H237" s="443"/>
      <c r="I237" s="443"/>
      <c r="J237" s="443"/>
      <c r="K237" s="443"/>
      <c r="L237" s="444"/>
    </row>
    <row r="238" spans="1:12" ht="15.75" x14ac:dyDescent="0.25">
      <c r="A238" s="445" t="s">
        <v>23</v>
      </c>
      <c r="B238" s="446"/>
      <c r="C238" s="4" t="s">
        <v>18</v>
      </c>
      <c r="D238" s="13">
        <f>Mulanje!J238+Mulanje!K238+Mulanje!L238</f>
        <v>0</v>
      </c>
      <c r="E238" s="13">
        <f>Luchenza!J238+Luchenza!K238+Luchenza!L238</f>
        <v>0</v>
      </c>
      <c r="F238" s="13">
        <f>Thyolo!J238+Thyolo!K238+Thyolo!L238</f>
        <v>0</v>
      </c>
      <c r="G238" s="13">
        <f>Muloza!J238+Muloza!K238+Muloza!L238</f>
        <v>0</v>
      </c>
      <c r="H238" s="13">
        <f>MUST!J238+MUST!K238+MUST!L238</f>
        <v>0</v>
      </c>
      <c r="I238" s="13">
        <f>Phalombe!J238+Phalombe!K238+Phalombe!L238</f>
        <v>0</v>
      </c>
      <c r="J238" s="13">
        <f>Mikolongwe!J238+Mikolongwe!K238+Mikolongwe!L238</f>
        <v>0</v>
      </c>
      <c r="K238" s="13">
        <f>Migowi!J238+Migowi!K238+Migowi!L238</f>
        <v>0</v>
      </c>
      <c r="L238" s="34">
        <f>SUM(D238:K238)</f>
        <v>0</v>
      </c>
    </row>
    <row r="239" spans="1:12" ht="15.75" x14ac:dyDescent="0.25">
      <c r="A239" s="445" t="s">
        <v>22</v>
      </c>
      <c r="B239" s="446"/>
      <c r="C239" s="4" t="s">
        <v>18</v>
      </c>
      <c r="D239" s="13">
        <f>Mulanje!J239+Mulanje!K239+Mulanje!L239</f>
        <v>0</v>
      </c>
      <c r="E239" s="13">
        <f>Luchenza!J239+Luchenza!K239+Luchenza!L239</f>
        <v>0</v>
      </c>
      <c r="F239" s="13">
        <f>Thyolo!J239+Thyolo!K239+Thyolo!L239</f>
        <v>0</v>
      </c>
      <c r="G239" s="13">
        <f>Muloza!J239+Muloza!K239+Muloza!L239</f>
        <v>0</v>
      </c>
      <c r="H239" s="13">
        <f>MUST!J239+MUST!K239+MUST!L239</f>
        <v>0</v>
      </c>
      <c r="I239" s="13">
        <f>Phalombe!J239+Phalombe!K239+Phalombe!L239</f>
        <v>0</v>
      </c>
      <c r="J239" s="13">
        <f>Mikolongwe!J239+Mikolongwe!K239+Mikolongwe!L239</f>
        <v>0</v>
      </c>
      <c r="K239" s="13">
        <f>Migowi!J239+Migowi!K239+Migowi!L239</f>
        <v>0</v>
      </c>
      <c r="L239" s="34">
        <f>SUM(D239:K239)</f>
        <v>0</v>
      </c>
    </row>
    <row r="240" spans="1:12" ht="15.75" x14ac:dyDescent="0.25">
      <c r="A240" s="445" t="s">
        <v>21</v>
      </c>
      <c r="B240" s="446"/>
      <c r="C240" s="4" t="s">
        <v>18</v>
      </c>
      <c r="D240" s="13">
        <f>Mulanje!J240+Mulanje!K240+Mulanje!L240</f>
        <v>0</v>
      </c>
      <c r="E240" s="13">
        <f>Luchenza!J240+Luchenza!K240+Luchenza!L240</f>
        <v>0</v>
      </c>
      <c r="F240" s="13">
        <f>Thyolo!J240+Thyolo!K240+Thyolo!L240</f>
        <v>0</v>
      </c>
      <c r="G240" s="13">
        <f>Muloza!J240+Muloza!K240+Muloza!L240</f>
        <v>0</v>
      </c>
      <c r="H240" s="13">
        <f>MUST!J240+MUST!K240+MUST!L240</f>
        <v>0</v>
      </c>
      <c r="I240" s="13">
        <f>Phalombe!J240+Phalombe!K240+Phalombe!L240</f>
        <v>0</v>
      </c>
      <c r="J240" s="13">
        <f>Mikolongwe!J240+Mikolongwe!K240+Mikolongwe!L240</f>
        <v>0</v>
      </c>
      <c r="K240" s="13">
        <f>Migowi!J240+Migowi!K240+Migowi!L240</f>
        <v>0</v>
      </c>
      <c r="L240" s="34">
        <f>SUM(D240:K240)</f>
        <v>0</v>
      </c>
    </row>
    <row r="241" spans="1:12" ht="15.75" x14ac:dyDescent="0.25">
      <c r="A241" s="445" t="s">
        <v>20</v>
      </c>
      <c r="B241" s="446"/>
      <c r="C241" s="4" t="s">
        <v>18</v>
      </c>
      <c r="D241" s="13">
        <f>Mulanje!J241+Mulanje!K241+Mulanje!L241</f>
        <v>0</v>
      </c>
      <c r="E241" s="13">
        <f>Luchenza!J241+Luchenza!K241+Luchenza!L241</f>
        <v>0</v>
      </c>
      <c r="F241" s="13">
        <f>Thyolo!J241+Thyolo!K241+Thyolo!L241</f>
        <v>0</v>
      </c>
      <c r="G241" s="13">
        <f>Muloza!J241+Muloza!K241+Muloza!L241</f>
        <v>0</v>
      </c>
      <c r="H241" s="13">
        <f>MUST!J241+MUST!K241+MUST!L241</f>
        <v>0</v>
      </c>
      <c r="I241" s="13">
        <f>Phalombe!J241+Phalombe!K241+Phalombe!L241</f>
        <v>0</v>
      </c>
      <c r="J241" s="13">
        <f>Mikolongwe!J241+Mikolongwe!K241+Mikolongwe!L241</f>
        <v>0</v>
      </c>
      <c r="K241" s="13">
        <f>Migowi!J241+Migowi!K241+Migowi!L241</f>
        <v>0</v>
      </c>
      <c r="L241" s="34">
        <f>SUM(D241:K241)</f>
        <v>0</v>
      </c>
    </row>
    <row r="242" spans="1:12" ht="15.75" x14ac:dyDescent="0.25">
      <c r="A242" s="449" t="s">
        <v>19</v>
      </c>
      <c r="B242" s="450"/>
      <c r="C242" s="4" t="s">
        <v>18</v>
      </c>
      <c r="D242" s="10">
        <f t="shared" ref="D242:L242" si="70">SUM(D238:D241)</f>
        <v>0</v>
      </c>
      <c r="E242" s="10">
        <f t="shared" si="70"/>
        <v>0</v>
      </c>
      <c r="F242" s="10">
        <f t="shared" si="70"/>
        <v>0</v>
      </c>
      <c r="G242" s="10">
        <f t="shared" si="70"/>
        <v>0</v>
      </c>
      <c r="H242" s="10">
        <f t="shared" si="70"/>
        <v>0</v>
      </c>
      <c r="I242" s="10">
        <f t="shared" si="70"/>
        <v>0</v>
      </c>
      <c r="J242" s="10">
        <f t="shared" si="70"/>
        <v>0</v>
      </c>
      <c r="K242" s="10">
        <f t="shared" si="70"/>
        <v>0</v>
      </c>
      <c r="L242" s="35">
        <f t="shared" si="70"/>
        <v>0</v>
      </c>
    </row>
    <row r="243" spans="1:12" ht="15.75" x14ac:dyDescent="0.25">
      <c r="A243" s="449" t="s">
        <v>216</v>
      </c>
      <c r="B243" s="450"/>
      <c r="C243" s="4" t="s">
        <v>18</v>
      </c>
      <c r="D243" s="9">
        <f>D230+D236+D242</f>
        <v>0</v>
      </c>
      <c r="E243" s="9">
        <f t="shared" ref="E243:K243" si="71">E230+E236+E242</f>
        <v>0</v>
      </c>
      <c r="F243" s="9">
        <f t="shared" si="71"/>
        <v>0</v>
      </c>
      <c r="G243" s="9">
        <f t="shared" si="71"/>
        <v>0</v>
      </c>
      <c r="H243" s="9">
        <f t="shared" si="71"/>
        <v>0</v>
      </c>
      <c r="I243" s="9">
        <f t="shared" si="71"/>
        <v>0</v>
      </c>
      <c r="J243" s="9">
        <f t="shared" si="71"/>
        <v>0</v>
      </c>
      <c r="K243" s="9">
        <f t="shared" si="71"/>
        <v>0</v>
      </c>
      <c r="L243" s="35">
        <f t="shared" ref="L243" si="72">L216+L223+L236+L242</f>
        <v>0</v>
      </c>
    </row>
    <row r="244" spans="1:12" x14ac:dyDescent="0.25">
      <c r="A244" s="442" t="s">
        <v>206</v>
      </c>
      <c r="B244" s="443"/>
      <c r="C244" s="443"/>
      <c r="D244" s="443"/>
      <c r="E244" s="443"/>
      <c r="F244" s="443"/>
      <c r="G244" s="443"/>
      <c r="H244" s="443"/>
      <c r="I244" s="443"/>
      <c r="J244" s="443"/>
      <c r="K244" s="443"/>
      <c r="L244" s="444"/>
    </row>
    <row r="245" spans="1:12" ht="15.75" x14ac:dyDescent="0.25">
      <c r="A245" s="456" t="s">
        <v>207</v>
      </c>
      <c r="B245" s="457"/>
      <c r="C245" s="4" t="s">
        <v>18</v>
      </c>
      <c r="D245" s="13">
        <f>Mulanje!J245+Mulanje!K245+Mulanje!L245</f>
        <v>0</v>
      </c>
      <c r="E245" s="13">
        <f>Luchenza!J245+Luchenza!K245+Luchenza!L245</f>
        <v>0</v>
      </c>
      <c r="F245" s="13">
        <f>Thyolo!J245+Thyolo!K245+Thyolo!L245</f>
        <v>0</v>
      </c>
      <c r="G245" s="13">
        <f>Muloza!J245+Muloza!K245+Muloza!L245</f>
        <v>0</v>
      </c>
      <c r="H245" s="13">
        <f>MUST!J245+MUST!K245+MUST!L245</f>
        <v>0</v>
      </c>
      <c r="I245" s="13">
        <f>Phalombe!J245+Phalombe!K245+Phalombe!L245</f>
        <v>0</v>
      </c>
      <c r="J245" s="13">
        <f>Mikolongwe!J245+Mikolongwe!K245+Mikolongwe!L245</f>
        <v>0</v>
      </c>
      <c r="K245" s="13">
        <f>Migowi!J245+Migowi!K245+Migowi!L245</f>
        <v>0</v>
      </c>
      <c r="L245" s="35">
        <f>SUM(D245:K245)</f>
        <v>0</v>
      </c>
    </row>
    <row r="246" spans="1:12" ht="15.75" x14ac:dyDescent="0.25">
      <c r="A246" s="456" t="s">
        <v>208</v>
      </c>
      <c r="B246" s="457"/>
      <c r="C246" s="4" t="s">
        <v>18</v>
      </c>
      <c r="D246" s="13">
        <f>Mulanje!J246+Mulanje!K246+Mulanje!L246</f>
        <v>0</v>
      </c>
      <c r="E246" s="13">
        <f>Luchenza!J246+Luchenza!K246+Luchenza!L246</f>
        <v>0</v>
      </c>
      <c r="F246" s="13">
        <f>Thyolo!J246+Thyolo!K246+Thyolo!L246</f>
        <v>0</v>
      </c>
      <c r="G246" s="13">
        <f>Muloza!J246+Muloza!K246+Muloza!L246</f>
        <v>0</v>
      </c>
      <c r="H246" s="13">
        <f>MUST!J246+MUST!K246+MUST!L246</f>
        <v>0</v>
      </c>
      <c r="I246" s="13">
        <f>Phalombe!J246+Phalombe!K246+Phalombe!L246</f>
        <v>0</v>
      </c>
      <c r="J246" s="13">
        <f>Mikolongwe!J246+Mikolongwe!K246+Mikolongwe!L246</f>
        <v>0</v>
      </c>
      <c r="K246" s="13">
        <f>Migowi!J246+Migowi!K246+Migowi!L246</f>
        <v>0</v>
      </c>
      <c r="L246" s="35">
        <f>SUM(D246:K246)</f>
        <v>0</v>
      </c>
    </row>
    <row r="247" spans="1:12" ht="15.75" x14ac:dyDescent="0.25">
      <c r="A247" s="458" t="s">
        <v>209</v>
      </c>
      <c r="B247" s="459"/>
      <c r="C247" s="4" t="s">
        <v>18</v>
      </c>
      <c r="D247" s="163">
        <f>D245+D246</f>
        <v>0</v>
      </c>
      <c r="E247" s="163">
        <f t="shared" ref="E247:K247" si="73">E245+E246</f>
        <v>0</v>
      </c>
      <c r="F247" s="163">
        <f t="shared" si="73"/>
        <v>0</v>
      </c>
      <c r="G247" s="163">
        <f t="shared" si="73"/>
        <v>0</v>
      </c>
      <c r="H247" s="163">
        <f t="shared" si="73"/>
        <v>0</v>
      </c>
      <c r="I247" s="163">
        <f t="shared" si="73"/>
        <v>0</v>
      </c>
      <c r="J247" s="163">
        <f t="shared" si="73"/>
        <v>0</v>
      </c>
      <c r="K247" s="163">
        <f t="shared" si="73"/>
        <v>0</v>
      </c>
      <c r="L247" s="147">
        <f t="shared" ref="L247" si="74">L245+L246</f>
        <v>0</v>
      </c>
    </row>
    <row r="248" spans="1:12" x14ac:dyDescent="0.25">
      <c r="A248" s="442" t="s">
        <v>17</v>
      </c>
      <c r="B248" s="443"/>
      <c r="C248" s="443"/>
      <c r="D248" s="443"/>
      <c r="E248" s="443"/>
      <c r="F248" s="443"/>
      <c r="G248" s="443"/>
      <c r="H248" s="443"/>
      <c r="I248" s="443"/>
      <c r="J248" s="443"/>
      <c r="K248" s="443"/>
      <c r="L248" s="444"/>
    </row>
    <row r="249" spans="1:12" ht="15.75" x14ac:dyDescent="0.25">
      <c r="A249" s="445" t="s">
        <v>16</v>
      </c>
      <c r="B249" s="446"/>
      <c r="C249" s="4" t="s">
        <v>6</v>
      </c>
      <c r="D249" s="7" t="e">
        <f>D58/D243%</f>
        <v>#DIV/0!</v>
      </c>
      <c r="E249" s="7" t="e">
        <f t="shared" ref="E249:L249" si="75">E58/E243%</f>
        <v>#DIV/0!</v>
      </c>
      <c r="F249" s="7" t="e">
        <f t="shared" si="75"/>
        <v>#DIV/0!</v>
      </c>
      <c r="G249" s="7" t="e">
        <f t="shared" si="75"/>
        <v>#DIV/0!</v>
      </c>
      <c r="H249" s="7" t="e">
        <f t="shared" si="75"/>
        <v>#DIV/0!</v>
      </c>
      <c r="I249" s="7" t="e">
        <f t="shared" si="75"/>
        <v>#DIV/0!</v>
      </c>
      <c r="J249" s="7" t="e">
        <f t="shared" si="75"/>
        <v>#DIV/0!</v>
      </c>
      <c r="K249" s="7" t="e">
        <f t="shared" si="75"/>
        <v>#DIV/0!</v>
      </c>
      <c r="L249" s="7" t="e">
        <f t="shared" si="75"/>
        <v>#DIV/0!</v>
      </c>
    </row>
    <row r="250" spans="1:12" ht="15.75" x14ac:dyDescent="0.25">
      <c r="A250" s="445" t="s">
        <v>210</v>
      </c>
      <c r="B250" s="446"/>
      <c r="C250" s="4" t="s">
        <v>6</v>
      </c>
      <c r="D250" s="25" t="e">
        <f>D210/(D223+D245)%</f>
        <v>#DIV/0!</v>
      </c>
      <c r="E250" s="25" t="e">
        <f t="shared" ref="E250:L250" si="76">E210/(E223+E245)%</f>
        <v>#DIV/0!</v>
      </c>
      <c r="F250" s="25" t="e">
        <f t="shared" si="76"/>
        <v>#DIV/0!</v>
      </c>
      <c r="G250" s="25" t="e">
        <f t="shared" si="76"/>
        <v>#DIV/0!</v>
      </c>
      <c r="H250" s="25" t="e">
        <f t="shared" si="76"/>
        <v>#DIV/0!</v>
      </c>
      <c r="I250" s="25" t="e">
        <f t="shared" si="76"/>
        <v>#DIV/0!</v>
      </c>
      <c r="J250" s="25" t="e">
        <f t="shared" si="76"/>
        <v>#DIV/0!</v>
      </c>
      <c r="K250" s="25" t="e">
        <f t="shared" si="76"/>
        <v>#DIV/0!</v>
      </c>
      <c r="L250" s="25" t="e">
        <f t="shared" si="76"/>
        <v>#DIV/0!</v>
      </c>
    </row>
    <row r="251" spans="1:12" ht="16.5" thickBot="1" x14ac:dyDescent="0.3">
      <c r="A251" s="451" t="s">
        <v>15</v>
      </c>
      <c r="B251" s="452"/>
      <c r="C251" s="4" t="s">
        <v>6</v>
      </c>
      <c r="D251" s="6" t="e">
        <f>D210/D223%</f>
        <v>#DIV/0!</v>
      </c>
      <c r="E251" s="6" t="e">
        <f t="shared" ref="E251:L251" si="77">E210/E223%</f>
        <v>#DIV/0!</v>
      </c>
      <c r="F251" s="6" t="e">
        <f t="shared" si="77"/>
        <v>#DIV/0!</v>
      </c>
      <c r="G251" s="6" t="e">
        <f t="shared" si="77"/>
        <v>#DIV/0!</v>
      </c>
      <c r="H251" s="6" t="e">
        <f t="shared" si="77"/>
        <v>#DIV/0!</v>
      </c>
      <c r="I251" s="6" t="e">
        <f t="shared" si="77"/>
        <v>#DIV/0!</v>
      </c>
      <c r="J251" s="6" t="e">
        <f t="shared" si="77"/>
        <v>#DIV/0!</v>
      </c>
      <c r="K251" s="6" t="e">
        <f t="shared" si="77"/>
        <v>#DIV/0!</v>
      </c>
      <c r="L251" s="6" t="e">
        <f t="shared" si="77"/>
        <v>#DIV/0!</v>
      </c>
    </row>
    <row r="252" spans="1:12" x14ac:dyDescent="0.25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5"/>
    </row>
    <row r="253" spans="1:12" ht="15" customHeight="1" x14ac:dyDescent="0.25">
      <c r="A253" s="445" t="s">
        <v>13</v>
      </c>
      <c r="B253" s="446"/>
      <c r="C253" s="4" t="s">
        <v>3</v>
      </c>
      <c r="D253" s="22">
        <f>Mulanje!J253+Mulanje!K253+Mulanje!L253</f>
        <v>0</v>
      </c>
      <c r="E253" s="22">
        <f>Luchenza!J253+Luchenza!K253+Luchenza!L253</f>
        <v>0</v>
      </c>
      <c r="F253" s="22">
        <f>Thyolo!J253+Thyolo!K253+Thyolo!L253</f>
        <v>0</v>
      </c>
      <c r="G253" s="22">
        <f>Muloza!J253+Muloza!K253+Muloza!L253</f>
        <v>0</v>
      </c>
      <c r="H253" s="22">
        <f>MUST!J253+MUST!K253+MUST!L253</f>
        <v>0</v>
      </c>
      <c r="I253" s="22">
        <f>Phalombe!J253+Phalombe!K253+Phalombe!L253</f>
        <v>0</v>
      </c>
      <c r="J253" s="22">
        <f>Mikolongwe!J253+Mikolongwe!K253+Mikolongwe!L253</f>
        <v>0</v>
      </c>
      <c r="K253" s="22">
        <f>Migowi!J253+Migowi!K253+Migowi!L253</f>
        <v>0</v>
      </c>
      <c r="L253" s="103">
        <f>SUM(D253:K253)</f>
        <v>0</v>
      </c>
    </row>
    <row r="254" spans="1:12" ht="15.75" x14ac:dyDescent="0.25">
      <c r="A254" s="445" t="s">
        <v>12</v>
      </c>
      <c r="B254" s="446"/>
      <c r="C254" s="4" t="s">
        <v>3</v>
      </c>
      <c r="D254" s="22">
        <f>Mulanje!J254+Mulanje!K254+Mulanje!L254</f>
        <v>0</v>
      </c>
      <c r="E254" s="22">
        <f>Luchenza!J254+Luchenza!K254+Luchenza!L254</f>
        <v>0</v>
      </c>
      <c r="F254" s="22">
        <f>Thyolo!J254+Thyolo!K254+Thyolo!L254</f>
        <v>0</v>
      </c>
      <c r="G254" s="22">
        <f>Muloza!J254+Muloza!K254+Muloza!L254</f>
        <v>0</v>
      </c>
      <c r="H254" s="22">
        <f>MUST!J254+MUST!K254+MUST!L254</f>
        <v>0</v>
      </c>
      <c r="I254" s="22">
        <f>Phalombe!J254+Phalombe!K254+Phalombe!L254</f>
        <v>0</v>
      </c>
      <c r="J254" s="22">
        <f>Mikolongwe!J254+Mikolongwe!K254+Mikolongwe!L254</f>
        <v>0</v>
      </c>
      <c r="K254" s="22">
        <f>Migowi!J254+Migowi!K254+Migowi!L254</f>
        <v>0</v>
      </c>
      <c r="L254" s="103">
        <f>SUM(D254:K254)</f>
        <v>0</v>
      </c>
    </row>
    <row r="255" spans="1:12" ht="15.75" customHeight="1" x14ac:dyDescent="0.25">
      <c r="A255" s="445" t="s">
        <v>11</v>
      </c>
      <c r="B255" s="446"/>
      <c r="C255" s="4" t="s">
        <v>3</v>
      </c>
      <c r="D255" s="22">
        <f>Mulanje!J255+Mulanje!K255+Mulanje!L255</f>
        <v>60</v>
      </c>
      <c r="E255" s="22">
        <f>Luchenza!J255+Luchenza!K255+Luchenza!L255</f>
        <v>129</v>
      </c>
      <c r="F255" s="22">
        <f>Thyolo!J255+Thyolo!K255+Thyolo!L255</f>
        <v>48</v>
      </c>
      <c r="G255" s="22">
        <f>Muloza!J255+Muloza!K255+Muloza!L255</f>
        <v>195</v>
      </c>
      <c r="H255" s="22">
        <f>MUST!J255+MUST!K255+MUST!L255</f>
        <v>9</v>
      </c>
      <c r="I255" s="22">
        <f>Phalombe!J255+Phalombe!K255+Phalombe!L255</f>
        <v>120</v>
      </c>
      <c r="J255" s="22">
        <f>Mikolongwe!J255+Mikolongwe!K255+Mikolongwe!L255</f>
        <v>0</v>
      </c>
      <c r="K255" s="22">
        <f>Migowi!J255+Migowi!K255+Migowi!L255</f>
        <v>0</v>
      </c>
      <c r="L255" s="103">
        <f>SUM(D255:K255)</f>
        <v>561</v>
      </c>
    </row>
    <row r="256" spans="1:12" ht="15.75" x14ac:dyDescent="0.25">
      <c r="A256" s="445" t="s">
        <v>10</v>
      </c>
      <c r="B256" s="446"/>
      <c r="C256" s="4" t="s">
        <v>3</v>
      </c>
      <c r="D256" s="22">
        <f>Mulanje!J256+Mulanje!K256+Mulanje!L256</f>
        <v>0</v>
      </c>
      <c r="E256" s="22">
        <f>Luchenza!J256+Luchenza!K256+Luchenza!L256</f>
        <v>0</v>
      </c>
      <c r="F256" s="22">
        <f>Thyolo!J256+Thyolo!K256+Thyolo!L256</f>
        <v>0</v>
      </c>
      <c r="G256" s="22">
        <f>Muloza!J256+Muloza!K256+Muloza!L256</f>
        <v>0</v>
      </c>
      <c r="H256" s="22">
        <f>MUST!J256+MUST!K256+MUST!L256</f>
        <v>0</v>
      </c>
      <c r="I256" s="22">
        <f>Phalombe!J256+Phalombe!K256+Phalombe!L256</f>
        <v>0</v>
      </c>
      <c r="J256" s="22">
        <f>Mikolongwe!J256+Mikolongwe!K256+Mikolongwe!L256</f>
        <v>0</v>
      </c>
      <c r="K256" s="22">
        <f>Migowi!J256+Migowi!K256+Migowi!L256</f>
        <v>0</v>
      </c>
      <c r="L256" s="103">
        <f>SUM(D256:K256)</f>
        <v>0</v>
      </c>
    </row>
    <row r="257" spans="1:12" ht="15.6" customHeight="1" x14ac:dyDescent="0.25">
      <c r="A257" s="445" t="s">
        <v>9</v>
      </c>
      <c r="B257" s="446"/>
      <c r="C257" s="4" t="s">
        <v>3</v>
      </c>
      <c r="D257" s="22">
        <f>Mulanje!J257+Mulanje!K257+Mulanje!L257</f>
        <v>0</v>
      </c>
      <c r="E257" s="22">
        <f>Luchenza!J257+Luchenza!K257+Luchenza!L257</f>
        <v>0</v>
      </c>
      <c r="F257" s="22">
        <f>Thyolo!J257+Thyolo!K257+Thyolo!L257</f>
        <v>0</v>
      </c>
      <c r="G257" s="22">
        <f>Muloza!J257+Muloza!K257+Muloza!L257</f>
        <v>0</v>
      </c>
      <c r="H257" s="22">
        <f>MUST!J257+MUST!K257+MUST!L257</f>
        <v>0</v>
      </c>
      <c r="I257" s="22">
        <f>Phalombe!J257+Phalombe!K257+Phalombe!L257</f>
        <v>0</v>
      </c>
      <c r="J257" s="22">
        <f>Mikolongwe!J257+Mikolongwe!K257+Mikolongwe!L257</f>
        <v>0</v>
      </c>
      <c r="K257" s="22">
        <f>Migowi!J257+Migowi!K257+Migowi!L257</f>
        <v>0</v>
      </c>
      <c r="L257" s="103">
        <f>SUM(D257:K257)</f>
        <v>0</v>
      </c>
    </row>
    <row r="258" spans="1:12" ht="15.75" x14ac:dyDescent="0.25">
      <c r="A258" s="449" t="s">
        <v>8</v>
      </c>
      <c r="B258" s="450"/>
      <c r="C258" s="4" t="s">
        <v>3</v>
      </c>
      <c r="D258" s="1" t="e">
        <f t="shared" ref="D258:L258" si="78">D257/D256</f>
        <v>#DIV/0!</v>
      </c>
      <c r="E258" s="1" t="e">
        <f t="shared" si="78"/>
        <v>#DIV/0!</v>
      </c>
      <c r="F258" s="1" t="e">
        <f t="shared" si="78"/>
        <v>#DIV/0!</v>
      </c>
      <c r="G258" s="2" t="e">
        <f t="shared" si="78"/>
        <v>#DIV/0!</v>
      </c>
      <c r="H258" s="2" t="e">
        <f t="shared" si="78"/>
        <v>#DIV/0!</v>
      </c>
      <c r="I258" s="2" t="e">
        <f t="shared" si="78"/>
        <v>#DIV/0!</v>
      </c>
      <c r="J258" s="2" t="e">
        <f t="shared" si="78"/>
        <v>#DIV/0!</v>
      </c>
      <c r="K258" s="2" t="e">
        <f t="shared" si="78"/>
        <v>#DIV/0!</v>
      </c>
      <c r="L258" s="103" t="e">
        <f t="shared" si="78"/>
        <v>#DIV/0!</v>
      </c>
    </row>
    <row r="259" spans="1:12" ht="15.75" x14ac:dyDescent="0.25">
      <c r="A259" s="449" t="s">
        <v>7</v>
      </c>
      <c r="B259" s="450"/>
      <c r="C259" s="4" t="s">
        <v>6</v>
      </c>
      <c r="D259" s="1">
        <f t="shared" ref="D259:L259" si="79">D92/D255*100</f>
        <v>0</v>
      </c>
      <c r="E259" s="1">
        <f t="shared" si="79"/>
        <v>0</v>
      </c>
      <c r="F259" s="1">
        <f t="shared" si="79"/>
        <v>0</v>
      </c>
      <c r="G259" s="5">
        <f t="shared" si="79"/>
        <v>0</v>
      </c>
      <c r="H259" s="159">
        <f t="shared" si="79"/>
        <v>0</v>
      </c>
      <c r="I259" s="5">
        <f t="shared" si="79"/>
        <v>0</v>
      </c>
      <c r="J259" s="5" t="e">
        <f t="shared" si="79"/>
        <v>#DIV/0!</v>
      </c>
      <c r="K259" s="5" t="e">
        <f t="shared" si="79"/>
        <v>#DIV/0!</v>
      </c>
      <c r="L259" s="104">
        <f t="shared" si="79"/>
        <v>0</v>
      </c>
    </row>
    <row r="260" spans="1:12" x14ac:dyDescent="0.25">
      <c r="A260" s="442" t="s">
        <v>5</v>
      </c>
      <c r="B260" s="443"/>
      <c r="C260" s="443"/>
      <c r="D260" s="443"/>
      <c r="E260" s="443"/>
      <c r="F260" s="443"/>
      <c r="G260" s="443"/>
      <c r="H260" s="443"/>
      <c r="I260" s="443"/>
      <c r="J260" s="443"/>
      <c r="K260" s="443"/>
      <c r="L260" s="444"/>
    </row>
    <row r="261" spans="1:12" ht="15" customHeight="1" x14ac:dyDescent="0.25">
      <c r="A261" s="445" t="s">
        <v>4</v>
      </c>
      <c r="B261" s="446"/>
      <c r="C261" s="4" t="s">
        <v>3</v>
      </c>
      <c r="D261" s="22">
        <f>Mulanje!J261+Mulanje!K261+Mulanje!L261</f>
        <v>0</v>
      </c>
      <c r="E261" s="22">
        <f>Luchenza!J261+Luchenza!K261+Luchenza!L261</f>
        <v>0</v>
      </c>
      <c r="F261" s="22">
        <f>Thyolo!J261+Thyolo!K261+Thyolo!L261</f>
        <v>0</v>
      </c>
      <c r="G261" s="22">
        <f>Muloza!J261+Muloza!K261+Muloza!L261</f>
        <v>0</v>
      </c>
      <c r="H261" s="22">
        <f>MUST!J261+MUST!K261+MUST!L261</f>
        <v>0</v>
      </c>
      <c r="I261" s="22">
        <f>Phalombe!J261+Phalombe!K261+Phalombe!L261</f>
        <v>0</v>
      </c>
      <c r="J261" s="22">
        <f>Mikolongwe!J261+Mikolongwe!K261+Mikolongwe!L261</f>
        <v>0</v>
      </c>
      <c r="K261" s="22">
        <f>Migowi!J261+Migowi!K261+Migowi!L261</f>
        <v>0</v>
      </c>
      <c r="L261" s="103"/>
    </row>
    <row r="262" spans="1:12" ht="15.75" customHeight="1" x14ac:dyDescent="0.25">
      <c r="A262" s="445" t="s">
        <v>2</v>
      </c>
      <c r="B262" s="446"/>
      <c r="C262" s="4" t="s">
        <v>0</v>
      </c>
      <c r="D262" s="22">
        <f>Mulanje!J262+Mulanje!K262+Mulanje!L262</f>
        <v>0</v>
      </c>
      <c r="E262" s="22">
        <f>Luchenza!J262+Luchenza!K262+Luchenza!L262</f>
        <v>0</v>
      </c>
      <c r="F262" s="22">
        <f>Thyolo!J262+Thyolo!K262+Thyolo!L262</f>
        <v>0</v>
      </c>
      <c r="G262" s="22">
        <f>Muloza!J262+Muloza!K262+Muloza!L262</f>
        <v>0</v>
      </c>
      <c r="H262" s="22">
        <f>MUST!J262+MUST!K262+MUST!L262</f>
        <v>0</v>
      </c>
      <c r="I262" s="22">
        <f>Phalombe!J262+Phalombe!K262+Phalombe!L262</f>
        <v>0</v>
      </c>
      <c r="J262" s="22">
        <f>Mikolongwe!J262+Mikolongwe!K262+Mikolongwe!L262</f>
        <v>0</v>
      </c>
      <c r="K262" s="22">
        <f>Migowi!J262+Migowi!K262+Migowi!L262</f>
        <v>0</v>
      </c>
      <c r="L262" s="103"/>
    </row>
    <row r="263" spans="1:12" ht="16.5" thickBot="1" x14ac:dyDescent="0.3">
      <c r="A263" s="447" t="s">
        <v>1</v>
      </c>
      <c r="B263" s="448"/>
      <c r="C263" s="105" t="s">
        <v>0</v>
      </c>
      <c r="D263" s="106" t="e">
        <f t="shared" ref="D263:L263" si="80">D261/D262</f>
        <v>#DIV/0!</v>
      </c>
      <c r="E263" s="106" t="e">
        <f t="shared" si="80"/>
        <v>#DIV/0!</v>
      </c>
      <c r="F263" s="106" t="e">
        <f t="shared" si="80"/>
        <v>#DIV/0!</v>
      </c>
      <c r="G263" s="106" t="e">
        <f t="shared" si="80"/>
        <v>#DIV/0!</v>
      </c>
      <c r="H263" s="106" t="e">
        <f t="shared" si="80"/>
        <v>#DIV/0!</v>
      </c>
      <c r="I263" s="106" t="e">
        <f t="shared" si="80"/>
        <v>#DIV/0!</v>
      </c>
      <c r="J263" s="106" t="e">
        <f t="shared" si="80"/>
        <v>#DIV/0!</v>
      </c>
      <c r="K263" s="106" t="e">
        <f t="shared" si="80"/>
        <v>#DIV/0!</v>
      </c>
      <c r="L263" s="106" t="e">
        <f t="shared" si="80"/>
        <v>#DIV/0!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263"/>
  <sheetViews>
    <sheetView workbookViewId="0">
      <pane xSplit="3" topLeftCell="D1" activePane="topRight" state="frozen"/>
      <selection pane="topRight" activeCell="O26" sqref="O2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5703125" bestFit="1" customWidth="1"/>
    <col min="5" max="10" width="19.140625" customWidth="1"/>
    <col min="11" max="12" width="23.140625" customWidth="1"/>
    <col min="13" max="13" width="21.42578125" bestFit="1" customWidth="1"/>
  </cols>
  <sheetData>
    <row r="1" spans="1:13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5" thickBot="1" x14ac:dyDescent="0.3">
      <c r="A7" s="519" t="s">
        <v>176</v>
      </c>
      <c r="B7" s="520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.75" thickBot="1" x14ac:dyDescent="0.3">
      <c r="A8" s="521" t="s">
        <v>161</v>
      </c>
      <c r="B8" s="522"/>
      <c r="C8" s="522"/>
      <c r="D8" s="522"/>
      <c r="E8" s="522"/>
      <c r="F8" s="522"/>
      <c r="G8" s="522"/>
      <c r="H8" s="522"/>
      <c r="I8" s="522"/>
      <c r="J8" s="522"/>
      <c r="K8" s="522"/>
      <c r="L8" s="522"/>
      <c r="M8" s="523"/>
    </row>
    <row r="9" spans="1:13" ht="15.75" x14ac:dyDescent="0.25">
      <c r="A9" s="524" t="s">
        <v>178</v>
      </c>
      <c r="B9" s="525"/>
      <c r="C9" s="53" t="s">
        <v>154</v>
      </c>
      <c r="D9" s="52">
        <f>Mulanje!M9+Mulanje!N9+Mulanje!O9</f>
        <v>0</v>
      </c>
      <c r="E9" s="52">
        <f>Luchenza!M9+Luchenza!N9+Luchenza!O9</f>
        <v>0</v>
      </c>
      <c r="F9" s="52">
        <f>Thyolo!M9+Thyolo!N9+Thyolo!O9</f>
        <v>0</v>
      </c>
      <c r="G9" s="52">
        <f>Muloza!M9+Muloza!N9+Muloza!O9</f>
        <v>0</v>
      </c>
      <c r="H9" s="52">
        <f>MUST!M9+MUST!N9+MUST!O9</f>
        <v>0</v>
      </c>
      <c r="I9" s="52">
        <f>Phalombe!M9+Phalombe!N9+Phalombe!O9</f>
        <v>0</v>
      </c>
      <c r="J9" s="52">
        <f>Mikolongwe!M9+Mikolongwe!N9+Mikolongwe!O9</f>
        <v>0</v>
      </c>
      <c r="K9" s="52">
        <f>Migowi!M9+Migowi!N9+Migowi!O9</f>
        <v>0</v>
      </c>
      <c r="L9" s="52">
        <f>Nkando!N9+Nkando!O9+Nkando!P9</f>
        <v>6562</v>
      </c>
      <c r="M9" s="51">
        <f>SUM(D9:L9)</f>
        <v>6562</v>
      </c>
    </row>
    <row r="10" spans="1:13" x14ac:dyDescent="0.25">
      <c r="A10" s="442" t="s">
        <v>179</v>
      </c>
      <c r="B10" s="443"/>
      <c r="C10" s="443"/>
      <c r="D10" s="526"/>
      <c r="E10" s="526"/>
      <c r="F10" s="526"/>
      <c r="G10" s="526"/>
      <c r="H10" s="526"/>
      <c r="I10" s="526"/>
      <c r="J10" s="526"/>
      <c r="K10" s="526"/>
      <c r="L10" s="526"/>
      <c r="M10" s="444"/>
    </row>
    <row r="11" spans="1:13" ht="15.75" x14ac:dyDescent="0.25">
      <c r="A11" s="460" t="s">
        <v>159</v>
      </c>
      <c r="B11" s="461"/>
      <c r="C11" s="4" t="s">
        <v>154</v>
      </c>
      <c r="D11" s="22">
        <f>Mulanje!M11+Mulanje!N11+Mulanje!O11</f>
        <v>0</v>
      </c>
      <c r="E11" s="22">
        <f>Luchenza!M11+Luchenza!N11+Luchenza!O11</f>
        <v>0</v>
      </c>
      <c r="F11" s="22">
        <f>Thyolo!M11+Thyolo!N11+Thyolo!O11</f>
        <v>0</v>
      </c>
      <c r="G11" s="22">
        <f>Muloza!M11+Muloza!N11+Muloza!O11</f>
        <v>0</v>
      </c>
      <c r="H11" s="22">
        <f>MUST!M11+MUST!N11+MUST!O11</f>
        <v>0</v>
      </c>
      <c r="I11" s="22">
        <f>Phalombe!M11+Phalombe!N11+Phalombe!O11</f>
        <v>0</v>
      </c>
      <c r="J11" s="22">
        <f>Mikolongwe!M11+Mikolongwe!N11+Mikolongwe!O11</f>
        <v>0</v>
      </c>
      <c r="K11" s="22">
        <f>Migowi!M11+Migowi!N11+Migowi!O11</f>
        <v>0</v>
      </c>
      <c r="L11" s="22">
        <f>Nkando!N11+Nkando!O11+Nkando!P11</f>
        <v>0</v>
      </c>
      <c r="M11" s="50">
        <f>SUM(D11:L11)</f>
        <v>0</v>
      </c>
    </row>
    <row r="12" spans="1:13" ht="15.75" x14ac:dyDescent="0.25">
      <c r="A12" s="460" t="s">
        <v>158</v>
      </c>
      <c r="B12" s="461"/>
      <c r="C12" s="4" t="s">
        <v>154</v>
      </c>
      <c r="D12" s="22">
        <f>Mulanje!M12+Mulanje!N12+Mulanje!O12</f>
        <v>0</v>
      </c>
      <c r="E12" s="22">
        <f>Luchenza!M12+Luchenza!N12+Luchenza!O12</f>
        <v>0</v>
      </c>
      <c r="F12" s="22">
        <f>Thyolo!M12+Thyolo!N12+Thyolo!O12</f>
        <v>0</v>
      </c>
      <c r="G12" s="22">
        <f>Muloza!M12+Muloza!N12+Muloza!O12</f>
        <v>0</v>
      </c>
      <c r="H12" s="22">
        <f>MUST!M12+MUST!N12+MUST!O12</f>
        <v>0</v>
      </c>
      <c r="I12" s="22">
        <f>Phalombe!M12+Phalombe!N12+Phalombe!O12</f>
        <v>0</v>
      </c>
      <c r="J12" s="22">
        <f>Mikolongwe!M12+Mikolongwe!N12+Mikolongwe!O12</f>
        <v>0</v>
      </c>
      <c r="K12" s="22">
        <f>Migowi!M12+Migowi!N12+Migowi!O12</f>
        <v>0</v>
      </c>
      <c r="L12" s="22">
        <f>Nkando!N12+Nkando!O12+Nkando!P12</f>
        <v>0</v>
      </c>
      <c r="M12" s="50">
        <f t="shared" ref="M12:M14" si="0">SUM(D12:L12)</f>
        <v>0</v>
      </c>
    </row>
    <row r="13" spans="1:13" ht="15.75" x14ac:dyDescent="0.25">
      <c r="A13" s="460" t="s">
        <v>157</v>
      </c>
      <c r="B13" s="461"/>
      <c r="C13" s="4" t="s">
        <v>154</v>
      </c>
      <c r="D13" s="22">
        <f>Mulanje!M13+Mulanje!N13+Mulanje!O13</f>
        <v>0</v>
      </c>
      <c r="E13" s="22">
        <f>Luchenza!M13+Luchenza!N13+Luchenza!O13</f>
        <v>0</v>
      </c>
      <c r="F13" s="22">
        <f>Thyolo!M13+Thyolo!N13+Thyolo!O13</f>
        <v>0</v>
      </c>
      <c r="G13" s="22">
        <f>Muloza!M13+Muloza!N13+Muloza!O13</f>
        <v>0</v>
      </c>
      <c r="H13" s="22">
        <f>MUST!M13+MUST!N13+MUST!O13</f>
        <v>0</v>
      </c>
      <c r="I13" s="22">
        <f>Phalombe!M13+Phalombe!N13+Phalombe!O13</f>
        <v>0</v>
      </c>
      <c r="J13" s="22">
        <f>Mikolongwe!M13+Mikolongwe!N13+Mikolongwe!O13</f>
        <v>0</v>
      </c>
      <c r="K13" s="22">
        <f>Migowi!M13+Migowi!N13+Migowi!O13</f>
        <v>0</v>
      </c>
      <c r="L13" s="22">
        <f>Nkando!N13+Nkando!O13+Nkando!P13</f>
        <v>0</v>
      </c>
      <c r="M13" s="50">
        <f t="shared" si="0"/>
        <v>0</v>
      </c>
    </row>
    <row r="14" spans="1:13" ht="15.75" x14ac:dyDescent="0.25">
      <c r="A14" s="445" t="s">
        <v>156</v>
      </c>
      <c r="B14" s="446"/>
      <c r="C14" s="4" t="s">
        <v>154</v>
      </c>
      <c r="D14" s="22">
        <f>Mulanje!M14+Mulanje!N14+Mulanje!O14</f>
        <v>0</v>
      </c>
      <c r="E14" s="22">
        <f>Luchenza!M14+Luchenza!N14+Luchenza!O14</f>
        <v>0</v>
      </c>
      <c r="F14" s="22">
        <f>Thyolo!M14+Thyolo!N14+Thyolo!O14</f>
        <v>0</v>
      </c>
      <c r="G14" s="22">
        <f>Muloza!M14+Muloza!N14+Muloza!O14</f>
        <v>0</v>
      </c>
      <c r="H14" s="22">
        <f>MUST!M14+MUST!N14+MUST!O14</f>
        <v>0</v>
      </c>
      <c r="I14" s="22">
        <f>Phalombe!M14+Phalombe!N14+Phalombe!O14</f>
        <v>0</v>
      </c>
      <c r="J14" s="22">
        <f>Mikolongwe!M14+Mikolongwe!N14+Mikolongwe!O14</f>
        <v>0</v>
      </c>
      <c r="K14" s="22">
        <f>Migowi!M14+Migowi!N14+Migowi!O14</f>
        <v>0</v>
      </c>
      <c r="L14" s="22">
        <f>Nkando!N14+Nkando!O14+Nkando!P14</f>
        <v>0</v>
      </c>
      <c r="M14" s="50">
        <f t="shared" si="0"/>
        <v>0</v>
      </c>
    </row>
    <row r="15" spans="1:13" s="58" customFormat="1" ht="15.75" x14ac:dyDescent="0.25">
      <c r="A15" s="478" t="s">
        <v>160</v>
      </c>
      <c r="B15" s="479"/>
      <c r="C15" s="57" t="s">
        <v>154</v>
      </c>
      <c r="D15" s="30">
        <f t="shared" ref="D15:K15" si="1">SUM(D11:D14)</f>
        <v>0</v>
      </c>
      <c r="E15" s="30">
        <f t="shared" si="1"/>
        <v>0</v>
      </c>
      <c r="F15" s="30">
        <f t="shared" si="1"/>
        <v>0</v>
      </c>
      <c r="G15" s="30">
        <f t="shared" si="1"/>
        <v>0</v>
      </c>
      <c r="H15" s="30">
        <f t="shared" si="1"/>
        <v>0</v>
      </c>
      <c r="I15" s="30">
        <f t="shared" si="1"/>
        <v>0</v>
      </c>
      <c r="J15" s="30">
        <f t="shared" si="1"/>
        <v>0</v>
      </c>
      <c r="K15" s="30">
        <f t="shared" si="1"/>
        <v>0</v>
      </c>
      <c r="L15" s="30">
        <f t="shared" ref="L15" si="2">SUM(L11:L14)</f>
        <v>0</v>
      </c>
      <c r="M15" s="50">
        <f>SUM(M11:M14)</f>
        <v>0</v>
      </c>
    </row>
    <row r="16" spans="1:13" x14ac:dyDescent="0.25">
      <c r="A16" s="442" t="s">
        <v>180</v>
      </c>
      <c r="B16" s="443"/>
      <c r="C16" s="443"/>
      <c r="D16" s="443"/>
      <c r="E16" s="526"/>
      <c r="F16" s="526"/>
      <c r="G16" s="526"/>
      <c r="H16" s="526"/>
      <c r="I16" s="526"/>
      <c r="J16" s="526"/>
      <c r="K16" s="526"/>
      <c r="L16" s="526"/>
      <c r="M16" s="444"/>
    </row>
    <row r="17" spans="1:13" ht="15.75" x14ac:dyDescent="0.25">
      <c r="A17" s="460" t="s">
        <v>182</v>
      </c>
      <c r="B17" s="461"/>
      <c r="C17" s="4" t="s">
        <v>154</v>
      </c>
      <c r="D17" s="22">
        <f>Mulanje!M17+Mulanje!N17+Mulanje!O17</f>
        <v>0</v>
      </c>
      <c r="E17" s="22">
        <f>Luchenza!M17+Luchenza!N17+Luchenza!O17</f>
        <v>0</v>
      </c>
      <c r="F17" s="22">
        <f>Thyolo!M17+Thyolo!N17+Thyolo!O17</f>
        <v>0</v>
      </c>
      <c r="G17" s="22">
        <f>Muloza!M17+Muloza!N17+Muloza!O17</f>
        <v>0</v>
      </c>
      <c r="H17" s="22">
        <f>MUST!M17+MUST!N17+MUST!O17</f>
        <v>0</v>
      </c>
      <c r="I17" s="22">
        <f>Phalombe!M17+Phalombe!N17+Phalombe!O17</f>
        <v>0</v>
      </c>
      <c r="J17" s="22">
        <f>Mikolongwe!M17+Mikolongwe!N17+Mikolongwe!O17</f>
        <v>0</v>
      </c>
      <c r="K17" s="22">
        <f>Migowi!M17+Migowi!N17+Migowi!O17</f>
        <v>0</v>
      </c>
      <c r="L17" s="22">
        <f>Nkando!N17+Nkando!O17+Nkando!P17</f>
        <v>4867.8999999999996</v>
      </c>
      <c r="M17" s="50">
        <f>SUM(D17:L17)</f>
        <v>4867.8999999999996</v>
      </c>
    </row>
    <row r="18" spans="1:13" ht="15.75" x14ac:dyDescent="0.25">
      <c r="A18" s="460" t="s">
        <v>183</v>
      </c>
      <c r="B18" s="461"/>
      <c r="C18" s="4" t="s">
        <v>154</v>
      </c>
      <c r="D18" s="22">
        <f>Mulanje!M18+Mulanje!N18+Mulanje!O18</f>
        <v>0</v>
      </c>
      <c r="E18" s="22">
        <f>Luchenza!M18+Luchenza!N18+Luchenza!O18</f>
        <v>0</v>
      </c>
      <c r="F18" s="22">
        <f>Thyolo!M18+Thyolo!N18+Thyolo!O18</f>
        <v>0</v>
      </c>
      <c r="G18" s="22">
        <f>Muloza!M18+Muloza!N18+Muloza!O18</f>
        <v>0</v>
      </c>
      <c r="H18" s="22">
        <f>MUST!M18+MUST!N18+MUST!O18</f>
        <v>0</v>
      </c>
      <c r="I18" s="22">
        <f>Phalombe!M18+Phalombe!N18+Phalombe!O18</f>
        <v>0</v>
      </c>
      <c r="J18" s="22">
        <f>Mikolongwe!M18+Mikolongwe!N18+Mikolongwe!O18</f>
        <v>0</v>
      </c>
      <c r="K18" s="22">
        <f>Migowi!M18+Migowi!N18+Migowi!O18</f>
        <v>0</v>
      </c>
      <c r="L18" s="22">
        <f>Nkando!N18+Nkando!O18+Nkando!P18</f>
        <v>20</v>
      </c>
      <c r="M18" s="50">
        <f t="shared" ref="M18:M20" si="3">SUM(D18:L18)</f>
        <v>20</v>
      </c>
    </row>
    <row r="19" spans="1:13" ht="15.75" x14ac:dyDescent="0.25">
      <c r="A19" s="460" t="s">
        <v>184</v>
      </c>
      <c r="B19" s="461"/>
      <c r="C19" s="4" t="s">
        <v>154</v>
      </c>
      <c r="D19" s="22">
        <f>Mulanje!M19+Mulanje!N19+Mulanje!O19</f>
        <v>0</v>
      </c>
      <c r="E19" s="22">
        <f>Luchenza!M19+Luchenza!N19+Luchenza!O19</f>
        <v>0</v>
      </c>
      <c r="F19" s="22">
        <f>Thyolo!M19+Thyolo!N19+Thyolo!O19</f>
        <v>0</v>
      </c>
      <c r="G19" s="22">
        <f>Muloza!M19+Muloza!N19+Muloza!O19</f>
        <v>0</v>
      </c>
      <c r="H19" s="22">
        <f>MUST!M19+MUST!N19+MUST!O19</f>
        <v>0</v>
      </c>
      <c r="I19" s="22">
        <f>Phalombe!M19+Phalombe!N19+Phalombe!O19</f>
        <v>0</v>
      </c>
      <c r="J19" s="22">
        <f>Mikolongwe!M19+Mikolongwe!N19+Mikolongwe!O19</f>
        <v>0</v>
      </c>
      <c r="K19" s="22">
        <f>Migowi!M19+Migowi!N19+Migowi!O19</f>
        <v>0</v>
      </c>
      <c r="L19" s="22">
        <f>Nkando!N19+Nkando!O19+Nkando!P19</f>
        <v>54</v>
      </c>
      <c r="M19" s="50">
        <f t="shared" si="3"/>
        <v>54</v>
      </c>
    </row>
    <row r="20" spans="1:13" ht="15.75" x14ac:dyDescent="0.25">
      <c r="A20" s="445" t="s">
        <v>185</v>
      </c>
      <c r="B20" s="446"/>
      <c r="C20" s="4" t="s">
        <v>154</v>
      </c>
      <c r="D20" s="22">
        <f>Mulanje!M20+Mulanje!N20+Mulanje!O20</f>
        <v>0</v>
      </c>
      <c r="E20" s="22">
        <f>Luchenza!M20+Luchenza!N20+Luchenza!O20</f>
        <v>0</v>
      </c>
      <c r="F20" s="22">
        <f>Thyolo!M20+Thyolo!N20+Thyolo!O20</f>
        <v>0</v>
      </c>
      <c r="G20" s="22">
        <f>Muloza!M20+Muloza!N20+Muloza!O20</f>
        <v>0</v>
      </c>
      <c r="H20" s="22">
        <f>MUST!M20+MUST!N20+MUST!O20</f>
        <v>0</v>
      </c>
      <c r="I20" s="22">
        <f>Phalombe!M20+Phalombe!N20+Phalombe!O20</f>
        <v>0</v>
      </c>
      <c r="J20" s="22">
        <f>Mikolongwe!M20+Mikolongwe!N20+Mikolongwe!O20</f>
        <v>0</v>
      </c>
      <c r="K20" s="22">
        <f>Migowi!M20+Migowi!N20+Migowi!O20</f>
        <v>0</v>
      </c>
      <c r="L20" s="22">
        <f>Nkando!N20+Nkando!O20+Nkando!P20</f>
        <v>113</v>
      </c>
      <c r="M20" s="50">
        <f t="shared" si="3"/>
        <v>113</v>
      </c>
    </row>
    <row r="21" spans="1:13" s="58" customFormat="1" ht="15.75" x14ac:dyDescent="0.25">
      <c r="A21" s="478" t="s">
        <v>186</v>
      </c>
      <c r="B21" s="479"/>
      <c r="C21" s="57" t="s">
        <v>154</v>
      </c>
      <c r="D21" s="30">
        <f>SUM(D17:D20)</f>
        <v>0</v>
      </c>
      <c r="E21" s="30">
        <f t="shared" ref="E21:K21" si="4">SUM(E17:E20)</f>
        <v>0</v>
      </c>
      <c r="F21" s="30">
        <f t="shared" si="4"/>
        <v>0</v>
      </c>
      <c r="G21" s="30">
        <f t="shared" si="4"/>
        <v>0</v>
      </c>
      <c r="H21" s="30">
        <f t="shared" si="4"/>
        <v>0</v>
      </c>
      <c r="I21" s="30">
        <f t="shared" si="4"/>
        <v>0</v>
      </c>
      <c r="J21" s="30">
        <f t="shared" si="4"/>
        <v>0</v>
      </c>
      <c r="K21" s="30">
        <f t="shared" si="4"/>
        <v>0</v>
      </c>
      <c r="L21" s="30">
        <f t="shared" ref="L21" si="5">SUM(L17:L20)</f>
        <v>5054.8999999999996</v>
      </c>
      <c r="M21" s="50">
        <f>SUM(D21:L21)</f>
        <v>5054.8999999999996</v>
      </c>
    </row>
    <row r="22" spans="1:13" ht="15.75" x14ac:dyDescent="0.25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K22" si="6">E21+E15</f>
        <v>0</v>
      </c>
      <c r="F22" s="30">
        <f t="shared" si="6"/>
        <v>0</v>
      </c>
      <c r="G22" s="30">
        <f t="shared" si="6"/>
        <v>0</v>
      </c>
      <c r="H22" s="30">
        <f t="shared" si="6"/>
        <v>0</v>
      </c>
      <c r="I22" s="30">
        <f t="shared" si="6"/>
        <v>0</v>
      </c>
      <c r="J22" s="30">
        <f t="shared" si="6"/>
        <v>0</v>
      </c>
      <c r="K22" s="30">
        <f t="shared" si="6"/>
        <v>0</v>
      </c>
      <c r="L22" s="30">
        <f t="shared" ref="L22" si="7">L21+L15</f>
        <v>5054.8999999999996</v>
      </c>
      <c r="M22" s="50">
        <f>M21+M15</f>
        <v>5054.8999999999996</v>
      </c>
    </row>
    <row r="23" spans="1:13" x14ac:dyDescent="0.25">
      <c r="A23" s="442" t="s">
        <v>217</v>
      </c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4"/>
    </row>
    <row r="24" spans="1:13" ht="15.75" x14ac:dyDescent="0.25">
      <c r="A24" s="517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K24" si="8">E9-E22</f>
        <v>0</v>
      </c>
      <c r="F24" s="49">
        <f t="shared" si="8"/>
        <v>0</v>
      </c>
      <c r="G24" s="49">
        <f t="shared" si="8"/>
        <v>0</v>
      </c>
      <c r="H24" s="49">
        <f t="shared" si="8"/>
        <v>0</v>
      </c>
      <c r="I24" s="49">
        <f t="shared" si="8"/>
        <v>0</v>
      </c>
      <c r="J24" s="49">
        <f t="shared" si="8"/>
        <v>0</v>
      </c>
      <c r="K24" s="49">
        <f t="shared" si="8"/>
        <v>0</v>
      </c>
      <c r="L24" s="49">
        <f t="shared" ref="L24" si="9">L9-L22</f>
        <v>1507.1000000000004</v>
      </c>
      <c r="M24" s="89">
        <f>M9-M22</f>
        <v>1507.1000000000004</v>
      </c>
    </row>
    <row r="25" spans="1:13" ht="15.75" x14ac:dyDescent="0.25">
      <c r="A25" s="518"/>
      <c r="B25" s="48" t="s">
        <v>153</v>
      </c>
      <c r="C25" s="47" t="s">
        <v>6</v>
      </c>
      <c r="D25" s="46" t="e">
        <f t="shared" ref="D25:M25" si="10">D24/D9</f>
        <v>#DIV/0!</v>
      </c>
      <c r="E25" s="46" t="e">
        <f t="shared" si="10"/>
        <v>#DIV/0!</v>
      </c>
      <c r="F25" s="46" t="e">
        <f t="shared" si="10"/>
        <v>#DIV/0!</v>
      </c>
      <c r="G25" s="46" t="e">
        <f t="shared" si="10"/>
        <v>#DIV/0!</v>
      </c>
      <c r="H25" s="46" t="e">
        <f t="shared" si="10"/>
        <v>#DIV/0!</v>
      </c>
      <c r="I25" s="46" t="e">
        <f t="shared" si="10"/>
        <v>#DIV/0!</v>
      </c>
      <c r="J25" s="46" t="e">
        <f t="shared" si="10"/>
        <v>#DIV/0!</v>
      </c>
      <c r="K25" s="46" t="e">
        <f t="shared" si="10"/>
        <v>#DIV/0!</v>
      </c>
      <c r="L25" s="46">
        <f t="shared" ref="L25" si="11">L24/L9</f>
        <v>0.22967083206339536</v>
      </c>
      <c r="M25" s="90">
        <f t="shared" si="10"/>
        <v>0.22967083206339536</v>
      </c>
    </row>
    <row r="26" spans="1:13" x14ac:dyDescent="0.25">
      <c r="A26" s="442" t="s">
        <v>152</v>
      </c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4"/>
    </row>
    <row r="27" spans="1:13" x14ac:dyDescent="0.25">
      <c r="A27" s="512" t="s">
        <v>151</v>
      </c>
      <c r="B27" s="513"/>
      <c r="C27" s="513"/>
      <c r="D27" s="513"/>
      <c r="E27" s="513"/>
      <c r="F27" s="513"/>
      <c r="G27" s="513"/>
      <c r="H27" s="513"/>
      <c r="I27" s="513"/>
      <c r="J27" s="513"/>
      <c r="K27" s="513"/>
      <c r="L27" s="513"/>
      <c r="M27" s="514"/>
    </row>
    <row r="28" spans="1:13" ht="15.75" x14ac:dyDescent="0.25">
      <c r="A28" s="91" t="s">
        <v>150</v>
      </c>
      <c r="B28" s="45" t="s">
        <v>149</v>
      </c>
      <c r="C28" s="44"/>
      <c r="D28" s="168"/>
      <c r="E28" s="168"/>
      <c r="F28" s="168"/>
      <c r="G28" s="168"/>
      <c r="H28" s="168"/>
      <c r="I28" s="168"/>
      <c r="J28" s="169"/>
      <c r="K28" s="169"/>
      <c r="L28" s="169"/>
      <c r="M28" s="41"/>
    </row>
    <row r="29" spans="1:13" ht="15.75" x14ac:dyDescent="0.25">
      <c r="A29" s="515" t="s">
        <v>148</v>
      </c>
      <c r="B29" s="441">
        <v>5111.67</v>
      </c>
      <c r="C29" s="4" t="s">
        <v>142</v>
      </c>
      <c r="D29" s="22">
        <f>Mulanje!M29+Mulanje!N29+Mulanje!O29</f>
        <v>0</v>
      </c>
      <c r="E29" s="22">
        <f>Luchenza!M29+Luchenza!N29+Luchenza!O29</f>
        <v>0</v>
      </c>
      <c r="F29" s="22">
        <f>Thyolo!M29+Thyolo!N29+Thyolo!O29</f>
        <v>0</v>
      </c>
      <c r="G29" s="22">
        <f>Muloza!M29+Muloza!N29+Muloza!O29</f>
        <v>0</v>
      </c>
      <c r="H29" s="22">
        <f>MUST!M29+MUST!N29+MUST!O29</f>
        <v>0</v>
      </c>
      <c r="I29" s="22">
        <f>Phalombe!M29+Phalombe!N29+Phalombe!O29</f>
        <v>0</v>
      </c>
      <c r="J29" s="22">
        <f>Mikolongwe!M29+Mikolongwe!N29+Mikolongwe!O29</f>
        <v>0</v>
      </c>
      <c r="K29" s="22">
        <f>Migowi!M29+Migowi!N29+Migowi!O29</f>
        <v>0</v>
      </c>
      <c r="L29" s="22">
        <f>Nkando!N29+Nkando!O29+Nkando!P29</f>
        <v>17</v>
      </c>
      <c r="M29" s="40">
        <f>SUM(D29:L29)</f>
        <v>17</v>
      </c>
    </row>
    <row r="30" spans="1:13" ht="15.75" x14ac:dyDescent="0.25">
      <c r="A30" s="516"/>
      <c r="B30" s="441"/>
      <c r="C30" s="37" t="s">
        <v>141</v>
      </c>
      <c r="D30" s="13" t="e">
        <f t="shared" ref="D30:M30" si="12">D29/(D9/1000)</f>
        <v>#DIV/0!</v>
      </c>
      <c r="E30" s="13" t="e">
        <f t="shared" si="12"/>
        <v>#DIV/0!</v>
      </c>
      <c r="F30" s="13" t="e">
        <f t="shared" si="12"/>
        <v>#DIV/0!</v>
      </c>
      <c r="G30" s="13" t="e">
        <f t="shared" si="12"/>
        <v>#DIV/0!</v>
      </c>
      <c r="H30" s="13" t="e">
        <f t="shared" si="12"/>
        <v>#DIV/0!</v>
      </c>
      <c r="I30" s="13" t="e">
        <f t="shared" si="12"/>
        <v>#DIV/0!</v>
      </c>
      <c r="J30" s="13" t="e">
        <f t="shared" si="12"/>
        <v>#DIV/0!</v>
      </c>
      <c r="K30" s="13" t="e">
        <f t="shared" si="12"/>
        <v>#DIV/0!</v>
      </c>
      <c r="L30" s="13">
        <f t="shared" ref="L30" si="13">L29/(L9/1000)</f>
        <v>2.5906735751295336</v>
      </c>
      <c r="M30" s="92">
        <f t="shared" si="12"/>
        <v>2.5906735751295336</v>
      </c>
    </row>
    <row r="31" spans="1:13" ht="15.75" x14ac:dyDescent="0.25">
      <c r="A31" s="475" t="s">
        <v>147</v>
      </c>
      <c r="B31" s="441">
        <v>1537</v>
      </c>
      <c r="C31" s="4" t="s">
        <v>142</v>
      </c>
      <c r="D31" s="22">
        <f>Mulanje!M31+Mulanje!N31+Mulanje!O31</f>
        <v>0</v>
      </c>
      <c r="E31" s="22">
        <f>Luchenza!M31+Luchenza!N31+Luchenza!O31</f>
        <v>0</v>
      </c>
      <c r="F31" s="22">
        <f>Thyolo!M31+Thyolo!N31+Thyolo!O31</f>
        <v>0</v>
      </c>
      <c r="G31" s="22">
        <f>Muloza!M31+Muloza!N31+Muloza!O31</f>
        <v>0</v>
      </c>
      <c r="H31" s="22">
        <f>MUST!M31+MUST!N31+MUST!O31</f>
        <v>0</v>
      </c>
      <c r="I31" s="22">
        <f>Phalombe!M31+Phalombe!N31+Phalombe!O31</f>
        <v>0</v>
      </c>
      <c r="J31" s="22">
        <f>Mikolongwe!M31+Mikolongwe!N31+Mikolongwe!O31</f>
        <v>0</v>
      </c>
      <c r="K31" s="22">
        <f>Migowi!M31+Migowi!N31+Migowi!O31</f>
        <v>0</v>
      </c>
      <c r="L31" s="22">
        <f>Nkando!N31+Nkando!O31+Nkando!P31</f>
        <v>0</v>
      </c>
      <c r="M31" s="40">
        <f>SUM(D31:L31)</f>
        <v>0</v>
      </c>
    </row>
    <row r="32" spans="1:13" ht="15.75" x14ac:dyDescent="0.25">
      <c r="A32" s="477"/>
      <c r="B32" s="441"/>
      <c r="C32" s="37" t="s">
        <v>141</v>
      </c>
      <c r="D32" s="13" t="e">
        <f t="shared" ref="D32:M32" si="14">D31/(D9/1000)</f>
        <v>#DIV/0!</v>
      </c>
      <c r="E32" s="13" t="e">
        <f t="shared" si="14"/>
        <v>#DIV/0!</v>
      </c>
      <c r="F32" s="13" t="e">
        <f t="shared" si="14"/>
        <v>#DIV/0!</v>
      </c>
      <c r="G32" s="13" t="e">
        <f t="shared" si="14"/>
        <v>#DIV/0!</v>
      </c>
      <c r="H32" s="13" t="e">
        <f t="shared" si="14"/>
        <v>#DIV/0!</v>
      </c>
      <c r="I32" s="13" t="e">
        <f t="shared" si="14"/>
        <v>#DIV/0!</v>
      </c>
      <c r="J32" s="13" t="e">
        <f t="shared" si="14"/>
        <v>#DIV/0!</v>
      </c>
      <c r="K32" s="13" t="e">
        <f t="shared" si="14"/>
        <v>#DIV/0!</v>
      </c>
      <c r="L32" s="13">
        <f t="shared" ref="L32" si="15">L31/(L9/1000)</f>
        <v>0</v>
      </c>
      <c r="M32" s="92">
        <f t="shared" si="14"/>
        <v>0</v>
      </c>
    </row>
    <row r="33" spans="1:13" ht="15.75" x14ac:dyDescent="0.25">
      <c r="A33" s="475" t="s">
        <v>146</v>
      </c>
      <c r="B33" s="441">
        <v>1781.02</v>
      </c>
      <c r="C33" s="4" t="s">
        <v>142</v>
      </c>
      <c r="D33" s="22">
        <f>Mulanje!M33+Mulanje!N33+Mulanje!O33</f>
        <v>0</v>
      </c>
      <c r="E33" s="22">
        <f>Luchenza!M33+Luchenza!N33+Luchenza!O33</f>
        <v>0</v>
      </c>
      <c r="F33" s="22">
        <f>Thyolo!M33+Thyolo!N33+Thyolo!O33</f>
        <v>0</v>
      </c>
      <c r="G33" s="22">
        <f>Muloza!M33+Muloza!N33+Muloza!O33</f>
        <v>0</v>
      </c>
      <c r="H33" s="22">
        <f>MUST!M33+MUST!N33+MUST!O33</f>
        <v>0</v>
      </c>
      <c r="I33" s="22">
        <f>Phalombe!M33+Phalombe!N33+Phalombe!O33</f>
        <v>0</v>
      </c>
      <c r="J33" s="22">
        <f>Mikolongwe!M33+Mikolongwe!N33+Mikolongwe!O33</f>
        <v>0</v>
      </c>
      <c r="K33" s="22">
        <f>Migowi!M33+Migowi!N33+Migowi!O33</f>
        <v>0</v>
      </c>
      <c r="L33" s="22">
        <f>Nkando!N33+Nkando!O33+Nkando!P33</f>
        <v>0</v>
      </c>
      <c r="M33" s="40">
        <f>SUM(D33:L33)</f>
        <v>0</v>
      </c>
    </row>
    <row r="34" spans="1:13" ht="15.75" x14ac:dyDescent="0.25">
      <c r="A34" s="477"/>
      <c r="B34" s="441"/>
      <c r="C34" s="37" t="s">
        <v>141</v>
      </c>
      <c r="D34" s="13" t="e">
        <f t="shared" ref="D34:M34" si="16">D33/(D9/1000)</f>
        <v>#DIV/0!</v>
      </c>
      <c r="E34" s="13" t="e">
        <f t="shared" si="16"/>
        <v>#DIV/0!</v>
      </c>
      <c r="F34" s="13" t="e">
        <f t="shared" si="16"/>
        <v>#DIV/0!</v>
      </c>
      <c r="G34" s="13" t="e">
        <f t="shared" si="16"/>
        <v>#DIV/0!</v>
      </c>
      <c r="H34" s="13" t="e">
        <f t="shared" si="16"/>
        <v>#DIV/0!</v>
      </c>
      <c r="I34" s="13" t="e">
        <f t="shared" si="16"/>
        <v>#DIV/0!</v>
      </c>
      <c r="J34" s="13" t="e">
        <f t="shared" si="16"/>
        <v>#DIV/0!</v>
      </c>
      <c r="K34" s="13" t="e">
        <f t="shared" si="16"/>
        <v>#DIV/0!</v>
      </c>
      <c r="L34" s="13">
        <f t="shared" ref="L34" si="17">L33/(L9/1000)</f>
        <v>0</v>
      </c>
      <c r="M34" s="92">
        <f t="shared" si="16"/>
        <v>0</v>
      </c>
    </row>
    <row r="35" spans="1:13" ht="15.75" x14ac:dyDescent="0.25">
      <c r="A35" s="475" t="s">
        <v>145</v>
      </c>
      <c r="B35" s="441">
        <v>5979.95</v>
      </c>
      <c r="C35" s="4" t="s">
        <v>128</v>
      </c>
      <c r="D35" s="3">
        <f>Mulanje!M35+Mulanje!N35+Mulanje!O35</f>
        <v>0</v>
      </c>
      <c r="E35" s="3">
        <f>Luchenza!M35+Luchenza!N35+Luchenza!O35</f>
        <v>0</v>
      </c>
      <c r="F35" s="3">
        <f>Thyolo!M35+Thyolo!N35+Thyolo!O35</f>
        <v>0</v>
      </c>
      <c r="G35" s="3">
        <f>Muloza!M35+Muloza!N35+Muloza!O35</f>
        <v>0</v>
      </c>
      <c r="H35" s="3">
        <f>MUST!M35+MUST!N35+MUST!O35</f>
        <v>0</v>
      </c>
      <c r="I35" s="3">
        <f>Phalombe!M35+Phalombe!N35+Phalombe!O35</f>
        <v>0</v>
      </c>
      <c r="J35" s="3">
        <f>Mikolongwe!M35+Mikolongwe!N35+Mikolongwe!O35</f>
        <v>0</v>
      </c>
      <c r="K35" s="3">
        <f>Migowi!M35+Migowi!N35+Migowi!O35</f>
        <v>0</v>
      </c>
      <c r="L35" s="3">
        <f>Nkando!N35+Nkando!O35+Nkando!P35</f>
        <v>0</v>
      </c>
      <c r="M35" s="92"/>
    </row>
    <row r="36" spans="1:13" ht="15.75" x14ac:dyDescent="0.25">
      <c r="A36" s="477"/>
      <c r="B36" s="441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75" x14ac:dyDescent="0.25">
      <c r="A37" s="475" t="s">
        <v>188</v>
      </c>
      <c r="B37" s="441">
        <v>5403.75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40">
        <f>SUM(D37:L37)</f>
        <v>0</v>
      </c>
    </row>
    <row r="38" spans="1:13" ht="15.75" x14ac:dyDescent="0.25">
      <c r="A38" s="477"/>
      <c r="B38" s="441"/>
      <c r="C38" s="4" t="s">
        <v>144</v>
      </c>
      <c r="D38" s="13" t="e">
        <f t="shared" ref="D38:M38" si="18">D37/(D9/1000)</f>
        <v>#DIV/0!</v>
      </c>
      <c r="E38" s="13" t="e">
        <f t="shared" si="18"/>
        <v>#DIV/0!</v>
      </c>
      <c r="F38" s="13" t="e">
        <f t="shared" si="18"/>
        <v>#DIV/0!</v>
      </c>
      <c r="G38" s="13" t="e">
        <f t="shared" si="18"/>
        <v>#DIV/0!</v>
      </c>
      <c r="H38" s="13" t="e">
        <f t="shared" si="18"/>
        <v>#DIV/0!</v>
      </c>
      <c r="I38" s="13" t="e">
        <f t="shared" si="18"/>
        <v>#DIV/0!</v>
      </c>
      <c r="J38" s="13" t="e">
        <f t="shared" si="18"/>
        <v>#DIV/0!</v>
      </c>
      <c r="K38" s="13" t="e">
        <f t="shared" si="18"/>
        <v>#DIV/0!</v>
      </c>
      <c r="L38" s="13">
        <f t="shared" ref="L38" si="19">L37/(L9/1000)</f>
        <v>0</v>
      </c>
      <c r="M38" s="92">
        <f t="shared" si="18"/>
        <v>0</v>
      </c>
    </row>
    <row r="39" spans="1:13" ht="15.75" x14ac:dyDescent="0.25">
      <c r="A39" s="475" t="s">
        <v>143</v>
      </c>
      <c r="B39" s="441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40">
        <f>SUM(D39:L39)</f>
        <v>0</v>
      </c>
    </row>
    <row r="40" spans="1:13" ht="15.75" x14ac:dyDescent="0.25">
      <c r="A40" s="477"/>
      <c r="B40" s="441"/>
      <c r="C40" s="37" t="s">
        <v>141</v>
      </c>
      <c r="D40" s="13" t="e">
        <f t="shared" ref="D40:M40" si="20">D39/(D9/1000)</f>
        <v>#DIV/0!</v>
      </c>
      <c r="E40" s="13" t="e">
        <f t="shared" si="20"/>
        <v>#DIV/0!</v>
      </c>
      <c r="F40" s="13" t="e">
        <f t="shared" si="20"/>
        <v>#DIV/0!</v>
      </c>
      <c r="G40" s="13" t="e">
        <f t="shared" si="20"/>
        <v>#DIV/0!</v>
      </c>
      <c r="H40" s="13" t="e">
        <f t="shared" si="20"/>
        <v>#DIV/0!</v>
      </c>
      <c r="I40" s="13" t="e">
        <f t="shared" si="20"/>
        <v>#DIV/0!</v>
      </c>
      <c r="J40" s="13" t="e">
        <f t="shared" si="20"/>
        <v>#DIV/0!</v>
      </c>
      <c r="K40" s="13" t="e">
        <f t="shared" si="20"/>
        <v>#DIV/0!</v>
      </c>
      <c r="L40" s="13">
        <f t="shared" ref="L40" si="21">L39/(L9/1000)</f>
        <v>0</v>
      </c>
      <c r="M40" s="92">
        <f t="shared" si="20"/>
        <v>0</v>
      </c>
    </row>
    <row r="41" spans="1:13" ht="15.75" x14ac:dyDescent="0.25">
      <c r="A41" s="445" t="s">
        <v>140</v>
      </c>
      <c r="B41" s="446"/>
      <c r="C41" s="4" t="s">
        <v>31</v>
      </c>
      <c r="D41" s="36">
        <f>(D29*$B29)+(D31*$B31)+(D33*$B33)+(D35*$B35)+(D37*$B37)+(D39*$B39)</f>
        <v>0</v>
      </c>
      <c r="E41" s="36">
        <f t="shared" ref="E41:K41" si="22">(E29*$B29)+(E31*$B31)+(E33*$B33)+(E35*$B35)+(E37*$B37)+(E39*$B39)</f>
        <v>0</v>
      </c>
      <c r="F41" s="36">
        <f t="shared" si="22"/>
        <v>0</v>
      </c>
      <c r="G41" s="36">
        <f t="shared" si="22"/>
        <v>0</v>
      </c>
      <c r="H41" s="36">
        <f t="shared" si="22"/>
        <v>0</v>
      </c>
      <c r="I41" s="36">
        <f t="shared" si="22"/>
        <v>0</v>
      </c>
      <c r="J41" s="36">
        <f t="shared" si="22"/>
        <v>0</v>
      </c>
      <c r="K41" s="36">
        <f t="shared" si="22"/>
        <v>0</v>
      </c>
      <c r="L41" s="36">
        <f t="shared" ref="L41" si="23">(L29*$B29)+(L31*$B31)+(L33*$B33)+(L35*$B35)+(L37*$B37)+(L39*$B39)</f>
        <v>86898.39</v>
      </c>
      <c r="M41" s="34">
        <f>SUM(D41:L41)</f>
        <v>86898.39</v>
      </c>
    </row>
    <row r="42" spans="1:13" ht="15.75" x14ac:dyDescent="0.25">
      <c r="A42" s="510" t="s">
        <v>139</v>
      </c>
      <c r="B42" s="511"/>
      <c r="C42" s="37" t="s">
        <v>117</v>
      </c>
      <c r="D42" s="13" t="e">
        <f t="shared" ref="D42:M42" si="24">D41/D9</f>
        <v>#DIV/0!</v>
      </c>
      <c r="E42" s="13" t="e">
        <f t="shared" si="24"/>
        <v>#DIV/0!</v>
      </c>
      <c r="F42" s="13" t="e">
        <f t="shared" si="24"/>
        <v>#DIV/0!</v>
      </c>
      <c r="G42" s="13" t="e">
        <f t="shared" si="24"/>
        <v>#DIV/0!</v>
      </c>
      <c r="H42" s="13" t="e">
        <f t="shared" si="24"/>
        <v>#DIV/0!</v>
      </c>
      <c r="I42" s="13" t="e">
        <f t="shared" si="24"/>
        <v>#DIV/0!</v>
      </c>
      <c r="J42" s="13" t="e">
        <f t="shared" si="24"/>
        <v>#DIV/0!</v>
      </c>
      <c r="K42" s="13" t="e">
        <f t="shared" si="24"/>
        <v>#DIV/0!</v>
      </c>
      <c r="L42" s="13">
        <f t="shared" ref="L42" si="25">L41/L9</f>
        <v>13.242668393782383</v>
      </c>
      <c r="M42" s="39">
        <f t="shared" si="24"/>
        <v>13.242668393782383</v>
      </c>
    </row>
    <row r="43" spans="1:13" ht="15.75" thickBot="1" x14ac:dyDescent="0.3">
      <c r="A43" s="507" t="s">
        <v>138</v>
      </c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</row>
    <row r="44" spans="1:13" ht="15.75" x14ac:dyDescent="0.25">
      <c r="A44" s="445" t="s">
        <v>137</v>
      </c>
      <c r="B44" s="446"/>
      <c r="C44" s="4" t="s">
        <v>136</v>
      </c>
      <c r="D44" s="160">
        <f>Mulanje!M44+Mulanje!N44+Mulanje!O44</f>
        <v>0</v>
      </c>
      <c r="E44" s="160">
        <f>Luchenza!M44+Luchenza!N44+Luchenza!O44</f>
        <v>0</v>
      </c>
      <c r="F44" s="160">
        <f>Thyolo!M44+Thyolo!N44+Thyolo!O44</f>
        <v>0</v>
      </c>
      <c r="G44" s="160">
        <f>Muloza!M44+Muloza!N44+Muloza!O44</f>
        <v>0</v>
      </c>
      <c r="H44" s="160">
        <f>MUST!M44+MUST!N44+MUST!O44</f>
        <v>0</v>
      </c>
      <c r="I44" s="160">
        <f>Phalombe!M44+Phalombe!N44+Phalombe!O44</f>
        <v>0</v>
      </c>
      <c r="J44" s="160">
        <f>Mikolongwe!M44+Mikolongwe!N44+Mikolongwe!O44</f>
        <v>0</v>
      </c>
      <c r="K44" s="160">
        <f>Migowi!M44+Migowi!N44+Migowi!O44</f>
        <v>0</v>
      </c>
      <c r="L44" s="160">
        <f>Nkando!N44+Nkando!O44+Nkando!P44</f>
        <v>4043</v>
      </c>
      <c r="M44" s="34">
        <f>SUM(D44:L44)</f>
        <v>4043</v>
      </c>
    </row>
    <row r="45" spans="1:13" ht="16.5" thickBot="1" x14ac:dyDescent="0.3">
      <c r="A45" s="510" t="s">
        <v>135</v>
      </c>
      <c r="B45" s="511"/>
      <c r="C45" s="37" t="s">
        <v>134</v>
      </c>
      <c r="D45" s="13" t="e">
        <f t="shared" ref="D45:M45" si="26">D44/D9</f>
        <v>#DIV/0!</v>
      </c>
      <c r="E45" s="13" t="e">
        <f t="shared" si="26"/>
        <v>#DIV/0!</v>
      </c>
      <c r="F45" s="13" t="e">
        <f t="shared" si="26"/>
        <v>#DIV/0!</v>
      </c>
      <c r="G45" s="13" t="e">
        <f t="shared" si="26"/>
        <v>#DIV/0!</v>
      </c>
      <c r="H45" s="13" t="e">
        <f t="shared" si="26"/>
        <v>#DIV/0!</v>
      </c>
      <c r="I45" s="13" t="e">
        <f t="shared" si="26"/>
        <v>#DIV/0!</v>
      </c>
      <c r="J45" s="13" t="e">
        <f t="shared" si="26"/>
        <v>#DIV/0!</v>
      </c>
      <c r="K45" s="13" t="e">
        <f t="shared" si="26"/>
        <v>#DIV/0!</v>
      </c>
      <c r="L45" s="13">
        <f t="shared" ref="L45" si="27">L44/L9</f>
        <v>0.61612313319110024</v>
      </c>
      <c r="M45" s="92">
        <f t="shared" si="26"/>
        <v>0.61612313319110024</v>
      </c>
    </row>
    <row r="46" spans="1:13" ht="15.75" x14ac:dyDescent="0.25">
      <c r="A46" s="445" t="s">
        <v>133</v>
      </c>
      <c r="B46" s="446"/>
      <c r="C46" s="4" t="s">
        <v>31</v>
      </c>
      <c r="D46" s="160">
        <f>Mulanje!M46+Mulanje!N46+Mulanje!O46</f>
        <v>0</v>
      </c>
      <c r="E46" s="160">
        <f>Luchenza!M46+Luchenza!N46+Luchenza!O46</f>
        <v>0</v>
      </c>
      <c r="F46" s="160">
        <f>Thyolo!M46+Thyolo!N46+Thyolo!O46</f>
        <v>32853</v>
      </c>
      <c r="G46" s="160">
        <f>Muloza!M46+Muloza!N46+Muloza!O46</f>
        <v>0</v>
      </c>
      <c r="H46" s="160">
        <f>MUST!M46+MUST!N46+MUST!O46</f>
        <v>0</v>
      </c>
      <c r="I46" s="160">
        <f>Phalombe!M46+Phalombe!N46+Phalombe!O46</f>
        <v>0</v>
      </c>
      <c r="J46" s="160">
        <f>Mikolongwe!M46+Mikolongwe!N46+Mikolongwe!O46</f>
        <v>0</v>
      </c>
      <c r="K46" s="160">
        <f>Migowi!M46+Migowi!N46+Migowi!O46</f>
        <v>0</v>
      </c>
      <c r="L46" s="160">
        <f>Nkando!N46+Nkando!O46+Nkando!P46</f>
        <v>1349836.4100000001</v>
      </c>
      <c r="M46" s="34">
        <f>SUM(D46:L46)</f>
        <v>1382689.4100000001</v>
      </c>
    </row>
    <row r="47" spans="1:13" ht="15.75" x14ac:dyDescent="0.25">
      <c r="A47" s="445" t="s">
        <v>132</v>
      </c>
      <c r="B47" s="446"/>
      <c r="C47" s="4" t="s">
        <v>117</v>
      </c>
      <c r="D47" s="13" t="e">
        <f t="shared" ref="D47:M47" si="28">D46/D9</f>
        <v>#DIV/0!</v>
      </c>
      <c r="E47" s="13" t="e">
        <f t="shared" si="28"/>
        <v>#DIV/0!</v>
      </c>
      <c r="F47" s="13" t="e">
        <f t="shared" si="28"/>
        <v>#DIV/0!</v>
      </c>
      <c r="G47" s="13" t="e">
        <f t="shared" si="28"/>
        <v>#DIV/0!</v>
      </c>
      <c r="H47" s="13" t="e">
        <f t="shared" si="28"/>
        <v>#DIV/0!</v>
      </c>
      <c r="I47" s="13" t="e">
        <f t="shared" si="28"/>
        <v>#DIV/0!</v>
      </c>
      <c r="J47" s="13" t="e">
        <f t="shared" si="28"/>
        <v>#DIV/0!</v>
      </c>
      <c r="K47" s="13" t="e">
        <f t="shared" si="28"/>
        <v>#DIV/0!</v>
      </c>
      <c r="L47" s="13">
        <f t="shared" ref="L47" si="29">L46/L9</f>
        <v>205.70503047851267</v>
      </c>
      <c r="M47" s="92">
        <f t="shared" si="28"/>
        <v>210.71158335873213</v>
      </c>
    </row>
    <row r="48" spans="1:13" ht="15.75" thickBot="1" x14ac:dyDescent="0.3">
      <c r="A48" s="507" t="s">
        <v>131</v>
      </c>
      <c r="B48" s="508"/>
      <c r="C48" s="508"/>
      <c r="D48" s="508"/>
      <c r="E48" s="508"/>
      <c r="F48" s="508"/>
      <c r="G48" s="508"/>
      <c r="H48" s="508"/>
      <c r="I48" s="508"/>
      <c r="J48" s="508"/>
      <c r="K48" s="508"/>
      <c r="L48" s="508"/>
      <c r="M48" s="509"/>
    </row>
    <row r="49" spans="1:13" ht="15.75" x14ac:dyDescent="0.25">
      <c r="A49" s="445" t="s">
        <v>130</v>
      </c>
      <c r="B49" s="446"/>
      <c r="C49" s="4" t="s">
        <v>129</v>
      </c>
      <c r="D49" s="164">
        <f>Mulanje!M49+Mulanje!N49+Mulanje!O49</f>
        <v>0</v>
      </c>
      <c r="E49" s="164">
        <f>Luchenza!M49+Luchenza!N49+Luchenza!O49</f>
        <v>0</v>
      </c>
      <c r="F49" s="164">
        <f>Thyolo!M49+Thyolo!N49+Thyolo!O49</f>
        <v>0</v>
      </c>
      <c r="G49" s="164">
        <f>Muloza!M49+Muloza!N49+Muloza!O49</f>
        <v>0</v>
      </c>
      <c r="H49" s="164">
        <f>MUST!M49+MUST!N49+MUST!O49</f>
        <v>0</v>
      </c>
      <c r="I49" s="164">
        <f>Phalombe!M49+Phalombe!N49+Phalombe!O49</f>
        <v>0</v>
      </c>
      <c r="J49" s="164">
        <f>Mikolongwe!M49+Mikolongwe!N49+Mikolongwe!O49</f>
        <v>0</v>
      </c>
      <c r="K49" s="164">
        <f>Migowi!M49+Migowi!N49+Migowi!O49</f>
        <v>0</v>
      </c>
      <c r="L49" s="164">
        <f>Nkando!N49+Nkando!O49+Nkando!P49</f>
        <v>0</v>
      </c>
      <c r="M49" s="34">
        <f>SUM(D49:L49)</f>
        <v>0</v>
      </c>
    </row>
    <row r="50" spans="1:13" ht="15.75" x14ac:dyDescent="0.25">
      <c r="A50" s="445" t="s">
        <v>189</v>
      </c>
      <c r="B50" s="446"/>
      <c r="C50" s="4" t="s">
        <v>128</v>
      </c>
      <c r="D50" s="22">
        <f>Mulanje!M50+Mulanje!N50+Mulanje!O50</f>
        <v>0</v>
      </c>
      <c r="E50" s="22">
        <f>Luchenza!M50+Luchenza!N50+Luchenza!O50</f>
        <v>0</v>
      </c>
      <c r="F50" s="22">
        <f>Thyolo!M50+Thyolo!N50+Thyolo!O50</f>
        <v>0</v>
      </c>
      <c r="G50" s="22">
        <f>Muloza!M50+Muloza!N50+Muloza!O50</f>
        <v>0</v>
      </c>
      <c r="H50" s="22">
        <f>MUST!M50+MUST!N50+MUST!O50</f>
        <v>0</v>
      </c>
      <c r="I50" s="22">
        <f>Phalombe!M50+Phalombe!N50+Phalombe!O50</f>
        <v>0</v>
      </c>
      <c r="J50" s="22">
        <f>Mikolongwe!M50+Mikolongwe!N50+Mikolongwe!O50</f>
        <v>0</v>
      </c>
      <c r="K50" s="22">
        <f>Migowi!M50+Migowi!N50+Migowi!O50</f>
        <v>0</v>
      </c>
      <c r="L50" s="22">
        <f>Nkando!N50+Nkando!O50+Nkando!P50</f>
        <v>0</v>
      </c>
      <c r="M50" s="34">
        <f>SUM(D50:L50)</f>
        <v>0</v>
      </c>
    </row>
    <row r="51" spans="1:13" ht="15.75" x14ac:dyDescent="0.25">
      <c r="A51" s="445" t="s">
        <v>127</v>
      </c>
      <c r="B51" s="446"/>
      <c r="C51" s="4" t="s">
        <v>31</v>
      </c>
      <c r="D51" s="3">
        <f>Mulanje!M51+Mulanje!N51+Mulanje!O51</f>
        <v>0</v>
      </c>
      <c r="E51" s="3">
        <f>Luchenza!M51+Luchenza!N51+Luchenza!O51</f>
        <v>0</v>
      </c>
      <c r="F51" s="3">
        <f>Thyolo!M51+Thyolo!N51+Thyolo!O51</f>
        <v>0</v>
      </c>
      <c r="G51" s="3">
        <f>Muloza!M51+Muloza!N51+Muloza!O51</f>
        <v>0</v>
      </c>
      <c r="H51" s="3">
        <f>MUST!M51+MUST!N51+MUST!O51</f>
        <v>0</v>
      </c>
      <c r="I51" s="3">
        <f>Phalombe!M51+Phalombe!N51+Phalombe!O51</f>
        <v>0</v>
      </c>
      <c r="J51" s="3">
        <f>Mikolongwe!M51+Mikolongwe!N51+Mikolongwe!O51</f>
        <v>0</v>
      </c>
      <c r="K51" s="3">
        <f>Migowi!M51+Migowi!N51+Migowi!O51</f>
        <v>0</v>
      </c>
      <c r="L51" s="3">
        <f>Nkando!N51+Nkando!O51+Nkando!P51</f>
        <v>0</v>
      </c>
      <c r="M51" s="35">
        <f>SUM(D51:L51)</f>
        <v>0</v>
      </c>
    </row>
    <row r="52" spans="1:13" ht="15.75" x14ac:dyDescent="0.25">
      <c r="A52" s="445" t="s">
        <v>126</v>
      </c>
      <c r="B52" s="446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35">
        <f>SUM(D52:L52)</f>
        <v>0</v>
      </c>
    </row>
    <row r="53" spans="1:13" x14ac:dyDescent="0.25">
      <c r="A53" s="507" t="s">
        <v>125</v>
      </c>
      <c r="B53" s="508"/>
      <c r="C53" s="508"/>
      <c r="D53" s="508"/>
      <c r="E53" s="508"/>
      <c r="F53" s="508"/>
      <c r="G53" s="508"/>
      <c r="H53" s="508"/>
      <c r="I53" s="508"/>
      <c r="J53" s="508"/>
      <c r="K53" s="508"/>
      <c r="L53" s="508"/>
      <c r="M53" s="509"/>
    </row>
    <row r="54" spans="1:13" ht="15.75" x14ac:dyDescent="0.25">
      <c r="A54" s="445" t="s">
        <v>124</v>
      </c>
      <c r="B54" s="446"/>
      <c r="C54" s="4" t="s">
        <v>18</v>
      </c>
      <c r="D54" s="22">
        <f>Mulanje!M54+Mulanje!N54+Mulanje!O54</f>
        <v>0</v>
      </c>
      <c r="E54" s="22">
        <f>Luchenza!M54+Luchenza!N54+Luchenza!O54</f>
        <v>0</v>
      </c>
      <c r="F54" s="22">
        <f>Thyolo!M54+Thyolo!N54+Thyolo!O54</f>
        <v>0</v>
      </c>
      <c r="G54" s="22">
        <f>Muloza!M54+Muloza!N54+Muloza!O54</f>
        <v>0</v>
      </c>
      <c r="H54" s="22">
        <f>MUST!M54+MUST!N54+MUST!O54</f>
        <v>0</v>
      </c>
      <c r="I54" s="22">
        <f>Phalombe!M54+Phalombe!N54+Phalombe!O54</f>
        <v>0</v>
      </c>
      <c r="J54" s="22">
        <f>Mikolongwe!M54+Mikolongwe!N54+Mikolongwe!O54</f>
        <v>0</v>
      </c>
      <c r="K54" s="22">
        <f>Migowi!M54+Migowi!N54+Migowi!O54</f>
        <v>0</v>
      </c>
      <c r="L54" s="22">
        <f>Nkando!N54+Nkando!O54+Nkando!P54</f>
        <v>0</v>
      </c>
      <c r="M54" s="34">
        <f>SUM(D54:L54)</f>
        <v>0</v>
      </c>
    </row>
    <row r="55" spans="1:13" ht="15.75" x14ac:dyDescent="0.25">
      <c r="A55" s="68" t="s">
        <v>123</v>
      </c>
      <c r="B55" s="69"/>
      <c r="C55" s="4" t="s">
        <v>18</v>
      </c>
      <c r="D55" s="22">
        <f>Mulanje!M55+Mulanje!N55+Mulanje!O55</f>
        <v>0</v>
      </c>
      <c r="E55" s="22">
        <f>Luchenza!M55+Luchenza!N55+Luchenza!O55</f>
        <v>0</v>
      </c>
      <c r="F55" s="22">
        <f>Thyolo!M55+Thyolo!N55+Thyolo!O55</f>
        <v>0</v>
      </c>
      <c r="G55" s="22">
        <f>Muloza!M55+Muloza!N55+Muloza!O55</f>
        <v>0</v>
      </c>
      <c r="H55" s="22">
        <f>MUST!M55+MUST!N55+MUST!O55</f>
        <v>0</v>
      </c>
      <c r="I55" s="22">
        <f>Phalombe!M55+Phalombe!N55+Phalombe!O55</f>
        <v>0</v>
      </c>
      <c r="J55" s="22">
        <f>Mikolongwe!M55+Mikolongwe!N55+Mikolongwe!O55</f>
        <v>0</v>
      </c>
      <c r="K55" s="22">
        <f>Migowi!M55+Migowi!N55+Migowi!O55</f>
        <v>0</v>
      </c>
      <c r="L55" s="22">
        <f>Nkando!N55+Nkando!O55+Nkando!P55</f>
        <v>2401686.42</v>
      </c>
      <c r="M55" s="34">
        <f>SUM(D55:L55)</f>
        <v>2401686.42</v>
      </c>
    </row>
    <row r="56" spans="1:13" ht="15.75" x14ac:dyDescent="0.25">
      <c r="A56" s="445" t="s">
        <v>122</v>
      </c>
      <c r="B56" s="446"/>
      <c r="C56" s="4" t="s">
        <v>18</v>
      </c>
      <c r="D56" s="22">
        <f>Mulanje!M56+Mulanje!N56+Mulanje!O56</f>
        <v>0</v>
      </c>
      <c r="E56" s="22">
        <f>Luchenza!M56+Luchenza!N56+Luchenza!O56</f>
        <v>0</v>
      </c>
      <c r="F56" s="22">
        <f>Thyolo!M56+Thyolo!N56+Thyolo!O56</f>
        <v>0</v>
      </c>
      <c r="G56" s="22">
        <f>Muloza!M56+Muloza!N56+Muloza!O56</f>
        <v>0</v>
      </c>
      <c r="H56" s="22">
        <f>MUST!M56+MUST!N56+MUST!O56</f>
        <v>0</v>
      </c>
      <c r="I56" s="22">
        <f>Phalombe!M56+Phalombe!N56+Phalombe!O56</f>
        <v>0</v>
      </c>
      <c r="J56" s="22">
        <f>Mikolongwe!M56+Mikolongwe!N56+Mikolongwe!O56</f>
        <v>0</v>
      </c>
      <c r="K56" s="22">
        <f>Migowi!M56+Migowi!N56+Migowi!O56</f>
        <v>0</v>
      </c>
      <c r="L56" s="22">
        <f>Nkando!N56+Nkando!O56+Nkando!P56</f>
        <v>0</v>
      </c>
      <c r="M56" s="34">
        <f>SUM(D56:L56)</f>
        <v>0</v>
      </c>
    </row>
    <row r="57" spans="1:13" x14ac:dyDescent="0.25">
      <c r="A57" s="507" t="s">
        <v>121</v>
      </c>
      <c r="B57" s="508"/>
      <c r="C57" s="508"/>
      <c r="D57" s="508"/>
      <c r="E57" s="508"/>
      <c r="F57" s="508"/>
      <c r="G57" s="508"/>
      <c r="H57" s="508"/>
      <c r="I57" s="508"/>
      <c r="J57" s="508"/>
      <c r="K57" s="508"/>
      <c r="L57" s="508"/>
      <c r="M57" s="509"/>
    </row>
    <row r="58" spans="1:13" ht="15.75" x14ac:dyDescent="0.25">
      <c r="A58" s="445" t="s">
        <v>120</v>
      </c>
      <c r="B58" s="446"/>
      <c r="C58" s="4" t="s">
        <v>18</v>
      </c>
      <c r="D58" s="11">
        <f>D41+D46+D51+D52+D54+D55+D56</f>
        <v>0</v>
      </c>
      <c r="E58" s="11">
        <f t="shared" ref="E58:K58" si="30">E41+E46+E51+E52+E54+E55+E56</f>
        <v>0</v>
      </c>
      <c r="F58" s="11">
        <f t="shared" si="30"/>
        <v>32853</v>
      </c>
      <c r="G58" s="11">
        <f t="shared" si="30"/>
        <v>0</v>
      </c>
      <c r="H58" s="11">
        <f t="shared" si="30"/>
        <v>0</v>
      </c>
      <c r="I58" s="11">
        <f t="shared" si="30"/>
        <v>0</v>
      </c>
      <c r="J58" s="11">
        <f t="shared" si="30"/>
        <v>0</v>
      </c>
      <c r="K58" s="11">
        <f t="shared" si="30"/>
        <v>0</v>
      </c>
      <c r="L58" s="11">
        <f t="shared" ref="L58" si="31">L41+L46+L51+L52+L54+L55+L56</f>
        <v>3838421.2199999997</v>
      </c>
      <c r="M58" s="59">
        <f>SUM(D58:L58)</f>
        <v>3871274.2199999997</v>
      </c>
    </row>
    <row r="59" spans="1:13" ht="15.75" x14ac:dyDescent="0.25">
      <c r="A59" s="445" t="s">
        <v>119</v>
      </c>
      <c r="B59" s="446"/>
      <c r="C59" s="4" t="s">
        <v>117</v>
      </c>
      <c r="D59" s="13" t="e">
        <f t="shared" ref="D59:M59" si="32">D58/D9</f>
        <v>#DIV/0!</v>
      </c>
      <c r="E59" s="13" t="e">
        <f t="shared" si="32"/>
        <v>#DIV/0!</v>
      </c>
      <c r="F59" s="13" t="e">
        <f t="shared" si="32"/>
        <v>#DIV/0!</v>
      </c>
      <c r="G59" s="13" t="e">
        <f t="shared" si="32"/>
        <v>#DIV/0!</v>
      </c>
      <c r="H59" s="13" t="e">
        <f t="shared" si="32"/>
        <v>#DIV/0!</v>
      </c>
      <c r="I59" s="13" t="e">
        <f t="shared" si="32"/>
        <v>#DIV/0!</v>
      </c>
      <c r="J59" s="13" t="e">
        <f t="shared" si="32"/>
        <v>#DIV/0!</v>
      </c>
      <c r="K59" s="13" t="e">
        <f t="shared" si="32"/>
        <v>#DIV/0!</v>
      </c>
      <c r="L59" s="13">
        <f t="shared" ref="L59" si="33">L58/L9</f>
        <v>584.94684852179205</v>
      </c>
      <c r="M59" s="92">
        <f t="shared" si="32"/>
        <v>589.95340140201154</v>
      </c>
    </row>
    <row r="60" spans="1:13" ht="15.75" x14ac:dyDescent="0.25">
      <c r="A60" s="445" t="s">
        <v>118</v>
      </c>
      <c r="B60" s="446"/>
      <c r="C60" s="4" t="s">
        <v>117</v>
      </c>
      <c r="D60" s="13" t="e">
        <f>D58/D22</f>
        <v>#DIV/0!</v>
      </c>
      <c r="E60" s="13" t="e">
        <f t="shared" ref="E60:K60" si="34">E58/E22</f>
        <v>#DIV/0!</v>
      </c>
      <c r="F60" s="13" t="e">
        <f t="shared" si="34"/>
        <v>#DIV/0!</v>
      </c>
      <c r="G60" s="13" t="e">
        <f t="shared" si="34"/>
        <v>#DIV/0!</v>
      </c>
      <c r="H60" s="13" t="e">
        <f t="shared" si="34"/>
        <v>#DIV/0!</v>
      </c>
      <c r="I60" s="13" t="e">
        <f t="shared" si="34"/>
        <v>#DIV/0!</v>
      </c>
      <c r="J60" s="13" t="e">
        <f t="shared" si="34"/>
        <v>#DIV/0!</v>
      </c>
      <c r="K60" s="13" t="e">
        <f t="shared" si="34"/>
        <v>#DIV/0!</v>
      </c>
      <c r="L60" s="13">
        <f t="shared" ref="L60" si="35">L58/L22</f>
        <v>759.34661813290074</v>
      </c>
      <c r="M60" s="93">
        <f>M58/M22</f>
        <v>765.84585649567748</v>
      </c>
    </row>
    <row r="61" spans="1:13" ht="15.75" x14ac:dyDescent="0.25">
      <c r="A61" s="445" t="s">
        <v>116</v>
      </c>
      <c r="B61" s="446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8">
        <v>0</v>
      </c>
    </row>
    <row r="62" spans="1:13" ht="15.6" customHeight="1" x14ac:dyDescent="0.25">
      <c r="A62" s="445" t="s">
        <v>115</v>
      </c>
      <c r="B62" s="446"/>
      <c r="C62" s="4" t="s">
        <v>114</v>
      </c>
      <c r="D62" s="13" t="e">
        <f t="shared" ref="D62:K62" si="36">(D61*1000*31)/D9</f>
        <v>#DIV/0!</v>
      </c>
      <c r="E62" s="13" t="e">
        <f t="shared" si="36"/>
        <v>#DIV/0!</v>
      </c>
      <c r="F62" s="13" t="e">
        <f t="shared" si="36"/>
        <v>#DIV/0!</v>
      </c>
      <c r="G62" s="13" t="e">
        <f t="shared" si="36"/>
        <v>#DIV/0!</v>
      </c>
      <c r="H62" s="13" t="e">
        <f t="shared" si="36"/>
        <v>#DIV/0!</v>
      </c>
      <c r="I62" s="13" t="e">
        <f t="shared" si="36"/>
        <v>#DIV/0!</v>
      </c>
      <c r="J62" s="13" t="e">
        <f t="shared" si="36"/>
        <v>#DIV/0!</v>
      </c>
      <c r="K62" s="13" t="e">
        <f t="shared" si="36"/>
        <v>#DIV/0!</v>
      </c>
      <c r="L62" s="13">
        <f t="shared" ref="L62" si="37">(L61*1000*31)/L9</f>
        <v>0</v>
      </c>
      <c r="M62" s="128">
        <f>(M61*1000*31)/M9</f>
        <v>0</v>
      </c>
    </row>
    <row r="63" spans="1:13" ht="15.75" x14ac:dyDescent="0.25">
      <c r="A63" s="502" t="s">
        <v>113</v>
      </c>
      <c r="B63" s="503"/>
      <c r="C63" s="33" t="s">
        <v>3</v>
      </c>
      <c r="D63" s="3"/>
      <c r="E63" s="3"/>
      <c r="F63" s="3"/>
      <c r="G63" s="3"/>
      <c r="H63" s="3"/>
      <c r="I63" s="3"/>
      <c r="J63" s="3"/>
      <c r="K63" s="3"/>
      <c r="L63" s="3"/>
      <c r="M63" s="8">
        <f>SUM(D63:L63)</f>
        <v>0</v>
      </c>
    </row>
    <row r="64" spans="1:13" x14ac:dyDescent="0.25">
      <c r="A64" s="504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6"/>
    </row>
    <row r="65" spans="1:13" ht="14.45" customHeight="1" x14ac:dyDescent="0.25">
      <c r="A65" s="507" t="s">
        <v>112</v>
      </c>
      <c r="B65" s="508"/>
      <c r="C65" s="508"/>
      <c r="D65" s="508"/>
      <c r="E65" s="508"/>
      <c r="F65" s="508"/>
      <c r="G65" s="508"/>
      <c r="H65" s="508"/>
      <c r="I65" s="508"/>
      <c r="J65" s="508"/>
      <c r="K65" s="508"/>
      <c r="L65" s="508"/>
      <c r="M65" s="509"/>
    </row>
    <row r="66" spans="1:13" ht="15.75" x14ac:dyDescent="0.25">
      <c r="A66" s="493" t="s">
        <v>111</v>
      </c>
      <c r="B66" s="21" t="s">
        <v>85</v>
      </c>
      <c r="C66" s="4" t="s">
        <v>3</v>
      </c>
      <c r="D66" s="30">
        <f>Mulanje!M66</f>
        <v>20</v>
      </c>
      <c r="E66" s="30">
        <f>Luchenza!M66</f>
        <v>43</v>
      </c>
      <c r="F66" s="30">
        <f>Thyolo!M66</f>
        <v>16</v>
      </c>
      <c r="G66" s="30">
        <f>Muloza!M66</f>
        <v>65</v>
      </c>
      <c r="H66" s="30">
        <f>MUST!M66</f>
        <v>3</v>
      </c>
      <c r="I66" s="30">
        <f>Phalombe!M66</f>
        <v>40</v>
      </c>
      <c r="J66" s="30">
        <f>Mikolongwe!M66</f>
        <v>0</v>
      </c>
      <c r="K66" s="30">
        <f>Migowi!M66</f>
        <v>0</v>
      </c>
      <c r="L66" s="30">
        <f>Nkando!N66</f>
        <v>4</v>
      </c>
      <c r="M66" s="31">
        <f>SUM(D66:L66)</f>
        <v>191</v>
      </c>
    </row>
    <row r="67" spans="1:13" ht="15.75" x14ac:dyDescent="0.25">
      <c r="A67" s="494"/>
      <c r="B67" s="21" t="s">
        <v>106</v>
      </c>
      <c r="C67" s="4" t="s">
        <v>3</v>
      </c>
      <c r="D67" s="22">
        <f>Mulanje!M67+Mulanje!N67+Mulanje!O67</f>
        <v>0</v>
      </c>
      <c r="E67" s="22">
        <f>Luchenza!M67+Luchenza!N67+Luchenza!O67</f>
        <v>0</v>
      </c>
      <c r="F67" s="22">
        <f>Thyolo!M67+Thyolo!N67+Thyolo!O67</f>
        <v>0</v>
      </c>
      <c r="G67" s="22">
        <f>Muloza!M67+Muloza!N67+Muloza!O67</f>
        <v>0</v>
      </c>
      <c r="H67" s="22">
        <f>MUST!M67+MUST!N67+MUST!O67</f>
        <v>0</v>
      </c>
      <c r="I67" s="22">
        <f>Phalombe!M67+Phalombe!N67+Phalombe!O67</f>
        <v>0</v>
      </c>
      <c r="J67" s="22">
        <f>Mikolongwe!M67+Mikolongwe!N67+Mikolongwe!O67</f>
        <v>0</v>
      </c>
      <c r="K67" s="22">
        <f>Migowi!M67+Migowi!N67+Migowi!O67</f>
        <v>0</v>
      </c>
      <c r="L67" s="22">
        <f>Nkando!N67+Nkando!O67+Nkando!P67</f>
        <v>7</v>
      </c>
      <c r="M67" s="31">
        <f>SUM(D67:L67)</f>
        <v>7</v>
      </c>
    </row>
    <row r="68" spans="1:13" ht="26.25" x14ac:dyDescent="0.25">
      <c r="A68" s="494"/>
      <c r="B68" s="21" t="s">
        <v>105</v>
      </c>
      <c r="C68" s="4" t="s">
        <v>3</v>
      </c>
      <c r="D68" s="22">
        <f>Mulanje!M68+Mulanje!N68+Mulanje!O68</f>
        <v>0</v>
      </c>
      <c r="E68" s="22">
        <f>Luchenza!M68+Luchenza!N68+Luchenza!O68</f>
        <v>0</v>
      </c>
      <c r="F68" s="22">
        <f>Thyolo!M68+Thyolo!N68+Thyolo!O68</f>
        <v>0</v>
      </c>
      <c r="G68" s="22">
        <f>Muloza!M68+Muloza!N68+Muloza!O68</f>
        <v>0</v>
      </c>
      <c r="H68" s="22">
        <f>MUST!M68+MUST!N68+MUST!O68</f>
        <v>0</v>
      </c>
      <c r="I68" s="22">
        <f>Phalombe!M68+Phalombe!N68+Phalombe!O68</f>
        <v>0</v>
      </c>
      <c r="J68" s="22">
        <f>Mikolongwe!M68+Mikolongwe!N68+Mikolongwe!O68</f>
        <v>0</v>
      </c>
      <c r="K68" s="22">
        <f>Migowi!M68+Migowi!N68+Migowi!O68</f>
        <v>0</v>
      </c>
      <c r="L68" s="22">
        <f>Nkando!N68+Nkando!O68+Nkando!P68</f>
        <v>0</v>
      </c>
      <c r="M68" s="31">
        <f>SUM(D68:L68)</f>
        <v>0</v>
      </c>
    </row>
    <row r="69" spans="1:13" ht="26.25" x14ac:dyDescent="0.25">
      <c r="A69" s="494"/>
      <c r="B69" s="21" t="s">
        <v>104</v>
      </c>
      <c r="C69" s="4" t="s">
        <v>3</v>
      </c>
      <c r="D69" s="22">
        <f>Mulanje!M69+Mulanje!N69+Mulanje!O69</f>
        <v>0</v>
      </c>
      <c r="E69" s="22">
        <f>Luchenza!M69+Luchenza!N69+Luchenza!O69</f>
        <v>0</v>
      </c>
      <c r="F69" s="22">
        <f>Thyolo!M69+Thyolo!N69+Thyolo!O69</f>
        <v>0</v>
      </c>
      <c r="G69" s="22">
        <f>Muloza!M69+Muloza!N69+Muloza!O69</f>
        <v>0</v>
      </c>
      <c r="H69" s="22">
        <f>MUST!M69+MUST!N69+MUST!O69</f>
        <v>0</v>
      </c>
      <c r="I69" s="22">
        <f>Phalombe!M69+Phalombe!N69+Phalombe!O69</f>
        <v>0</v>
      </c>
      <c r="J69" s="22">
        <f>Mikolongwe!M69+Mikolongwe!N69+Mikolongwe!O69</f>
        <v>0</v>
      </c>
      <c r="K69" s="22">
        <f>Migowi!M69+Migowi!N69+Migowi!O69</f>
        <v>0</v>
      </c>
      <c r="L69" s="22">
        <f>Nkando!N69+Nkando!O69+Nkando!P69</f>
        <v>9</v>
      </c>
      <c r="M69" s="31">
        <f>SUM(D69:L69)</f>
        <v>9</v>
      </c>
    </row>
    <row r="70" spans="1:13" ht="15.75" x14ac:dyDescent="0.25">
      <c r="A70" s="494"/>
      <c r="B70" s="21" t="s">
        <v>190</v>
      </c>
      <c r="C70" s="4" t="s">
        <v>3</v>
      </c>
      <c r="D70" s="3">
        <f>D68+D69</f>
        <v>0</v>
      </c>
      <c r="E70" s="3">
        <f t="shared" ref="E70:K70" si="38">E68+E69</f>
        <v>0</v>
      </c>
      <c r="F70" s="3">
        <f t="shared" si="38"/>
        <v>0</v>
      </c>
      <c r="G70" s="3">
        <f t="shared" si="38"/>
        <v>0</v>
      </c>
      <c r="H70" s="3">
        <f t="shared" si="38"/>
        <v>0</v>
      </c>
      <c r="I70" s="3">
        <f t="shared" si="38"/>
        <v>0</v>
      </c>
      <c r="J70" s="3">
        <f t="shared" si="38"/>
        <v>0</v>
      </c>
      <c r="K70" s="3">
        <f t="shared" si="38"/>
        <v>0</v>
      </c>
      <c r="L70" s="3">
        <f t="shared" ref="L70" si="39">L68+L69</f>
        <v>9</v>
      </c>
      <c r="M70" s="94">
        <f>M68+M69</f>
        <v>9</v>
      </c>
    </row>
    <row r="71" spans="1:13" ht="15.75" x14ac:dyDescent="0.25">
      <c r="A71" s="495"/>
      <c r="B71" s="21" t="s">
        <v>81</v>
      </c>
      <c r="C71" s="4" t="s">
        <v>3</v>
      </c>
      <c r="D71" s="30">
        <f>D66+D67-D70</f>
        <v>20</v>
      </c>
      <c r="E71" s="30">
        <f t="shared" ref="E71:K71" si="40">E66+E67-E70</f>
        <v>43</v>
      </c>
      <c r="F71" s="30">
        <f t="shared" si="40"/>
        <v>16</v>
      </c>
      <c r="G71" s="30">
        <f t="shared" si="40"/>
        <v>65</v>
      </c>
      <c r="H71" s="30">
        <f t="shared" si="40"/>
        <v>3</v>
      </c>
      <c r="I71" s="30">
        <f t="shared" si="40"/>
        <v>40</v>
      </c>
      <c r="J71" s="30">
        <f t="shared" si="40"/>
        <v>0</v>
      </c>
      <c r="K71" s="30">
        <f t="shared" si="40"/>
        <v>0</v>
      </c>
      <c r="L71" s="30">
        <f t="shared" ref="L71" si="41">L66+L67-L70</f>
        <v>2</v>
      </c>
      <c r="M71" s="50">
        <f>M66+M67-M70</f>
        <v>189</v>
      </c>
    </row>
    <row r="72" spans="1:13" ht="15.75" x14ac:dyDescent="0.25">
      <c r="A72" s="493" t="s">
        <v>110</v>
      </c>
      <c r="B72" s="21" t="s">
        <v>85</v>
      </c>
      <c r="C72" s="4" t="s">
        <v>3</v>
      </c>
      <c r="D72" s="30">
        <f>Mulanje!M72</f>
        <v>0</v>
      </c>
      <c r="E72" s="30">
        <f>Luchenza!M72</f>
        <v>0</v>
      </c>
      <c r="F72" s="30">
        <f>Thyolo!M72</f>
        <v>0</v>
      </c>
      <c r="G72" s="30">
        <f>Muloza!M72</f>
        <v>0</v>
      </c>
      <c r="H72" s="30">
        <f>MUST!M72</f>
        <v>0</v>
      </c>
      <c r="I72" s="30">
        <f>Phalombe!M72</f>
        <v>0</v>
      </c>
      <c r="J72" s="30">
        <f>Mikolongwe!M72</f>
        <v>0</v>
      </c>
      <c r="K72" s="30">
        <f>Migowi!M72</f>
        <v>0</v>
      </c>
      <c r="L72" s="30">
        <f>Nkando!N72</f>
        <v>0</v>
      </c>
      <c r="M72" s="31">
        <f>SUM(D72:L72)</f>
        <v>0</v>
      </c>
    </row>
    <row r="73" spans="1:13" ht="15.75" x14ac:dyDescent="0.25">
      <c r="A73" s="494"/>
      <c r="B73" s="21" t="s">
        <v>106</v>
      </c>
      <c r="C73" s="4" t="s">
        <v>3</v>
      </c>
      <c r="D73" s="22">
        <f>Mulanje!M73+Mulanje!N73+Mulanje!O73</f>
        <v>0</v>
      </c>
      <c r="E73" s="22">
        <f>Luchenza!M73+Luchenza!N73+Luchenza!O73</f>
        <v>0</v>
      </c>
      <c r="F73" s="22">
        <f>Thyolo!M73+Thyolo!N73+Thyolo!O73</f>
        <v>0</v>
      </c>
      <c r="G73" s="22">
        <f>Muloza!M73+Muloza!N73+Muloza!O73</f>
        <v>0</v>
      </c>
      <c r="H73" s="22">
        <f>MUST!M73+MUST!N73+MUST!O73</f>
        <v>0</v>
      </c>
      <c r="I73" s="22">
        <f>Phalombe!M73+Phalombe!N73+Phalombe!O73</f>
        <v>0</v>
      </c>
      <c r="J73" s="22">
        <f>Mikolongwe!M73+Mikolongwe!N73+Mikolongwe!O73</f>
        <v>0</v>
      </c>
      <c r="K73" s="22">
        <f>Migowi!M73+Migowi!N73+Migowi!O73</f>
        <v>0</v>
      </c>
      <c r="L73" s="22">
        <f>Nkando!N73+Nkando!O73+Nkando!P73</f>
        <v>0</v>
      </c>
      <c r="M73" s="31">
        <f>SUM(D73:L73)</f>
        <v>0</v>
      </c>
    </row>
    <row r="74" spans="1:13" ht="26.25" x14ac:dyDescent="0.25">
      <c r="A74" s="494"/>
      <c r="B74" s="21" t="s">
        <v>105</v>
      </c>
      <c r="C74" s="4" t="s">
        <v>3</v>
      </c>
      <c r="D74" s="22">
        <f>Mulanje!M74+Mulanje!N74+Mulanje!O74</f>
        <v>0</v>
      </c>
      <c r="E74" s="22">
        <f>Luchenza!M74+Luchenza!N74+Luchenza!O74</f>
        <v>0</v>
      </c>
      <c r="F74" s="22">
        <f>Thyolo!M74+Thyolo!N74+Thyolo!O74</f>
        <v>0</v>
      </c>
      <c r="G74" s="22">
        <f>Muloza!M74+Muloza!N74+Muloza!O74</f>
        <v>0</v>
      </c>
      <c r="H74" s="22">
        <f>MUST!M74+MUST!N74+MUST!O74</f>
        <v>0</v>
      </c>
      <c r="I74" s="22">
        <f>Phalombe!M74+Phalombe!N74+Phalombe!O74</f>
        <v>0</v>
      </c>
      <c r="J74" s="22">
        <f>Mikolongwe!M74+Mikolongwe!N74+Mikolongwe!O74</f>
        <v>0</v>
      </c>
      <c r="K74" s="22">
        <f>Migowi!M74+Migowi!N74+Migowi!O74</f>
        <v>0</v>
      </c>
      <c r="L74" s="22">
        <f>Nkando!N74+Nkando!O74+Nkando!P74</f>
        <v>0</v>
      </c>
      <c r="M74" s="31">
        <f>SUM(D74:L74)</f>
        <v>0</v>
      </c>
    </row>
    <row r="75" spans="1:13" ht="26.25" x14ac:dyDescent="0.25">
      <c r="A75" s="494"/>
      <c r="B75" s="21" t="s">
        <v>104</v>
      </c>
      <c r="C75" s="4" t="s">
        <v>3</v>
      </c>
      <c r="D75" s="22">
        <f>Mulanje!M75+Mulanje!N75+Mulanje!O75</f>
        <v>0</v>
      </c>
      <c r="E75" s="22">
        <f>Luchenza!M75+Luchenza!N75+Luchenza!O75</f>
        <v>0</v>
      </c>
      <c r="F75" s="22">
        <f>Thyolo!M75+Thyolo!N75+Thyolo!O75</f>
        <v>0</v>
      </c>
      <c r="G75" s="22">
        <f>Muloza!M75+Muloza!N75+Muloza!O75</f>
        <v>0</v>
      </c>
      <c r="H75" s="22">
        <f>MUST!M75+MUST!N75+MUST!O75</f>
        <v>0</v>
      </c>
      <c r="I75" s="22">
        <f>Phalombe!M75+Phalombe!N75+Phalombe!O75</f>
        <v>0</v>
      </c>
      <c r="J75" s="22">
        <f>Mikolongwe!M75+Mikolongwe!N75+Mikolongwe!O75</f>
        <v>0</v>
      </c>
      <c r="K75" s="22">
        <f>Migowi!M75+Migowi!N75+Migowi!O75</f>
        <v>0</v>
      </c>
      <c r="L75" s="22">
        <f>Nkando!N75+Nkando!O75+Nkando!P75</f>
        <v>0</v>
      </c>
      <c r="M75" s="31">
        <f>SUM(D75:L75)</f>
        <v>0</v>
      </c>
    </row>
    <row r="76" spans="1:13" ht="15.75" x14ac:dyDescent="0.25">
      <c r="A76" s="494"/>
      <c r="B76" s="21" t="s">
        <v>190</v>
      </c>
      <c r="C76" s="4" t="s">
        <v>3</v>
      </c>
      <c r="D76" s="3">
        <f>D74+D75</f>
        <v>0</v>
      </c>
      <c r="E76" s="3">
        <f t="shared" ref="E76:K76" si="42">E74+E75</f>
        <v>0</v>
      </c>
      <c r="F76" s="3">
        <f t="shared" si="42"/>
        <v>0</v>
      </c>
      <c r="G76" s="3">
        <f t="shared" si="42"/>
        <v>0</v>
      </c>
      <c r="H76" s="3">
        <f t="shared" si="42"/>
        <v>0</v>
      </c>
      <c r="I76" s="3">
        <f t="shared" si="42"/>
        <v>0</v>
      </c>
      <c r="J76" s="3">
        <f t="shared" si="42"/>
        <v>0</v>
      </c>
      <c r="K76" s="3">
        <f t="shared" si="42"/>
        <v>0</v>
      </c>
      <c r="L76" s="3">
        <f t="shared" ref="L76" si="43">L74+L75</f>
        <v>0</v>
      </c>
      <c r="M76" s="94">
        <f t="shared" ref="M76" si="44">M74+M75</f>
        <v>0</v>
      </c>
    </row>
    <row r="77" spans="1:13" ht="15.75" x14ac:dyDescent="0.25">
      <c r="A77" s="495"/>
      <c r="B77" s="21" t="s">
        <v>81</v>
      </c>
      <c r="C77" s="4" t="s">
        <v>3</v>
      </c>
      <c r="D77" s="30">
        <f>D72+D73-D76</f>
        <v>0</v>
      </c>
      <c r="E77" s="30">
        <f t="shared" ref="E77:K77" si="45">E72+E73-E76</f>
        <v>0</v>
      </c>
      <c r="F77" s="30">
        <f t="shared" si="45"/>
        <v>0</v>
      </c>
      <c r="G77" s="30">
        <f t="shared" si="45"/>
        <v>0</v>
      </c>
      <c r="H77" s="30">
        <f t="shared" si="45"/>
        <v>0</v>
      </c>
      <c r="I77" s="30">
        <f t="shared" si="45"/>
        <v>0</v>
      </c>
      <c r="J77" s="30">
        <f t="shared" si="45"/>
        <v>0</v>
      </c>
      <c r="K77" s="30">
        <f t="shared" si="45"/>
        <v>0</v>
      </c>
      <c r="L77" s="30">
        <f t="shared" ref="L77" si="46">L72+L73-L76</f>
        <v>0</v>
      </c>
      <c r="M77" s="95">
        <f t="shared" ref="M77" si="47">M73+M74-M76</f>
        <v>0</v>
      </c>
    </row>
    <row r="78" spans="1:13" ht="15.6" customHeight="1" x14ac:dyDescent="0.25">
      <c r="A78" s="493" t="s">
        <v>109</v>
      </c>
      <c r="B78" s="21" t="s">
        <v>85</v>
      </c>
      <c r="C78" s="4" t="s">
        <v>3</v>
      </c>
      <c r="D78" s="30">
        <f>Mulanje!M78</f>
        <v>0</v>
      </c>
      <c r="E78" s="30">
        <f>Luchenza!M78</f>
        <v>0</v>
      </c>
      <c r="F78" s="30">
        <f>Thyolo!M78</f>
        <v>0</v>
      </c>
      <c r="G78" s="30">
        <f>Muloza!M78</f>
        <v>0</v>
      </c>
      <c r="H78" s="30">
        <f>MUST!M78</f>
        <v>0</v>
      </c>
      <c r="I78" s="30">
        <f>Phalombe!M78</f>
        <v>0</v>
      </c>
      <c r="J78" s="30">
        <f>Mikolongwe!M78</f>
        <v>0</v>
      </c>
      <c r="K78" s="30">
        <f>Migowi!M78</f>
        <v>0</v>
      </c>
      <c r="L78" s="30">
        <f>Nkando!N78</f>
        <v>0</v>
      </c>
      <c r="M78" s="31">
        <f>D78</f>
        <v>0</v>
      </c>
    </row>
    <row r="79" spans="1:13" ht="15.75" x14ac:dyDescent="0.25">
      <c r="A79" s="494"/>
      <c r="B79" s="21" t="s">
        <v>106</v>
      </c>
      <c r="C79" s="4" t="s">
        <v>3</v>
      </c>
      <c r="D79" s="22">
        <f>Mulanje!M79+Mulanje!N79+Mulanje!O79</f>
        <v>0</v>
      </c>
      <c r="E79" s="22">
        <f>Luchenza!M79+Luchenza!N79+Luchenza!O79</f>
        <v>0</v>
      </c>
      <c r="F79" s="22">
        <f>Thyolo!M79+Thyolo!N79+Thyolo!O79</f>
        <v>0</v>
      </c>
      <c r="G79" s="22">
        <f>Muloza!M79+Muloza!N79+Muloza!O79</f>
        <v>0</v>
      </c>
      <c r="H79" s="22">
        <f>MUST!M79+MUST!N79+MUST!O79</f>
        <v>0</v>
      </c>
      <c r="I79" s="22">
        <f>Phalombe!M79+Phalombe!N79+Phalombe!O79</f>
        <v>0</v>
      </c>
      <c r="J79" s="22">
        <f>Mikolongwe!M79+Mikolongwe!N79+Mikolongwe!O79</f>
        <v>0</v>
      </c>
      <c r="K79" s="22">
        <f>Migowi!M79+Migowi!N79+Migowi!O79</f>
        <v>0</v>
      </c>
      <c r="L79" s="22">
        <f>Nkando!N79+Nkando!O79+Nkando!P79</f>
        <v>0</v>
      </c>
      <c r="M79" s="31">
        <f>SUM(D79:L79)</f>
        <v>0</v>
      </c>
    </row>
    <row r="80" spans="1:13" ht="26.25" x14ac:dyDescent="0.25">
      <c r="A80" s="494"/>
      <c r="B80" s="21" t="s">
        <v>105</v>
      </c>
      <c r="C80" s="4" t="s">
        <v>3</v>
      </c>
      <c r="D80" s="22">
        <f>Mulanje!M80+Mulanje!N80+Mulanje!O80</f>
        <v>0</v>
      </c>
      <c r="E80" s="22">
        <f>Luchenza!M80+Luchenza!N80+Luchenza!O80</f>
        <v>0</v>
      </c>
      <c r="F80" s="22">
        <f>Thyolo!M80+Thyolo!N80+Thyolo!O80</f>
        <v>0</v>
      </c>
      <c r="G80" s="22">
        <f>Muloza!M80+Muloza!N80+Muloza!O80</f>
        <v>0</v>
      </c>
      <c r="H80" s="22">
        <f>MUST!M80+MUST!N80+MUST!O80</f>
        <v>0</v>
      </c>
      <c r="I80" s="22">
        <f>Phalombe!M80+Phalombe!N80+Phalombe!O80</f>
        <v>0</v>
      </c>
      <c r="J80" s="22">
        <f>Mikolongwe!M80+Mikolongwe!N80+Mikolongwe!O80</f>
        <v>0</v>
      </c>
      <c r="K80" s="22">
        <f>Migowi!M80+Migowi!N80+Migowi!O80</f>
        <v>0</v>
      </c>
      <c r="L80" s="22">
        <f>Nkando!N80+Nkando!O80+Nkando!P80</f>
        <v>0</v>
      </c>
      <c r="M80" s="31">
        <f>SUM(D80:L80)</f>
        <v>0</v>
      </c>
    </row>
    <row r="81" spans="1:13" ht="26.25" x14ac:dyDescent="0.25">
      <c r="A81" s="494"/>
      <c r="B81" s="21" t="s">
        <v>104</v>
      </c>
      <c r="C81" s="4" t="s">
        <v>3</v>
      </c>
      <c r="D81" s="22">
        <f>Mulanje!M81+Mulanje!N81+Mulanje!O81</f>
        <v>0</v>
      </c>
      <c r="E81" s="22">
        <f>Luchenza!M81+Luchenza!N81+Luchenza!O81</f>
        <v>0</v>
      </c>
      <c r="F81" s="22">
        <f>Thyolo!M81+Thyolo!N81+Thyolo!O81</f>
        <v>0</v>
      </c>
      <c r="G81" s="22">
        <f>Muloza!M81+Muloza!N81+Muloza!O81</f>
        <v>0</v>
      </c>
      <c r="H81" s="22">
        <f>MUST!M81+MUST!N81+MUST!O81</f>
        <v>0</v>
      </c>
      <c r="I81" s="22">
        <f>Phalombe!M81+Phalombe!N81+Phalombe!O81</f>
        <v>0</v>
      </c>
      <c r="J81" s="22">
        <f>Mikolongwe!M81+Mikolongwe!N81+Mikolongwe!O81</f>
        <v>0</v>
      </c>
      <c r="K81" s="22">
        <f>Migowi!M81+Migowi!N81+Migowi!O81</f>
        <v>0</v>
      </c>
      <c r="L81" s="22">
        <f>Nkando!N81+Nkando!O81+Nkando!P81</f>
        <v>0</v>
      </c>
      <c r="M81" s="31">
        <f>SUM(D81:L81)</f>
        <v>0</v>
      </c>
    </row>
    <row r="82" spans="1:13" ht="15.75" x14ac:dyDescent="0.25">
      <c r="A82" s="494"/>
      <c r="B82" s="21" t="s">
        <v>190</v>
      </c>
      <c r="C82" s="4" t="s">
        <v>3</v>
      </c>
      <c r="D82" s="3">
        <f>D80+D81</f>
        <v>0</v>
      </c>
      <c r="E82" s="3">
        <f t="shared" ref="E82:K82" si="48">E80+E81</f>
        <v>0</v>
      </c>
      <c r="F82" s="3">
        <f t="shared" si="48"/>
        <v>0</v>
      </c>
      <c r="G82" s="3">
        <f t="shared" si="48"/>
        <v>0</v>
      </c>
      <c r="H82" s="3">
        <f t="shared" si="48"/>
        <v>0</v>
      </c>
      <c r="I82" s="3">
        <f t="shared" si="48"/>
        <v>0</v>
      </c>
      <c r="J82" s="3">
        <f t="shared" si="48"/>
        <v>0</v>
      </c>
      <c r="K82" s="3">
        <f t="shared" si="48"/>
        <v>0</v>
      </c>
      <c r="L82" s="3">
        <f t="shared" ref="L82" si="49">L80+L81</f>
        <v>0</v>
      </c>
      <c r="M82" s="94">
        <f t="shared" ref="M82" si="50">M81+M80</f>
        <v>0</v>
      </c>
    </row>
    <row r="83" spans="1:13" ht="15.75" x14ac:dyDescent="0.25">
      <c r="A83" s="495"/>
      <c r="B83" s="21" t="s">
        <v>81</v>
      </c>
      <c r="C83" s="4" t="s">
        <v>3</v>
      </c>
      <c r="D83" s="30">
        <f>D78+D79-D82</f>
        <v>0</v>
      </c>
      <c r="E83" s="30">
        <f t="shared" ref="E83:K83" si="51">E78+E79-E82</f>
        <v>0</v>
      </c>
      <c r="F83" s="30">
        <f t="shared" si="51"/>
        <v>0</v>
      </c>
      <c r="G83" s="30">
        <f t="shared" si="51"/>
        <v>0</v>
      </c>
      <c r="H83" s="30">
        <f t="shared" si="51"/>
        <v>0</v>
      </c>
      <c r="I83" s="30">
        <f t="shared" si="51"/>
        <v>0</v>
      </c>
      <c r="J83" s="30">
        <f t="shared" si="51"/>
        <v>0</v>
      </c>
      <c r="K83" s="30">
        <f t="shared" si="51"/>
        <v>0</v>
      </c>
      <c r="L83" s="30">
        <f t="shared" ref="L83" si="52">L78+L79-L82</f>
        <v>0</v>
      </c>
      <c r="M83" s="95">
        <f t="shared" ref="M83" si="53">M78+M79-M82</f>
        <v>0</v>
      </c>
    </row>
    <row r="84" spans="1:13" ht="15.75" x14ac:dyDescent="0.25">
      <c r="A84" s="496" t="s">
        <v>108</v>
      </c>
      <c r="B84" s="21" t="s">
        <v>85</v>
      </c>
      <c r="C84" s="4" t="s">
        <v>3</v>
      </c>
      <c r="D84" s="30">
        <f>Mulanje!M84</f>
        <v>0</v>
      </c>
      <c r="E84" s="30">
        <f>Luchenza!M84</f>
        <v>0</v>
      </c>
      <c r="F84" s="30">
        <f>Thyolo!M84</f>
        <v>0</v>
      </c>
      <c r="G84" s="30">
        <f>Muloza!M84</f>
        <v>0</v>
      </c>
      <c r="H84" s="30">
        <f>MUST!M84</f>
        <v>0</v>
      </c>
      <c r="I84" s="30">
        <f>Phalombe!M84</f>
        <v>0</v>
      </c>
      <c r="J84" s="30">
        <f>Mikolongwe!M84</f>
        <v>0</v>
      </c>
      <c r="K84" s="30">
        <f>Migowi!M84</f>
        <v>0</v>
      </c>
      <c r="L84" s="30">
        <f>Nkando!N84</f>
        <v>0</v>
      </c>
      <c r="M84" s="31">
        <f>D84</f>
        <v>0</v>
      </c>
    </row>
    <row r="85" spans="1:13" ht="15.75" x14ac:dyDescent="0.25">
      <c r="A85" s="497"/>
      <c r="B85" s="21" t="s">
        <v>106</v>
      </c>
      <c r="C85" s="4" t="s">
        <v>3</v>
      </c>
      <c r="D85" s="22">
        <f>Mulanje!M85+Mulanje!N85+Mulanje!O85</f>
        <v>0</v>
      </c>
      <c r="E85" s="22">
        <f>Luchenza!M85+Luchenza!N85+Luchenza!O85</f>
        <v>0</v>
      </c>
      <c r="F85" s="22">
        <f>Thyolo!M85+Thyolo!N85+Thyolo!O85</f>
        <v>0</v>
      </c>
      <c r="G85" s="22">
        <f>Muloza!M85+Muloza!N85+Muloza!O85</f>
        <v>0</v>
      </c>
      <c r="H85" s="22">
        <f>MUST!M85+MUST!N85+MUST!O85</f>
        <v>0</v>
      </c>
      <c r="I85" s="22">
        <f>Phalombe!M85+Phalombe!N85+Phalombe!O85</f>
        <v>0</v>
      </c>
      <c r="J85" s="22">
        <f>Mikolongwe!M85+Mikolongwe!N85+Mikolongwe!O85</f>
        <v>0</v>
      </c>
      <c r="K85" s="22">
        <f>Migowi!M85+Migowi!N85+Migowi!O85</f>
        <v>0</v>
      </c>
      <c r="L85" s="22">
        <f>Nkando!N85+Nkando!O85+Nkando!P85</f>
        <v>0</v>
      </c>
      <c r="M85" s="31">
        <f>SUM(D85:L85)</f>
        <v>0</v>
      </c>
    </row>
    <row r="86" spans="1:13" ht="26.25" x14ac:dyDescent="0.25">
      <c r="A86" s="497"/>
      <c r="B86" s="21" t="s">
        <v>105</v>
      </c>
      <c r="C86" s="4" t="s">
        <v>3</v>
      </c>
      <c r="D86" s="22">
        <f>Mulanje!M86+Mulanje!N86+Mulanje!O86</f>
        <v>0</v>
      </c>
      <c r="E86" s="22">
        <f>Luchenza!M86+Luchenza!N86+Luchenza!O86</f>
        <v>0</v>
      </c>
      <c r="F86" s="22">
        <f>Thyolo!M86+Thyolo!N86+Thyolo!O86</f>
        <v>0</v>
      </c>
      <c r="G86" s="22">
        <f>Muloza!M86+Muloza!N86+Muloza!O86</f>
        <v>0</v>
      </c>
      <c r="H86" s="22">
        <f>MUST!M86+MUST!N86+MUST!O86</f>
        <v>0</v>
      </c>
      <c r="I86" s="22">
        <f>Phalombe!M86+Phalombe!N86+Phalombe!O86</f>
        <v>0</v>
      </c>
      <c r="J86" s="22">
        <f>Mikolongwe!M86+Mikolongwe!N86+Mikolongwe!O86</f>
        <v>0</v>
      </c>
      <c r="K86" s="22">
        <f>Migowi!M86+Migowi!N86+Migowi!O86</f>
        <v>0</v>
      </c>
      <c r="L86" s="22">
        <f>Nkando!N86+Nkando!O86+Nkando!P86</f>
        <v>0</v>
      </c>
      <c r="M86" s="31">
        <f>SUM(D86:L86)</f>
        <v>0</v>
      </c>
    </row>
    <row r="87" spans="1:13" ht="26.25" x14ac:dyDescent="0.25">
      <c r="A87" s="497"/>
      <c r="B87" s="21" t="s">
        <v>104</v>
      </c>
      <c r="C87" s="4" t="s">
        <v>3</v>
      </c>
      <c r="D87" s="22">
        <f>Mulanje!M87+Mulanje!N87+Mulanje!O87</f>
        <v>0</v>
      </c>
      <c r="E87" s="22">
        <f>Luchenza!M87+Luchenza!N87+Luchenza!O87</f>
        <v>0</v>
      </c>
      <c r="F87" s="22">
        <f>Thyolo!M87+Thyolo!N87+Thyolo!O87</f>
        <v>0</v>
      </c>
      <c r="G87" s="22">
        <f>Muloza!M87+Muloza!N87+Muloza!O87</f>
        <v>0</v>
      </c>
      <c r="H87" s="22">
        <f>MUST!M87+MUST!N87+MUST!O87</f>
        <v>0</v>
      </c>
      <c r="I87" s="22">
        <f>Phalombe!M87+Phalombe!N87+Phalombe!O87</f>
        <v>0</v>
      </c>
      <c r="J87" s="22">
        <f>Mikolongwe!M87+Mikolongwe!N87+Mikolongwe!O87</f>
        <v>0</v>
      </c>
      <c r="K87" s="22">
        <f>Migowi!M87+Migowi!N87+Migowi!O87</f>
        <v>0</v>
      </c>
      <c r="L87" s="22">
        <f>Nkando!N87+Nkando!O87+Nkando!P87</f>
        <v>0</v>
      </c>
      <c r="M87" s="31">
        <f>SUM(D87:L87)</f>
        <v>0</v>
      </c>
    </row>
    <row r="88" spans="1:13" ht="15.75" x14ac:dyDescent="0.25">
      <c r="A88" s="497"/>
      <c r="B88" s="21" t="s">
        <v>190</v>
      </c>
      <c r="C88" s="4" t="s">
        <v>3</v>
      </c>
      <c r="D88" s="3">
        <f>D86+D87</f>
        <v>0</v>
      </c>
      <c r="E88" s="3">
        <f t="shared" ref="E88:K88" si="54">E86+E87</f>
        <v>0</v>
      </c>
      <c r="F88" s="3">
        <f t="shared" si="54"/>
        <v>0</v>
      </c>
      <c r="G88" s="3">
        <f t="shared" si="54"/>
        <v>0</v>
      </c>
      <c r="H88" s="3">
        <f t="shared" si="54"/>
        <v>0</v>
      </c>
      <c r="I88" s="3">
        <f t="shared" si="54"/>
        <v>0</v>
      </c>
      <c r="J88" s="3">
        <f t="shared" si="54"/>
        <v>0</v>
      </c>
      <c r="K88" s="3">
        <f t="shared" si="54"/>
        <v>0</v>
      </c>
      <c r="L88" s="3">
        <f t="shared" ref="L88" si="55">L86+L87</f>
        <v>0</v>
      </c>
      <c r="M88" s="31"/>
    </row>
    <row r="89" spans="1:13" ht="15.75" x14ac:dyDescent="0.25">
      <c r="A89" s="498"/>
      <c r="B89" s="32" t="s">
        <v>81</v>
      </c>
      <c r="C89" s="4" t="s">
        <v>3</v>
      </c>
      <c r="D89" s="30">
        <f>D84+D85-D88</f>
        <v>0</v>
      </c>
      <c r="E89" s="30">
        <f t="shared" ref="E89:K89" si="56">E84+E85-E88</f>
        <v>0</v>
      </c>
      <c r="F89" s="30">
        <f t="shared" si="56"/>
        <v>0</v>
      </c>
      <c r="G89" s="30">
        <f t="shared" si="56"/>
        <v>0</v>
      </c>
      <c r="H89" s="30">
        <f t="shared" si="56"/>
        <v>0</v>
      </c>
      <c r="I89" s="30">
        <f t="shared" si="56"/>
        <v>0</v>
      </c>
      <c r="J89" s="30">
        <f t="shared" si="56"/>
        <v>0</v>
      </c>
      <c r="K89" s="30">
        <f t="shared" si="56"/>
        <v>0</v>
      </c>
      <c r="L89" s="30">
        <f t="shared" ref="L89" si="57">L84+L85-L88</f>
        <v>0</v>
      </c>
      <c r="M89" s="95">
        <f t="shared" ref="M89" si="58">M84+M85-M86-M87</f>
        <v>0</v>
      </c>
    </row>
    <row r="90" spans="1:13" ht="15.75" x14ac:dyDescent="0.25">
      <c r="A90" s="496" t="s">
        <v>107</v>
      </c>
      <c r="B90" s="21" t="s">
        <v>85</v>
      </c>
      <c r="C90" s="4" t="s">
        <v>3</v>
      </c>
      <c r="D90" s="122">
        <f>D66+D72+D78+D84</f>
        <v>20</v>
      </c>
      <c r="E90" s="122">
        <f t="shared" ref="E90:K90" si="59">E66+E72+E78+E84</f>
        <v>43</v>
      </c>
      <c r="F90" s="122">
        <f t="shared" si="59"/>
        <v>16</v>
      </c>
      <c r="G90" s="122">
        <f t="shared" si="59"/>
        <v>65</v>
      </c>
      <c r="H90" s="122">
        <f t="shared" si="59"/>
        <v>3</v>
      </c>
      <c r="I90" s="122">
        <f t="shared" si="59"/>
        <v>40</v>
      </c>
      <c r="J90" s="122">
        <f t="shared" si="59"/>
        <v>0</v>
      </c>
      <c r="K90" s="122">
        <f t="shared" si="59"/>
        <v>0</v>
      </c>
      <c r="L90" s="122">
        <f t="shared" ref="L90" si="60">L66+L72+L78+L84</f>
        <v>4</v>
      </c>
      <c r="M90" s="31">
        <f>SUM(D90:L90)</f>
        <v>191</v>
      </c>
    </row>
    <row r="91" spans="1:13" ht="15.75" x14ac:dyDescent="0.25">
      <c r="A91" s="497"/>
      <c r="B91" s="21" t="s">
        <v>106</v>
      </c>
      <c r="C91" s="4" t="s">
        <v>3</v>
      </c>
      <c r="D91" s="122">
        <f t="shared" ref="D91:K93" si="61">D67+D73+D79+D85</f>
        <v>0</v>
      </c>
      <c r="E91" s="122">
        <f t="shared" si="61"/>
        <v>0</v>
      </c>
      <c r="F91" s="122">
        <f t="shared" si="61"/>
        <v>0</v>
      </c>
      <c r="G91" s="122">
        <f t="shared" si="61"/>
        <v>0</v>
      </c>
      <c r="H91" s="122">
        <f t="shared" si="61"/>
        <v>0</v>
      </c>
      <c r="I91" s="122">
        <f t="shared" si="61"/>
        <v>0</v>
      </c>
      <c r="J91" s="122">
        <f t="shared" si="61"/>
        <v>0</v>
      </c>
      <c r="K91" s="122">
        <f t="shared" si="61"/>
        <v>0</v>
      </c>
      <c r="L91" s="122">
        <f t="shared" ref="L91" si="62">L67+L73+L79+L85</f>
        <v>7</v>
      </c>
      <c r="M91" s="31">
        <f>SUM(D91:L91)</f>
        <v>7</v>
      </c>
    </row>
    <row r="92" spans="1:13" ht="26.25" x14ac:dyDescent="0.25">
      <c r="A92" s="497"/>
      <c r="B92" s="21" t="s">
        <v>105</v>
      </c>
      <c r="C92" s="4" t="s">
        <v>3</v>
      </c>
      <c r="D92" s="122">
        <f t="shared" si="61"/>
        <v>0</v>
      </c>
      <c r="E92" s="122">
        <f t="shared" si="61"/>
        <v>0</v>
      </c>
      <c r="F92" s="122">
        <f t="shared" si="61"/>
        <v>0</v>
      </c>
      <c r="G92" s="122">
        <f t="shared" si="61"/>
        <v>0</v>
      </c>
      <c r="H92" s="122">
        <f t="shared" si="61"/>
        <v>0</v>
      </c>
      <c r="I92" s="122">
        <f t="shared" si="61"/>
        <v>0</v>
      </c>
      <c r="J92" s="122">
        <f t="shared" si="61"/>
        <v>0</v>
      </c>
      <c r="K92" s="122">
        <f t="shared" si="61"/>
        <v>0</v>
      </c>
      <c r="L92" s="122">
        <f t="shared" ref="L92" si="63">L68+L74+L80+L86</f>
        <v>0</v>
      </c>
      <c r="M92" s="31">
        <f>SUM(D92:L92)</f>
        <v>0</v>
      </c>
    </row>
    <row r="93" spans="1:13" ht="26.25" x14ac:dyDescent="0.25">
      <c r="A93" s="497"/>
      <c r="B93" s="21" t="s">
        <v>104</v>
      </c>
      <c r="C93" s="4"/>
      <c r="D93" s="122">
        <f t="shared" si="61"/>
        <v>0</v>
      </c>
      <c r="E93" s="122">
        <f t="shared" si="61"/>
        <v>0</v>
      </c>
      <c r="F93" s="122">
        <f t="shared" si="61"/>
        <v>0</v>
      </c>
      <c r="G93" s="122">
        <f t="shared" si="61"/>
        <v>0</v>
      </c>
      <c r="H93" s="122">
        <f t="shared" si="61"/>
        <v>0</v>
      </c>
      <c r="I93" s="122">
        <f t="shared" si="61"/>
        <v>0</v>
      </c>
      <c r="J93" s="122">
        <f t="shared" si="61"/>
        <v>0</v>
      </c>
      <c r="K93" s="122">
        <f t="shared" si="61"/>
        <v>0</v>
      </c>
      <c r="L93" s="122">
        <f t="shared" ref="L93" si="64">L69+L75+L81+L87</f>
        <v>9</v>
      </c>
      <c r="M93" s="31">
        <f>SUM(D93:L93)</f>
        <v>9</v>
      </c>
    </row>
    <row r="94" spans="1:13" ht="15.75" x14ac:dyDescent="0.25">
      <c r="A94" s="497"/>
      <c r="B94" s="21" t="s">
        <v>190</v>
      </c>
      <c r="C94" s="4" t="s">
        <v>3</v>
      </c>
      <c r="D94" s="123">
        <f>D93+D92</f>
        <v>0</v>
      </c>
      <c r="E94" s="123">
        <f t="shared" ref="E94:K94" si="65">E93+E92</f>
        <v>0</v>
      </c>
      <c r="F94" s="123">
        <f t="shared" si="65"/>
        <v>0</v>
      </c>
      <c r="G94" s="123">
        <f t="shared" si="65"/>
        <v>0</v>
      </c>
      <c r="H94" s="123">
        <f t="shared" si="65"/>
        <v>0</v>
      </c>
      <c r="I94" s="123">
        <f t="shared" si="65"/>
        <v>0</v>
      </c>
      <c r="J94" s="123">
        <f t="shared" si="65"/>
        <v>0</v>
      </c>
      <c r="K94" s="123">
        <f t="shared" si="65"/>
        <v>0</v>
      </c>
      <c r="L94" s="123">
        <f t="shared" ref="L94" si="66">L93+L92</f>
        <v>9</v>
      </c>
      <c r="M94" s="96">
        <f>M93+M92</f>
        <v>9</v>
      </c>
    </row>
    <row r="95" spans="1:13" ht="16.5" thickBot="1" x14ac:dyDescent="0.3">
      <c r="A95" s="498"/>
      <c r="B95" s="21" t="s">
        <v>81</v>
      </c>
      <c r="C95" s="4" t="s">
        <v>3</v>
      </c>
      <c r="D95" s="124">
        <f>D90+D91-D94</f>
        <v>20</v>
      </c>
      <c r="E95" s="124">
        <f t="shared" ref="E95:K95" si="67">E90+E91-E94</f>
        <v>43</v>
      </c>
      <c r="F95" s="124">
        <f t="shared" si="67"/>
        <v>16</v>
      </c>
      <c r="G95" s="124">
        <f t="shared" si="67"/>
        <v>65</v>
      </c>
      <c r="H95" s="124">
        <f t="shared" si="67"/>
        <v>3</v>
      </c>
      <c r="I95" s="124">
        <f t="shared" si="67"/>
        <v>40</v>
      </c>
      <c r="J95" s="124">
        <f t="shared" si="67"/>
        <v>0</v>
      </c>
      <c r="K95" s="124">
        <f t="shared" si="67"/>
        <v>0</v>
      </c>
      <c r="L95" s="124">
        <f t="shared" ref="L95" si="68">L90+L91-L94</f>
        <v>2</v>
      </c>
      <c r="M95" s="131">
        <f t="shared" ref="M95" si="69">M90+M91-M94</f>
        <v>189</v>
      </c>
    </row>
    <row r="96" spans="1:13" ht="16.149999999999999" customHeight="1" thickBot="1" x14ac:dyDescent="0.3">
      <c r="A96" s="499"/>
      <c r="B96" s="500"/>
      <c r="C96" s="500"/>
      <c r="D96" s="500"/>
      <c r="E96" s="500"/>
      <c r="F96" s="500"/>
      <c r="G96" s="500"/>
      <c r="H96" s="500"/>
      <c r="I96" s="500"/>
      <c r="J96" s="500"/>
      <c r="K96" s="500"/>
      <c r="L96" s="500"/>
      <c r="M96" s="501"/>
    </row>
    <row r="97" spans="1:13" ht="15.75" customHeight="1" thickBot="1" x14ac:dyDescent="0.3">
      <c r="A97" s="490" t="s">
        <v>191</v>
      </c>
      <c r="B97" s="491"/>
      <c r="C97" s="491"/>
      <c r="D97" s="491"/>
      <c r="E97" s="491"/>
      <c r="F97" s="491"/>
      <c r="G97" s="491"/>
      <c r="H97" s="491"/>
      <c r="I97" s="491"/>
      <c r="J97" s="491"/>
      <c r="K97" s="491"/>
      <c r="L97" s="491"/>
      <c r="M97" s="492"/>
    </row>
    <row r="98" spans="1:13" ht="15.75" x14ac:dyDescent="0.25">
      <c r="A98" s="73" t="s">
        <v>192</v>
      </c>
      <c r="B98" s="63"/>
      <c r="C98" s="4" t="s">
        <v>3</v>
      </c>
      <c r="D98" s="22">
        <f>Mulanje!M98+Mulanje!N98+Mulanje!O98</f>
        <v>0</v>
      </c>
      <c r="E98" s="22">
        <f>Luchenza!M98+Luchenza!N98+Luchenza!O98</f>
        <v>0</v>
      </c>
      <c r="F98" s="22">
        <f>Thyolo!M98+Thyolo!N98+Thyolo!O98</f>
        <v>0</v>
      </c>
      <c r="G98" s="22">
        <f>Muloza!M98+Muloza!N98+Muloza!O98</f>
        <v>0</v>
      </c>
      <c r="H98" s="22">
        <f>MUST!M98+MUST!N98+MUST!O98</f>
        <v>0</v>
      </c>
      <c r="I98" s="22">
        <f>Phalombe!M98+Phalombe!N98+Phalombe!O98</f>
        <v>0</v>
      </c>
      <c r="J98" s="22">
        <f>Mikolongwe!M98+Mikolongwe!N98+Mikolongwe!O98</f>
        <v>0</v>
      </c>
      <c r="K98" s="22">
        <f>Migowi!M98+Migowi!N98+Migowi!O98</f>
        <v>0</v>
      </c>
      <c r="L98" s="22">
        <f>Nkando!N98+Nkando!O98+Nkando!P98</f>
        <v>0</v>
      </c>
      <c r="M98" s="97">
        <f>SUM(D98:L98)</f>
        <v>0</v>
      </c>
    </row>
    <row r="99" spans="1:13" ht="15.75" x14ac:dyDescent="0.25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25">
      <c r="A100" s="482" t="s">
        <v>103</v>
      </c>
      <c r="B100" s="483"/>
      <c r="C100" s="483"/>
      <c r="D100" s="483"/>
      <c r="E100" s="483"/>
      <c r="F100" s="483"/>
      <c r="G100" s="483"/>
      <c r="H100" s="483"/>
      <c r="I100" s="483"/>
      <c r="J100" s="483"/>
      <c r="K100" s="483"/>
      <c r="L100" s="483"/>
      <c r="M100" s="484"/>
    </row>
    <row r="101" spans="1:13" ht="15.75" x14ac:dyDescent="0.25">
      <c r="A101" s="445" t="s">
        <v>102</v>
      </c>
      <c r="B101" s="446"/>
      <c r="C101" s="4" t="s">
        <v>3</v>
      </c>
      <c r="D101" s="22">
        <f>Mulanje!O101</f>
        <v>0</v>
      </c>
      <c r="E101" s="22">
        <f>Luchenza!O101</f>
        <v>0</v>
      </c>
      <c r="F101" s="22">
        <f>Thyolo!O101</f>
        <v>0</v>
      </c>
      <c r="G101" s="22">
        <f>Muloza!O101</f>
        <v>0</v>
      </c>
      <c r="H101" s="22">
        <f>MUST!O101</f>
        <v>0</v>
      </c>
      <c r="I101" s="22">
        <f>Phalombe!O101</f>
        <v>0</v>
      </c>
      <c r="J101" s="22">
        <f>Mikolongwe!O101</f>
        <v>0</v>
      </c>
      <c r="K101" s="22">
        <f>Migowi!O101</f>
        <v>0</v>
      </c>
      <c r="L101" s="22">
        <f>Nkando!P101</f>
        <v>0</v>
      </c>
      <c r="M101" s="28">
        <f>SUM(D101:L101)</f>
        <v>0</v>
      </c>
    </row>
    <row r="102" spans="1:13" ht="15.75" x14ac:dyDescent="0.25">
      <c r="A102" s="445" t="s">
        <v>101</v>
      </c>
      <c r="B102" s="446"/>
      <c r="C102" s="4" t="s">
        <v>3</v>
      </c>
      <c r="D102" s="22">
        <f>Mulanje!O102</f>
        <v>0</v>
      </c>
      <c r="E102" s="22">
        <f>Luchenza!O102</f>
        <v>0</v>
      </c>
      <c r="F102" s="22">
        <f>Thyolo!O102</f>
        <v>0</v>
      </c>
      <c r="G102" s="22">
        <f>Muloza!O102</f>
        <v>0</v>
      </c>
      <c r="H102" s="22">
        <f>MUST!O102</f>
        <v>0</v>
      </c>
      <c r="I102" s="22">
        <f>Phalombe!O102</f>
        <v>0</v>
      </c>
      <c r="J102" s="22">
        <f>Mikolongwe!O102</f>
        <v>0</v>
      </c>
      <c r="K102" s="22">
        <f>Migowi!O102</f>
        <v>0</v>
      </c>
      <c r="L102" s="22">
        <f>Nkando!P102</f>
        <v>0</v>
      </c>
      <c r="M102" s="28">
        <f>SUM(D102:L102)</f>
        <v>0</v>
      </c>
    </row>
    <row r="103" spans="1:13" ht="15.6" customHeight="1" x14ac:dyDescent="0.25">
      <c r="A103" s="460" t="s">
        <v>100</v>
      </c>
      <c r="B103" s="461"/>
      <c r="C103" s="4" t="s">
        <v>3</v>
      </c>
      <c r="D103" s="22">
        <f>Mulanje!O103</f>
        <v>0</v>
      </c>
      <c r="E103" s="22">
        <f>Luchenza!O103</f>
        <v>0</v>
      </c>
      <c r="F103" s="22">
        <f>Thyolo!O103</f>
        <v>0</v>
      </c>
      <c r="G103" s="22">
        <f>Muloza!O103</f>
        <v>0</v>
      </c>
      <c r="H103" s="22">
        <f>MUST!O103</f>
        <v>0</v>
      </c>
      <c r="I103" s="22">
        <f>Phalombe!O103</f>
        <v>0</v>
      </c>
      <c r="J103" s="22">
        <f>Mikolongwe!O103</f>
        <v>0</v>
      </c>
      <c r="K103" s="22">
        <f>Migowi!O103</f>
        <v>0</v>
      </c>
      <c r="L103" s="22">
        <f>Nkando!P103</f>
        <v>0</v>
      </c>
      <c r="M103" s="28">
        <f>SUM(D103:L103)</f>
        <v>0</v>
      </c>
    </row>
    <row r="104" spans="1:13" ht="15.75" x14ac:dyDescent="0.25">
      <c r="A104" s="460" t="s">
        <v>99</v>
      </c>
      <c r="B104" s="461"/>
      <c r="C104" s="4" t="s">
        <v>3</v>
      </c>
      <c r="D104" s="22">
        <f>Mulanje!O104</f>
        <v>0</v>
      </c>
      <c r="E104" s="22">
        <f>Luchenza!O104</f>
        <v>0</v>
      </c>
      <c r="F104" s="22">
        <f>Thyolo!O104</f>
        <v>0</v>
      </c>
      <c r="G104" s="22">
        <f>Muloza!O104</f>
        <v>0</v>
      </c>
      <c r="H104" s="22">
        <f>MUST!O104</f>
        <v>0</v>
      </c>
      <c r="I104" s="22">
        <f>Phalombe!O104</f>
        <v>0</v>
      </c>
      <c r="J104" s="22">
        <f>Mikolongwe!O104</f>
        <v>0</v>
      </c>
      <c r="K104" s="22">
        <f>Migowi!O104</f>
        <v>0</v>
      </c>
      <c r="L104" s="22">
        <f>Nkando!P104</f>
        <v>0</v>
      </c>
      <c r="M104" s="28">
        <f>SUM(D104:L104)</f>
        <v>0</v>
      </c>
    </row>
    <row r="105" spans="1:13" ht="15.75" x14ac:dyDescent="0.25">
      <c r="A105" s="485" t="s">
        <v>98</v>
      </c>
      <c r="B105" s="486"/>
      <c r="C105" s="4" t="s">
        <v>3</v>
      </c>
      <c r="D105" s="29">
        <f>SUM(D101:D104)</f>
        <v>0</v>
      </c>
      <c r="E105" s="29">
        <f t="shared" ref="E105:M105" si="70">SUM(E101:E104)</f>
        <v>0</v>
      </c>
      <c r="F105" s="29">
        <f t="shared" si="70"/>
        <v>0</v>
      </c>
      <c r="G105" s="29">
        <f t="shared" si="70"/>
        <v>0</v>
      </c>
      <c r="H105" s="29">
        <f t="shared" si="70"/>
        <v>0</v>
      </c>
      <c r="I105" s="29">
        <f t="shared" si="70"/>
        <v>0</v>
      </c>
      <c r="J105" s="29">
        <f t="shared" si="70"/>
        <v>0</v>
      </c>
      <c r="K105" s="29">
        <f t="shared" si="70"/>
        <v>0</v>
      </c>
      <c r="L105" s="29">
        <f t="shared" ref="L105" si="71">SUM(L101:L104)</f>
        <v>0</v>
      </c>
      <c r="M105" s="50">
        <f t="shared" si="70"/>
        <v>0</v>
      </c>
    </row>
    <row r="106" spans="1:13" ht="15.6" customHeight="1" x14ac:dyDescent="0.25">
      <c r="A106" s="487" t="s">
        <v>212</v>
      </c>
      <c r="B106" s="488"/>
      <c r="C106" s="488"/>
      <c r="D106" s="488"/>
      <c r="E106" s="488"/>
      <c r="F106" s="488"/>
      <c r="G106" s="488"/>
      <c r="H106" s="488"/>
      <c r="I106" s="488"/>
      <c r="J106" s="488"/>
      <c r="K106" s="488"/>
      <c r="L106" s="488"/>
      <c r="M106" s="489"/>
    </row>
    <row r="107" spans="1:13" ht="15.75" x14ac:dyDescent="0.25">
      <c r="A107" s="445" t="s">
        <v>195</v>
      </c>
      <c r="B107" s="446"/>
      <c r="C107" s="4" t="s">
        <v>3</v>
      </c>
      <c r="D107" s="22">
        <f>Mulanje!O107</f>
        <v>0</v>
      </c>
      <c r="E107" s="22">
        <f>Luchenza!O107</f>
        <v>0</v>
      </c>
      <c r="F107" s="22">
        <f>Thyolo!O107</f>
        <v>0</v>
      </c>
      <c r="G107" s="22">
        <f>Muloza!O107</f>
        <v>0</v>
      </c>
      <c r="H107" s="22">
        <f>MUST!O107</f>
        <v>0</v>
      </c>
      <c r="I107" s="22">
        <f>Phalombe!O107</f>
        <v>0</v>
      </c>
      <c r="J107" s="22">
        <f>Mikolongwe!O107</f>
        <v>0</v>
      </c>
      <c r="K107" s="22">
        <f>Migowi!O107</f>
        <v>0</v>
      </c>
      <c r="L107" s="22">
        <f>Nkando!P107</f>
        <v>0</v>
      </c>
      <c r="M107" s="28">
        <f>SUM(D107:L107)</f>
        <v>0</v>
      </c>
    </row>
    <row r="108" spans="1:13" ht="15.75" x14ac:dyDescent="0.25">
      <c r="A108" s="445" t="s">
        <v>196</v>
      </c>
      <c r="B108" s="446"/>
      <c r="C108" s="4" t="s">
        <v>3</v>
      </c>
      <c r="D108" s="22">
        <f>Mulanje!O108</f>
        <v>0</v>
      </c>
      <c r="E108" s="22">
        <f>Luchenza!O108</f>
        <v>0</v>
      </c>
      <c r="F108" s="22">
        <f>Thyolo!O108</f>
        <v>0</v>
      </c>
      <c r="G108" s="22">
        <f>Muloza!O108</f>
        <v>0</v>
      </c>
      <c r="H108" s="22">
        <f>MUST!O108</f>
        <v>0</v>
      </c>
      <c r="I108" s="22">
        <f>Phalombe!O108</f>
        <v>0</v>
      </c>
      <c r="J108" s="22">
        <f>Mikolongwe!O108</f>
        <v>0</v>
      </c>
      <c r="K108" s="22">
        <f>Migowi!O108</f>
        <v>0</v>
      </c>
      <c r="L108" s="22">
        <f>Nkando!P108</f>
        <v>0</v>
      </c>
      <c r="M108" s="28">
        <f>SUM(D108:L108)</f>
        <v>0</v>
      </c>
    </row>
    <row r="109" spans="1:13" ht="15.75" x14ac:dyDescent="0.25">
      <c r="A109" s="445" t="s">
        <v>197</v>
      </c>
      <c r="B109" s="446"/>
      <c r="C109" s="4" t="s">
        <v>3</v>
      </c>
      <c r="D109" s="22">
        <f>Mulanje!O109</f>
        <v>0</v>
      </c>
      <c r="E109" s="22">
        <f>Luchenza!O109</f>
        <v>0</v>
      </c>
      <c r="F109" s="22">
        <f>Thyolo!O109</f>
        <v>0</v>
      </c>
      <c r="G109" s="22">
        <f>Muloza!O109</f>
        <v>0</v>
      </c>
      <c r="H109" s="22">
        <f>MUST!O109</f>
        <v>0</v>
      </c>
      <c r="I109" s="22">
        <f>Phalombe!O109</f>
        <v>0</v>
      </c>
      <c r="J109" s="22">
        <f>Mikolongwe!O109</f>
        <v>0</v>
      </c>
      <c r="K109" s="22">
        <f>Migowi!O109</f>
        <v>0</v>
      </c>
      <c r="L109" s="22">
        <f>Nkando!P109</f>
        <v>0</v>
      </c>
      <c r="M109" s="28">
        <f>SUM(D109:L109)</f>
        <v>0</v>
      </c>
    </row>
    <row r="110" spans="1:13" ht="15.75" x14ac:dyDescent="0.25">
      <c r="A110" s="445" t="s">
        <v>198</v>
      </c>
      <c r="B110" s="446"/>
      <c r="C110" s="4" t="s">
        <v>3</v>
      </c>
      <c r="D110" s="22">
        <f>Mulanje!O110</f>
        <v>0</v>
      </c>
      <c r="E110" s="22">
        <f>Luchenza!O110</f>
        <v>0</v>
      </c>
      <c r="F110" s="22">
        <f>Thyolo!O110</f>
        <v>0</v>
      </c>
      <c r="G110" s="22">
        <f>Muloza!O110</f>
        <v>0</v>
      </c>
      <c r="H110" s="22">
        <f>MUST!O110</f>
        <v>0</v>
      </c>
      <c r="I110" s="22">
        <f>Phalombe!O110</f>
        <v>0</v>
      </c>
      <c r="J110" s="22">
        <f>Mikolongwe!O110</f>
        <v>0</v>
      </c>
      <c r="K110" s="22">
        <f>Migowi!O110</f>
        <v>0</v>
      </c>
      <c r="L110" s="22">
        <f>Nkando!P110</f>
        <v>0</v>
      </c>
      <c r="M110" s="28">
        <f>SUM(D110:L110)</f>
        <v>0</v>
      </c>
    </row>
    <row r="111" spans="1:13" ht="15.75" x14ac:dyDescent="0.25">
      <c r="A111" s="478" t="s">
        <v>97</v>
      </c>
      <c r="B111" s="479"/>
      <c r="C111" s="4" t="s">
        <v>3</v>
      </c>
      <c r="D111" s="29">
        <f>SUM(D107:D110)</f>
        <v>0</v>
      </c>
      <c r="E111" s="29">
        <f t="shared" ref="E111:M111" si="72">SUM(E107:E110)</f>
        <v>0</v>
      </c>
      <c r="F111" s="29">
        <f t="shared" si="72"/>
        <v>0</v>
      </c>
      <c r="G111" s="29">
        <f t="shared" si="72"/>
        <v>0</v>
      </c>
      <c r="H111" s="29">
        <f t="shared" si="72"/>
        <v>0</v>
      </c>
      <c r="I111" s="29">
        <f t="shared" si="72"/>
        <v>0</v>
      </c>
      <c r="J111" s="29">
        <f t="shared" si="72"/>
        <v>0</v>
      </c>
      <c r="K111" s="29">
        <f t="shared" si="72"/>
        <v>0</v>
      </c>
      <c r="L111" s="29">
        <f t="shared" ref="L111" si="73">SUM(L107:L110)</f>
        <v>0</v>
      </c>
      <c r="M111" s="50">
        <f t="shared" si="72"/>
        <v>0</v>
      </c>
    </row>
    <row r="112" spans="1:13" ht="15.6" customHeight="1" x14ac:dyDescent="0.25">
      <c r="A112" s="482" t="s">
        <v>212</v>
      </c>
      <c r="B112" s="483"/>
      <c r="C112" s="483"/>
      <c r="D112" s="483"/>
      <c r="E112" s="483"/>
      <c r="F112" s="483"/>
      <c r="G112" s="483"/>
      <c r="H112" s="483"/>
      <c r="I112" s="483"/>
      <c r="J112" s="483"/>
      <c r="K112" s="483"/>
      <c r="L112" s="483"/>
      <c r="M112" s="484"/>
    </row>
    <row r="113" spans="1:13" ht="15.75" x14ac:dyDescent="0.25">
      <c r="A113" s="445" t="s">
        <v>199</v>
      </c>
      <c r="B113" s="446"/>
      <c r="C113" s="4" t="s">
        <v>3</v>
      </c>
      <c r="D113" s="22">
        <f>Mulanje!O113</f>
        <v>0</v>
      </c>
      <c r="E113" s="22">
        <f>Luchenza!O113</f>
        <v>0</v>
      </c>
      <c r="F113" s="22">
        <f>Thyolo!O113</f>
        <v>0</v>
      </c>
      <c r="G113" s="22">
        <f>Muloza!O113</f>
        <v>0</v>
      </c>
      <c r="H113" s="22">
        <f>MUST!O113</f>
        <v>0</v>
      </c>
      <c r="I113" s="22">
        <f>Phalombe!O113</f>
        <v>0</v>
      </c>
      <c r="J113" s="22">
        <f>Mikolongwe!O113</f>
        <v>0</v>
      </c>
      <c r="K113" s="22">
        <f>Migowi!O113</f>
        <v>0</v>
      </c>
      <c r="L113" s="22">
        <f>Nkando!P113</f>
        <v>0</v>
      </c>
      <c r="M113" s="28">
        <f>SUM(D113:L113)</f>
        <v>0</v>
      </c>
    </row>
    <row r="114" spans="1:13" ht="15.75" x14ac:dyDescent="0.25">
      <c r="A114" s="445" t="s">
        <v>200</v>
      </c>
      <c r="B114" s="446"/>
      <c r="C114" s="4" t="s">
        <v>3</v>
      </c>
      <c r="D114" s="22">
        <f>Mulanje!O114</f>
        <v>0</v>
      </c>
      <c r="E114" s="22">
        <f>Luchenza!O114</f>
        <v>0</v>
      </c>
      <c r="F114" s="22">
        <f>Thyolo!O114</f>
        <v>0</v>
      </c>
      <c r="G114" s="22">
        <f>Muloza!O114</f>
        <v>0</v>
      </c>
      <c r="H114" s="22">
        <f>MUST!O114</f>
        <v>0</v>
      </c>
      <c r="I114" s="22">
        <f>Phalombe!O114</f>
        <v>0</v>
      </c>
      <c r="J114" s="22">
        <f>Mikolongwe!O114</f>
        <v>0</v>
      </c>
      <c r="K114" s="22">
        <f>Migowi!O114</f>
        <v>0</v>
      </c>
      <c r="L114" s="22">
        <f>Nkando!P114</f>
        <v>0</v>
      </c>
      <c r="M114" s="28">
        <f>SUM(D114:L114)</f>
        <v>0</v>
      </c>
    </row>
    <row r="115" spans="1:13" ht="15.75" x14ac:dyDescent="0.25">
      <c r="A115" s="445" t="s">
        <v>201</v>
      </c>
      <c r="B115" s="446"/>
      <c r="C115" s="4" t="s">
        <v>3</v>
      </c>
      <c r="D115" s="22">
        <f>Mulanje!O115</f>
        <v>0</v>
      </c>
      <c r="E115" s="22">
        <f>Luchenza!O115</f>
        <v>0</v>
      </c>
      <c r="F115" s="22">
        <f>Thyolo!O115</f>
        <v>0</v>
      </c>
      <c r="G115" s="22">
        <f>Muloza!O115</f>
        <v>0</v>
      </c>
      <c r="H115" s="22">
        <f>MUST!O115</f>
        <v>0</v>
      </c>
      <c r="I115" s="22">
        <f>Phalombe!O115</f>
        <v>0</v>
      </c>
      <c r="J115" s="22">
        <f>Mikolongwe!O115</f>
        <v>0</v>
      </c>
      <c r="K115" s="22">
        <f>Migowi!O115</f>
        <v>0</v>
      </c>
      <c r="L115" s="22">
        <f>Nkando!P115</f>
        <v>0</v>
      </c>
      <c r="M115" s="28">
        <f>SUM(D115:L115)</f>
        <v>0</v>
      </c>
    </row>
    <row r="116" spans="1:13" ht="15.75" x14ac:dyDescent="0.25">
      <c r="A116" s="445" t="s">
        <v>202</v>
      </c>
      <c r="B116" s="446"/>
      <c r="C116" s="4" t="s">
        <v>3</v>
      </c>
      <c r="D116" s="22">
        <f>Mulanje!O116</f>
        <v>0</v>
      </c>
      <c r="E116" s="22">
        <f>Luchenza!O116</f>
        <v>0</v>
      </c>
      <c r="F116" s="22">
        <f>Thyolo!O116</f>
        <v>0</v>
      </c>
      <c r="G116" s="22">
        <f>Muloza!O116</f>
        <v>0</v>
      </c>
      <c r="H116" s="22">
        <f>MUST!O116</f>
        <v>0</v>
      </c>
      <c r="I116" s="22">
        <f>Phalombe!O116</f>
        <v>0</v>
      </c>
      <c r="J116" s="22">
        <f>Mikolongwe!O116</f>
        <v>0</v>
      </c>
      <c r="K116" s="22">
        <f>Migowi!O116</f>
        <v>0</v>
      </c>
      <c r="L116" s="22">
        <f>Nkando!P116</f>
        <v>0</v>
      </c>
      <c r="M116" s="28">
        <f>SUM(D116:L116)</f>
        <v>0</v>
      </c>
    </row>
    <row r="117" spans="1:13" ht="15.75" x14ac:dyDescent="0.25">
      <c r="A117" s="478" t="s">
        <v>96</v>
      </c>
      <c r="B117" s="479"/>
      <c r="C117" s="4" t="s">
        <v>3</v>
      </c>
      <c r="D117" s="29">
        <f>SUM(D113:D116)</f>
        <v>0</v>
      </c>
      <c r="E117" s="29">
        <f t="shared" ref="E117:M117" si="74">SUM(E113:E116)</f>
        <v>0</v>
      </c>
      <c r="F117" s="29">
        <f t="shared" si="74"/>
        <v>0</v>
      </c>
      <c r="G117" s="29">
        <f t="shared" si="74"/>
        <v>0</v>
      </c>
      <c r="H117" s="29">
        <f t="shared" si="74"/>
        <v>0</v>
      </c>
      <c r="I117" s="29">
        <f t="shared" si="74"/>
        <v>0</v>
      </c>
      <c r="J117" s="29">
        <f t="shared" si="74"/>
        <v>0</v>
      </c>
      <c r="K117" s="29">
        <f t="shared" si="74"/>
        <v>0</v>
      </c>
      <c r="L117" s="29">
        <f t="shared" ref="L117" si="75">SUM(L113:L116)</f>
        <v>0</v>
      </c>
      <c r="M117" s="50">
        <f t="shared" si="74"/>
        <v>0</v>
      </c>
    </row>
    <row r="118" spans="1:13" ht="15.75" x14ac:dyDescent="0.25">
      <c r="A118" s="70" t="s">
        <v>193</v>
      </c>
      <c r="B118" s="71"/>
      <c r="C118" s="4" t="s">
        <v>3</v>
      </c>
      <c r="D118" s="29">
        <f>D117+D111</f>
        <v>0</v>
      </c>
      <c r="E118" s="29">
        <f t="shared" ref="E118:M118" si="76">E117+E111</f>
        <v>0</v>
      </c>
      <c r="F118" s="29">
        <f t="shared" si="76"/>
        <v>0</v>
      </c>
      <c r="G118" s="29">
        <f t="shared" si="76"/>
        <v>0</v>
      </c>
      <c r="H118" s="29">
        <f t="shared" si="76"/>
        <v>0</v>
      </c>
      <c r="I118" s="29">
        <f t="shared" si="76"/>
        <v>0</v>
      </c>
      <c r="J118" s="29">
        <f t="shared" si="76"/>
        <v>0</v>
      </c>
      <c r="K118" s="29">
        <f t="shared" si="76"/>
        <v>0</v>
      </c>
      <c r="L118" s="29">
        <f t="shared" ref="L118" si="77">L117+L111</f>
        <v>0</v>
      </c>
      <c r="M118" s="50">
        <f t="shared" si="76"/>
        <v>0</v>
      </c>
    </row>
    <row r="119" spans="1:13" ht="15.75" x14ac:dyDescent="0.25">
      <c r="A119" s="478" t="s">
        <v>194</v>
      </c>
      <c r="B119" s="479"/>
      <c r="C119" s="4" t="s">
        <v>3</v>
      </c>
      <c r="D119" s="29">
        <f>D118+D105</f>
        <v>0</v>
      </c>
      <c r="E119" s="29">
        <f t="shared" ref="E119:M119" si="78">E118+E105</f>
        <v>0</v>
      </c>
      <c r="F119" s="29">
        <f t="shared" si="78"/>
        <v>0</v>
      </c>
      <c r="G119" s="29">
        <f t="shared" si="78"/>
        <v>0</v>
      </c>
      <c r="H119" s="29">
        <f t="shared" si="78"/>
        <v>0</v>
      </c>
      <c r="I119" s="29">
        <f t="shared" si="78"/>
        <v>0</v>
      </c>
      <c r="J119" s="29">
        <f t="shared" si="78"/>
        <v>0</v>
      </c>
      <c r="K119" s="29">
        <f t="shared" si="78"/>
        <v>0</v>
      </c>
      <c r="L119" s="29">
        <f t="shared" ref="L119" si="79">L118+L105</f>
        <v>0</v>
      </c>
      <c r="M119" s="50">
        <f t="shared" si="78"/>
        <v>0</v>
      </c>
    </row>
    <row r="120" spans="1:13" x14ac:dyDescent="0.25">
      <c r="A120" s="442" t="s">
        <v>203</v>
      </c>
      <c r="B120" s="443"/>
      <c r="C120" s="443"/>
      <c r="D120" s="443"/>
      <c r="E120" s="443"/>
      <c r="F120" s="443"/>
      <c r="G120" s="443"/>
      <c r="H120" s="443"/>
      <c r="I120" s="443"/>
      <c r="J120" s="443"/>
      <c r="K120" s="443"/>
      <c r="L120" s="443"/>
      <c r="M120" s="444"/>
    </row>
    <row r="121" spans="1:13" ht="15.75" x14ac:dyDescent="0.25">
      <c r="A121" s="445" t="s">
        <v>95</v>
      </c>
      <c r="B121" s="446"/>
      <c r="C121" s="4" t="s">
        <v>3</v>
      </c>
      <c r="D121" s="22">
        <f>Mulanje!O121</f>
        <v>0</v>
      </c>
      <c r="E121" s="22">
        <f>Luchenza!O121</f>
        <v>0</v>
      </c>
      <c r="F121" s="22">
        <f>Thyolo!O121</f>
        <v>0</v>
      </c>
      <c r="G121" s="22">
        <f>Muloza!O121</f>
        <v>0</v>
      </c>
      <c r="H121" s="22">
        <f>MUST!O121</f>
        <v>0</v>
      </c>
      <c r="I121" s="22">
        <f>Phalombe!O121</f>
        <v>0</v>
      </c>
      <c r="J121" s="22">
        <f>Mikolongwe!O121</f>
        <v>0</v>
      </c>
      <c r="K121" s="22">
        <f>Migowi!O121</f>
        <v>0</v>
      </c>
      <c r="L121" s="22">
        <f>Nkando!P121</f>
        <v>0</v>
      </c>
      <c r="M121" s="22">
        <f>Migowi!P121</f>
        <v>0</v>
      </c>
    </row>
    <row r="122" spans="1:13" ht="15.75" x14ac:dyDescent="0.25">
      <c r="A122" s="445" t="s">
        <v>94</v>
      </c>
      <c r="B122" s="446"/>
      <c r="C122" s="4" t="s">
        <v>3</v>
      </c>
      <c r="D122" s="22">
        <f>Mulanje!O122</f>
        <v>0</v>
      </c>
      <c r="E122" s="22">
        <f>Luchenza!O122</f>
        <v>0</v>
      </c>
      <c r="F122" s="22">
        <f>Thyolo!O122</f>
        <v>0</v>
      </c>
      <c r="G122" s="22">
        <f>Muloza!O122</f>
        <v>0</v>
      </c>
      <c r="H122" s="22">
        <f>MUST!O122</f>
        <v>0</v>
      </c>
      <c r="I122" s="22">
        <f>Phalombe!O122</f>
        <v>0</v>
      </c>
      <c r="J122" s="22">
        <f>Mikolongwe!O122</f>
        <v>0</v>
      </c>
      <c r="K122" s="22">
        <f>Migowi!O122</f>
        <v>0</v>
      </c>
      <c r="L122" s="22">
        <f>Nkando!P122</f>
        <v>0</v>
      </c>
      <c r="M122" s="22">
        <f>Migowi!P122</f>
        <v>0</v>
      </c>
    </row>
    <row r="123" spans="1:13" ht="15.75" x14ac:dyDescent="0.25">
      <c r="A123" s="480" t="s">
        <v>93</v>
      </c>
      <c r="B123" s="481"/>
      <c r="C123" s="26" t="s">
        <v>6</v>
      </c>
      <c r="D123" s="25" t="e">
        <f t="shared" ref="D123:M123" si="80">D122/D121</f>
        <v>#DIV/0!</v>
      </c>
      <c r="E123" s="25" t="e">
        <f t="shared" si="80"/>
        <v>#DIV/0!</v>
      </c>
      <c r="F123" s="25" t="e">
        <f t="shared" si="80"/>
        <v>#DIV/0!</v>
      </c>
      <c r="G123" s="25" t="e">
        <f t="shared" si="80"/>
        <v>#DIV/0!</v>
      </c>
      <c r="H123" s="25" t="e">
        <f t="shared" si="80"/>
        <v>#DIV/0!</v>
      </c>
      <c r="I123" s="25" t="e">
        <f t="shared" si="80"/>
        <v>#DIV/0!</v>
      </c>
      <c r="J123" s="25" t="e">
        <f t="shared" si="80"/>
        <v>#DIV/0!</v>
      </c>
      <c r="K123" s="25" t="e">
        <f t="shared" si="80"/>
        <v>#DIV/0!</v>
      </c>
      <c r="L123" s="25" t="e">
        <f t="shared" ref="L123" si="81">L122/L121</f>
        <v>#DIV/0!</v>
      </c>
      <c r="M123" s="98" t="e">
        <f t="shared" si="80"/>
        <v>#DIV/0!</v>
      </c>
    </row>
    <row r="124" spans="1:13" x14ac:dyDescent="0.25">
      <c r="A124" s="453" t="s">
        <v>92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5"/>
    </row>
    <row r="125" spans="1:13" ht="15.75" x14ac:dyDescent="0.25">
      <c r="A125" s="475" t="s">
        <v>91</v>
      </c>
      <c r="B125" s="21" t="s">
        <v>85</v>
      </c>
      <c r="C125" s="4" t="s">
        <v>3</v>
      </c>
      <c r="D125" s="30">
        <f>Mulanje!M125</f>
        <v>0</v>
      </c>
      <c r="E125" s="30">
        <f>Luchenza!M125</f>
        <v>0</v>
      </c>
      <c r="F125" s="30">
        <f>Thyolo!M125</f>
        <v>0</v>
      </c>
      <c r="G125" s="30">
        <f>Muloza!M125</f>
        <v>0</v>
      </c>
      <c r="H125" s="30">
        <f>MUST!M125</f>
        <v>0</v>
      </c>
      <c r="I125" s="30">
        <f>Phalombe!M125</f>
        <v>0</v>
      </c>
      <c r="J125" s="30">
        <f>Mikolongwe!M125</f>
        <v>0</v>
      </c>
      <c r="K125" s="30">
        <f>Migowi!M125</f>
        <v>0</v>
      </c>
      <c r="L125" s="30">
        <f>Nkando!N125</f>
        <v>0</v>
      </c>
      <c r="M125" s="31">
        <f>SUM(D125:L125)</f>
        <v>0</v>
      </c>
    </row>
    <row r="126" spans="1:13" ht="15.75" x14ac:dyDescent="0.25">
      <c r="A126" s="476"/>
      <c r="B126" s="21" t="s">
        <v>84</v>
      </c>
      <c r="C126" s="4" t="s">
        <v>3</v>
      </c>
      <c r="D126" s="22">
        <f>Mulanje!M126+Mulanje!N126+Mulanje!O126</f>
        <v>0</v>
      </c>
      <c r="E126" s="22">
        <f>Luchenza!M126+Luchenza!N126+Luchenza!O126</f>
        <v>0</v>
      </c>
      <c r="F126" s="22">
        <f>Thyolo!M126+Thyolo!N126+Thyolo!O126</f>
        <v>0</v>
      </c>
      <c r="G126" s="22">
        <f>Muloza!M126+Muloza!N126+Muloza!O126</f>
        <v>0</v>
      </c>
      <c r="H126" s="22">
        <f>MUST!M126+MUST!N126+MUST!O126</f>
        <v>0</v>
      </c>
      <c r="I126" s="22">
        <f>Phalombe!M126+Phalombe!N126+Phalombe!O126</f>
        <v>0</v>
      </c>
      <c r="J126" s="22">
        <f>Mikolongwe!M126+Mikolongwe!N126+Mikolongwe!O126</f>
        <v>0</v>
      </c>
      <c r="K126" s="22">
        <f>Migowi!M126+Migowi!N126+Migowi!O126</f>
        <v>0</v>
      </c>
      <c r="L126" s="22">
        <f>Nkando!N126+Nkando!O126+Nkando!P126</f>
        <v>0</v>
      </c>
      <c r="M126" s="31">
        <f>SUM(D126:L126)</f>
        <v>0</v>
      </c>
    </row>
    <row r="127" spans="1:13" ht="15.75" x14ac:dyDescent="0.25">
      <c r="A127" s="476"/>
      <c r="B127" s="72" t="s">
        <v>88</v>
      </c>
      <c r="C127" s="4" t="s">
        <v>3</v>
      </c>
      <c r="D127" s="22">
        <f>Mulanje!M127+Mulanje!N127+Mulanje!O127</f>
        <v>0</v>
      </c>
      <c r="E127" s="22">
        <f>Luchenza!M127+Luchenza!N127+Luchenza!O127</f>
        <v>0</v>
      </c>
      <c r="F127" s="22">
        <f>Thyolo!M127+Thyolo!N127+Thyolo!O127</f>
        <v>0</v>
      </c>
      <c r="G127" s="22">
        <f>Muloza!M127+Muloza!N127+Muloza!O127</f>
        <v>0</v>
      </c>
      <c r="H127" s="22">
        <f>MUST!M127+MUST!N127+MUST!O127</f>
        <v>0</v>
      </c>
      <c r="I127" s="22">
        <f>Phalombe!M127+Phalombe!N127+Phalombe!O127</f>
        <v>0</v>
      </c>
      <c r="J127" s="22">
        <f>Mikolongwe!M127+Mikolongwe!N127+Mikolongwe!O127</f>
        <v>0</v>
      </c>
      <c r="K127" s="22">
        <f>Migowi!M127+Migowi!N127+Migowi!O127</f>
        <v>0</v>
      </c>
      <c r="L127" s="22">
        <f>Nkando!N127+Nkando!O127+Nkando!P127</f>
        <v>0</v>
      </c>
      <c r="M127" s="31">
        <f>SUM(D127:L127)</f>
        <v>0</v>
      </c>
    </row>
    <row r="128" spans="1:13" ht="15.75" x14ac:dyDescent="0.25">
      <c r="A128" s="476"/>
      <c r="B128" s="21" t="s">
        <v>82</v>
      </c>
      <c r="C128" s="4" t="s">
        <v>3</v>
      </c>
      <c r="D128" s="22">
        <f>Mulanje!M128+Mulanje!N128+Mulanje!O128</f>
        <v>0</v>
      </c>
      <c r="E128" s="22">
        <f>Luchenza!M128+Luchenza!N128+Luchenza!O128</f>
        <v>0</v>
      </c>
      <c r="F128" s="22">
        <f>Thyolo!M128+Thyolo!N128+Thyolo!O128</f>
        <v>0</v>
      </c>
      <c r="G128" s="22">
        <f>Muloza!M128+Muloza!N128+Muloza!O128</f>
        <v>0</v>
      </c>
      <c r="H128" s="22">
        <f>MUST!M128+MUST!N128+MUST!O128</f>
        <v>0</v>
      </c>
      <c r="I128" s="22">
        <f>Phalombe!M128+Phalombe!N128+Phalombe!O128</f>
        <v>0</v>
      </c>
      <c r="J128" s="22">
        <f>Mikolongwe!M128+Mikolongwe!N128+Mikolongwe!O128</f>
        <v>0</v>
      </c>
      <c r="K128" s="22">
        <f>Migowi!M128+Migowi!N128+Migowi!O128</f>
        <v>0</v>
      </c>
      <c r="L128" s="22">
        <f>Nkando!N128+Nkando!O128+Nkando!P128</f>
        <v>0</v>
      </c>
      <c r="M128" s="31">
        <f>SUM(D128:L128)</f>
        <v>0</v>
      </c>
    </row>
    <row r="129" spans="1:13" ht="15.75" x14ac:dyDescent="0.25">
      <c r="A129" s="477"/>
      <c r="B129" s="21" t="s">
        <v>81</v>
      </c>
      <c r="C129" s="4" t="s">
        <v>3</v>
      </c>
      <c r="D129" s="126">
        <f t="shared" ref="D129:M129" si="82">D125+D126-D127-D128</f>
        <v>0</v>
      </c>
      <c r="E129" s="127">
        <f t="shared" si="82"/>
        <v>0</v>
      </c>
      <c r="F129" s="127">
        <f t="shared" si="82"/>
        <v>0</v>
      </c>
      <c r="G129" s="126">
        <f t="shared" si="82"/>
        <v>0</v>
      </c>
      <c r="H129" s="126">
        <f t="shared" si="82"/>
        <v>0</v>
      </c>
      <c r="I129" s="126">
        <f t="shared" si="82"/>
        <v>0</v>
      </c>
      <c r="J129" s="126">
        <f t="shared" si="82"/>
        <v>0</v>
      </c>
      <c r="K129" s="126">
        <f t="shared" si="82"/>
        <v>0</v>
      </c>
      <c r="L129" s="126">
        <f t="shared" ref="L129" si="83">L125+L126-L127-L128</f>
        <v>0</v>
      </c>
      <c r="M129" s="31">
        <f t="shared" si="82"/>
        <v>0</v>
      </c>
    </row>
    <row r="130" spans="1:13" ht="15.75" x14ac:dyDescent="0.25">
      <c r="A130" s="475" t="s">
        <v>90</v>
      </c>
      <c r="B130" s="24" t="s">
        <v>85</v>
      </c>
      <c r="C130" s="23" t="s">
        <v>3</v>
      </c>
      <c r="D130" s="30">
        <f>Mulanje!M130</f>
        <v>0</v>
      </c>
      <c r="E130" s="30">
        <f>Luchenza!M130</f>
        <v>0</v>
      </c>
      <c r="F130" s="30">
        <f>Thyolo!M130</f>
        <v>0</v>
      </c>
      <c r="G130" s="30">
        <f>Muloza!M130</f>
        <v>0</v>
      </c>
      <c r="H130" s="30">
        <f>MUST!M130</f>
        <v>0</v>
      </c>
      <c r="I130" s="30">
        <f>Phalombe!M130</f>
        <v>0</v>
      </c>
      <c r="J130" s="30">
        <f>Mikolongwe!M130</f>
        <v>0</v>
      </c>
      <c r="K130" s="30">
        <f>Migowi!M130</f>
        <v>0</v>
      </c>
      <c r="L130" s="30">
        <f>Nkando!N130</f>
        <v>0</v>
      </c>
      <c r="M130" s="31">
        <f>SUM(D130:L130)</f>
        <v>0</v>
      </c>
    </row>
    <row r="131" spans="1:13" ht="15.75" x14ac:dyDescent="0.25">
      <c r="A131" s="476"/>
      <c r="B131" s="21" t="s">
        <v>84</v>
      </c>
      <c r="C131" s="4" t="s">
        <v>3</v>
      </c>
      <c r="D131" s="22">
        <f>Mulanje!M131+Mulanje!N131+Mulanje!O131</f>
        <v>0</v>
      </c>
      <c r="E131" s="22">
        <f>Luchenza!M131+Luchenza!N131+Luchenza!O131</f>
        <v>0</v>
      </c>
      <c r="F131" s="22">
        <f>Thyolo!M131+Thyolo!N131+Thyolo!O131</f>
        <v>0</v>
      </c>
      <c r="G131" s="22">
        <f>Muloza!M131+Muloza!N131+Muloza!O131</f>
        <v>0</v>
      </c>
      <c r="H131" s="22">
        <f>MUST!M131+MUST!N131+MUST!O131</f>
        <v>0</v>
      </c>
      <c r="I131" s="22">
        <f>Phalombe!M131+Phalombe!N131+Phalombe!O131</f>
        <v>0</v>
      </c>
      <c r="J131" s="22">
        <f>Mikolongwe!M131+Mikolongwe!N131+Mikolongwe!O131</f>
        <v>0</v>
      </c>
      <c r="K131" s="22">
        <f>Migowi!M131+Migowi!N131+Migowi!O131</f>
        <v>0</v>
      </c>
      <c r="L131" s="22">
        <f>Nkando!N131+Nkando!O131+Nkando!P131</f>
        <v>0</v>
      </c>
      <c r="M131" s="31">
        <f>SUM(D131:L131)</f>
        <v>0</v>
      </c>
    </row>
    <row r="132" spans="1:13" ht="15.75" x14ac:dyDescent="0.25">
      <c r="A132" s="476"/>
      <c r="B132" s="72" t="s">
        <v>88</v>
      </c>
      <c r="C132" s="4" t="s">
        <v>3</v>
      </c>
      <c r="D132" s="22">
        <f>Mulanje!M132+Mulanje!N132+Mulanje!O132</f>
        <v>0</v>
      </c>
      <c r="E132" s="22">
        <f>Luchenza!M132+Luchenza!N132+Luchenza!O132</f>
        <v>0</v>
      </c>
      <c r="F132" s="22">
        <f>Thyolo!M132+Thyolo!N132+Thyolo!O132</f>
        <v>0</v>
      </c>
      <c r="G132" s="22">
        <f>Muloza!M132+Muloza!N132+Muloza!O132</f>
        <v>0</v>
      </c>
      <c r="H132" s="22">
        <f>MUST!M132+MUST!N132+MUST!O132</f>
        <v>0</v>
      </c>
      <c r="I132" s="22">
        <f>Phalombe!M132+Phalombe!N132+Phalombe!O132</f>
        <v>0</v>
      </c>
      <c r="J132" s="22">
        <f>Mikolongwe!M132+Mikolongwe!N132+Mikolongwe!O132</f>
        <v>0</v>
      </c>
      <c r="K132" s="22">
        <f>Migowi!M132+Migowi!N132+Migowi!O132</f>
        <v>0</v>
      </c>
      <c r="L132" s="22">
        <f>Nkando!N132+Nkando!O132+Nkando!P132</f>
        <v>0</v>
      </c>
      <c r="M132" s="31">
        <f>SUM(D132:L132)</f>
        <v>0</v>
      </c>
    </row>
    <row r="133" spans="1:13" ht="15.75" x14ac:dyDescent="0.25">
      <c r="A133" s="476"/>
      <c r="B133" s="21" t="s">
        <v>82</v>
      </c>
      <c r="C133" s="4" t="s">
        <v>3</v>
      </c>
      <c r="D133" s="22">
        <f>Mulanje!M133+Mulanje!N133+Mulanje!O133</f>
        <v>0</v>
      </c>
      <c r="E133" s="22">
        <f>Luchenza!M133+Luchenza!N133+Luchenza!O133</f>
        <v>0</v>
      </c>
      <c r="F133" s="22">
        <f>Thyolo!M133+Thyolo!N133+Thyolo!O133</f>
        <v>0</v>
      </c>
      <c r="G133" s="22">
        <f>Muloza!M133+Muloza!N133+Muloza!O133</f>
        <v>0</v>
      </c>
      <c r="H133" s="22">
        <f>MUST!M133+MUST!N133+MUST!O133</f>
        <v>0</v>
      </c>
      <c r="I133" s="22">
        <f>Phalombe!M133+Phalombe!N133+Phalombe!O133</f>
        <v>0</v>
      </c>
      <c r="J133" s="22">
        <f>Mikolongwe!M133+Mikolongwe!N133+Mikolongwe!O133</f>
        <v>0</v>
      </c>
      <c r="K133" s="22">
        <f>Migowi!M133+Migowi!N133+Migowi!O133</f>
        <v>0</v>
      </c>
      <c r="L133" s="22">
        <f>Nkando!N133+Nkando!O133+Nkando!P133</f>
        <v>0</v>
      </c>
      <c r="M133" s="31">
        <f>SUM(D133:L133)</f>
        <v>0</v>
      </c>
    </row>
    <row r="134" spans="1:13" ht="15.75" x14ac:dyDescent="0.25">
      <c r="A134" s="477"/>
      <c r="B134" s="21" t="s">
        <v>81</v>
      </c>
      <c r="C134" s="4" t="s">
        <v>3</v>
      </c>
      <c r="D134" s="126">
        <f t="shared" ref="D134:M134" si="84">D130+D131-D132-D133</f>
        <v>0</v>
      </c>
      <c r="E134" s="127">
        <f t="shared" si="84"/>
        <v>0</v>
      </c>
      <c r="F134" s="127">
        <f t="shared" si="84"/>
        <v>0</v>
      </c>
      <c r="G134" s="126">
        <f t="shared" si="84"/>
        <v>0</v>
      </c>
      <c r="H134" s="126">
        <f t="shared" si="84"/>
        <v>0</v>
      </c>
      <c r="I134" s="126">
        <f t="shared" si="84"/>
        <v>0</v>
      </c>
      <c r="J134" s="126">
        <f t="shared" si="84"/>
        <v>0</v>
      </c>
      <c r="K134" s="126">
        <f t="shared" si="84"/>
        <v>0</v>
      </c>
      <c r="L134" s="126">
        <f t="shared" ref="L134" si="85">L130+L131-L132-L133</f>
        <v>0</v>
      </c>
      <c r="M134" s="31">
        <f t="shared" si="84"/>
        <v>0</v>
      </c>
    </row>
    <row r="135" spans="1:13" ht="15.75" x14ac:dyDescent="0.25">
      <c r="A135" s="475" t="s">
        <v>89</v>
      </c>
      <c r="B135" s="21" t="s">
        <v>85</v>
      </c>
      <c r="C135" s="4" t="s">
        <v>3</v>
      </c>
      <c r="D135" s="30">
        <f>Mulanje!M135</f>
        <v>0</v>
      </c>
      <c r="E135" s="30">
        <f>Luchenza!M135</f>
        <v>0</v>
      </c>
      <c r="F135" s="30">
        <f>Thyolo!M135</f>
        <v>0</v>
      </c>
      <c r="G135" s="30">
        <f>Muloza!M135</f>
        <v>0</v>
      </c>
      <c r="H135" s="30">
        <f>MUST!M135</f>
        <v>0</v>
      </c>
      <c r="I135" s="30">
        <f>Phalombe!M135</f>
        <v>0</v>
      </c>
      <c r="J135" s="30">
        <f>Mikolongwe!M135</f>
        <v>0</v>
      </c>
      <c r="K135" s="30">
        <f>Migowi!M135</f>
        <v>0</v>
      </c>
      <c r="L135" s="30">
        <f>Nkando!N135</f>
        <v>0</v>
      </c>
      <c r="M135" s="31">
        <f>SUM(D135:L135)</f>
        <v>0</v>
      </c>
    </row>
    <row r="136" spans="1:13" ht="15.75" x14ac:dyDescent="0.25">
      <c r="A136" s="476"/>
      <c r="B136" s="21" t="s">
        <v>84</v>
      </c>
      <c r="C136" s="4" t="s">
        <v>3</v>
      </c>
      <c r="D136" s="22">
        <f>Mulanje!M136+Mulanje!N136+Mulanje!O136</f>
        <v>0</v>
      </c>
      <c r="E136" s="22">
        <f>Luchenza!M136+Luchenza!N136+Luchenza!O136</f>
        <v>0</v>
      </c>
      <c r="F136" s="22">
        <f>Thyolo!M136+Thyolo!N136+Thyolo!O136</f>
        <v>0</v>
      </c>
      <c r="G136" s="22">
        <f>Muloza!M136+Muloza!N136+Muloza!O136</f>
        <v>0</v>
      </c>
      <c r="H136" s="22">
        <f>MUST!M136+MUST!N136+MUST!O136</f>
        <v>0</v>
      </c>
      <c r="I136" s="22">
        <f>Phalombe!M136+Phalombe!N136+Phalombe!O136</f>
        <v>0</v>
      </c>
      <c r="J136" s="22">
        <f>Mikolongwe!M136+Mikolongwe!N136+Mikolongwe!O136</f>
        <v>0</v>
      </c>
      <c r="K136" s="22">
        <f>Migowi!M136+Migowi!N136+Migowi!O136</f>
        <v>0</v>
      </c>
      <c r="L136" s="22">
        <f>Nkando!N136+Nkando!O136+Nkando!P136</f>
        <v>0</v>
      </c>
      <c r="M136" s="31">
        <f>SUM(D136:L136)</f>
        <v>0</v>
      </c>
    </row>
    <row r="137" spans="1:13" ht="15.75" x14ac:dyDescent="0.25">
      <c r="A137" s="476"/>
      <c r="B137" s="72" t="s">
        <v>88</v>
      </c>
      <c r="C137" s="4" t="s">
        <v>3</v>
      </c>
      <c r="D137" s="22">
        <f>Mulanje!M137+Mulanje!N137+Mulanje!O137</f>
        <v>0</v>
      </c>
      <c r="E137" s="22">
        <f>Luchenza!M137+Luchenza!N137+Luchenza!O137</f>
        <v>0</v>
      </c>
      <c r="F137" s="22">
        <f>Thyolo!M137+Thyolo!N137+Thyolo!O137</f>
        <v>0</v>
      </c>
      <c r="G137" s="22">
        <f>Muloza!M137+Muloza!N137+Muloza!O137</f>
        <v>0</v>
      </c>
      <c r="H137" s="22">
        <f>MUST!M137+MUST!N137+MUST!O137</f>
        <v>0</v>
      </c>
      <c r="I137" s="22">
        <f>Phalombe!M137+Phalombe!N137+Phalombe!O137</f>
        <v>0</v>
      </c>
      <c r="J137" s="22">
        <f>Mikolongwe!M137+Mikolongwe!N137+Mikolongwe!O137</f>
        <v>0</v>
      </c>
      <c r="K137" s="22">
        <f>Migowi!M137+Migowi!N137+Migowi!O137</f>
        <v>0</v>
      </c>
      <c r="L137" s="22">
        <f>Nkando!N137+Nkando!O137+Nkando!P137</f>
        <v>0</v>
      </c>
      <c r="M137" s="31">
        <f>SUM(D137:L137)</f>
        <v>0</v>
      </c>
    </row>
    <row r="138" spans="1:13" ht="15.75" x14ac:dyDescent="0.25">
      <c r="A138" s="476"/>
      <c r="B138" s="21" t="s">
        <v>82</v>
      </c>
      <c r="C138" s="4" t="s">
        <v>3</v>
      </c>
      <c r="D138" s="22">
        <f>Mulanje!M138+Mulanje!N138+Mulanje!O138</f>
        <v>0</v>
      </c>
      <c r="E138" s="22">
        <f>Luchenza!M138+Luchenza!N138+Luchenza!O138</f>
        <v>0</v>
      </c>
      <c r="F138" s="22">
        <f>Thyolo!M138+Thyolo!N138+Thyolo!O138</f>
        <v>0</v>
      </c>
      <c r="G138" s="22">
        <f>Muloza!M138+Muloza!N138+Muloza!O138</f>
        <v>0</v>
      </c>
      <c r="H138" s="22">
        <f>MUST!M138+MUST!N138+MUST!O138</f>
        <v>0</v>
      </c>
      <c r="I138" s="22">
        <f>Phalombe!M138+Phalombe!N138+Phalombe!O138</f>
        <v>0</v>
      </c>
      <c r="J138" s="22">
        <f>Mikolongwe!M138+Mikolongwe!N138+Mikolongwe!O138</f>
        <v>0</v>
      </c>
      <c r="K138" s="22">
        <f>Migowi!M138+Migowi!N138+Migowi!O138</f>
        <v>0</v>
      </c>
      <c r="L138" s="22">
        <f>Nkando!N138+Nkando!O138+Nkando!P138</f>
        <v>0</v>
      </c>
      <c r="M138" s="31">
        <f>SUM(D138:L138)</f>
        <v>0</v>
      </c>
    </row>
    <row r="139" spans="1:13" ht="15.75" x14ac:dyDescent="0.25">
      <c r="A139" s="477"/>
      <c r="B139" s="21" t="s">
        <v>81</v>
      </c>
      <c r="C139" s="4" t="s">
        <v>3</v>
      </c>
      <c r="D139" s="126">
        <f t="shared" ref="D139:M139" si="86">D135+D136-D137-D138</f>
        <v>0</v>
      </c>
      <c r="E139" s="127">
        <f t="shared" si="86"/>
        <v>0</v>
      </c>
      <c r="F139" s="127">
        <f t="shared" si="86"/>
        <v>0</v>
      </c>
      <c r="G139" s="126">
        <f t="shared" si="86"/>
        <v>0</v>
      </c>
      <c r="H139" s="126">
        <f t="shared" si="86"/>
        <v>0</v>
      </c>
      <c r="I139" s="126">
        <f t="shared" si="86"/>
        <v>0</v>
      </c>
      <c r="J139" s="126">
        <f t="shared" si="86"/>
        <v>0</v>
      </c>
      <c r="K139" s="126">
        <f t="shared" si="86"/>
        <v>0</v>
      </c>
      <c r="L139" s="126">
        <f t="shared" ref="L139" si="87">L135+L136-L137-L138</f>
        <v>0</v>
      </c>
      <c r="M139" s="31">
        <f t="shared" si="86"/>
        <v>0</v>
      </c>
    </row>
    <row r="140" spans="1:13" ht="15.75" x14ac:dyDescent="0.25">
      <c r="A140" s="475" t="s">
        <v>87</v>
      </c>
      <c r="B140" s="21" t="s">
        <v>85</v>
      </c>
      <c r="C140" s="4" t="s">
        <v>3</v>
      </c>
      <c r="D140" s="30">
        <f>Mulanje!M140</f>
        <v>0</v>
      </c>
      <c r="E140" s="30">
        <f>Luchenza!M140</f>
        <v>0</v>
      </c>
      <c r="F140" s="30">
        <f>Thyolo!M140</f>
        <v>0</v>
      </c>
      <c r="G140" s="30">
        <f>Muloza!M140</f>
        <v>0</v>
      </c>
      <c r="H140" s="30">
        <f>MUST!M140</f>
        <v>0</v>
      </c>
      <c r="I140" s="30">
        <f>Phalombe!M140</f>
        <v>26</v>
      </c>
      <c r="J140" s="30">
        <f>Mikolongwe!M140</f>
        <v>0</v>
      </c>
      <c r="K140" s="30">
        <f>Migowi!M140</f>
        <v>0</v>
      </c>
      <c r="L140" s="30">
        <f>Nkando!N140</f>
        <v>0</v>
      </c>
      <c r="M140" s="31">
        <f>SUM(D140:L140)</f>
        <v>26</v>
      </c>
    </row>
    <row r="141" spans="1:13" ht="15.75" x14ac:dyDescent="0.25">
      <c r="A141" s="476"/>
      <c r="B141" s="21" t="s">
        <v>84</v>
      </c>
      <c r="C141" s="4" t="s">
        <v>3</v>
      </c>
      <c r="D141" s="22">
        <f>Mulanje!M141+Mulanje!N141+Mulanje!O141</f>
        <v>0</v>
      </c>
      <c r="E141" s="22">
        <f>Luchenza!M141+Luchenza!N141+Luchenza!O141</f>
        <v>0</v>
      </c>
      <c r="F141" s="22">
        <f>Thyolo!M141+Thyolo!N141+Thyolo!O141</f>
        <v>0</v>
      </c>
      <c r="G141" s="22">
        <f>Muloza!M141+Muloza!N141+Muloza!O141</f>
        <v>0</v>
      </c>
      <c r="H141" s="22">
        <f>MUST!M141+MUST!N141+MUST!O141</f>
        <v>0</v>
      </c>
      <c r="I141" s="22">
        <f>Phalombe!M141+Phalombe!N141+Phalombe!O141</f>
        <v>0</v>
      </c>
      <c r="J141" s="22">
        <f>Mikolongwe!M141+Mikolongwe!N141+Mikolongwe!O141</f>
        <v>0</v>
      </c>
      <c r="K141" s="22">
        <f>Migowi!M141+Migowi!N141+Migowi!O141</f>
        <v>0</v>
      </c>
      <c r="L141" s="22">
        <f>Nkando!N141+Nkando!O141+Nkando!P141</f>
        <v>0</v>
      </c>
      <c r="M141" s="31">
        <f>SUM(D141:L141)</f>
        <v>0</v>
      </c>
    </row>
    <row r="142" spans="1:13" ht="15.75" x14ac:dyDescent="0.25">
      <c r="A142" s="476"/>
      <c r="B142" s="21" t="s">
        <v>83</v>
      </c>
      <c r="C142" s="4" t="s">
        <v>3</v>
      </c>
      <c r="D142" s="22">
        <f>Mulanje!M142+Mulanje!N142+Mulanje!O142</f>
        <v>0</v>
      </c>
      <c r="E142" s="22">
        <f>Luchenza!M142+Luchenza!N142+Luchenza!O142</f>
        <v>0</v>
      </c>
      <c r="F142" s="22">
        <f>Thyolo!M142+Thyolo!N142+Thyolo!O142</f>
        <v>0</v>
      </c>
      <c r="G142" s="22">
        <f>Muloza!M142+Muloza!N142+Muloza!O142</f>
        <v>0</v>
      </c>
      <c r="H142" s="22">
        <f>MUST!M142+MUST!N142+MUST!O142</f>
        <v>0</v>
      </c>
      <c r="I142" s="22">
        <f>Phalombe!M142+Phalombe!N142+Phalombe!O142</f>
        <v>0</v>
      </c>
      <c r="J142" s="22">
        <f>Mikolongwe!M142+Mikolongwe!N142+Mikolongwe!O142</f>
        <v>0</v>
      </c>
      <c r="K142" s="22">
        <f>Migowi!M142+Migowi!N142+Migowi!O142</f>
        <v>0</v>
      </c>
      <c r="L142" s="22">
        <f>Nkando!N142+Nkando!O142+Nkando!P142</f>
        <v>0</v>
      </c>
      <c r="M142" s="31">
        <f>SUM(D142:L142)</f>
        <v>0</v>
      </c>
    </row>
    <row r="143" spans="1:13" ht="15.75" x14ac:dyDescent="0.25">
      <c r="A143" s="476"/>
      <c r="B143" s="21" t="s">
        <v>82</v>
      </c>
      <c r="C143" s="4" t="s">
        <v>3</v>
      </c>
      <c r="D143" s="22">
        <f>Mulanje!M143+Mulanje!N143+Mulanje!O143</f>
        <v>0</v>
      </c>
      <c r="E143" s="22">
        <f>Luchenza!M143+Luchenza!N143+Luchenza!O143</f>
        <v>0</v>
      </c>
      <c r="F143" s="22">
        <f>Thyolo!M143+Thyolo!N143+Thyolo!O143</f>
        <v>0</v>
      </c>
      <c r="G143" s="22">
        <f>Muloza!M143+Muloza!N143+Muloza!O143</f>
        <v>0</v>
      </c>
      <c r="H143" s="22">
        <f>MUST!M143+MUST!N143+MUST!O143</f>
        <v>0</v>
      </c>
      <c r="I143" s="22">
        <f>Phalombe!M143+Phalombe!N143+Phalombe!O143</f>
        <v>0</v>
      </c>
      <c r="J143" s="22">
        <f>Mikolongwe!M143+Mikolongwe!N143+Mikolongwe!O143</f>
        <v>0</v>
      </c>
      <c r="K143" s="22">
        <f>Migowi!M143+Migowi!N143+Migowi!O143</f>
        <v>0</v>
      </c>
      <c r="L143" s="22">
        <f>Nkando!N143+Nkando!O143+Nkando!P143</f>
        <v>0</v>
      </c>
      <c r="M143" s="31">
        <f>SUM(D143:L143)</f>
        <v>0</v>
      </c>
    </row>
    <row r="144" spans="1:13" ht="15.75" x14ac:dyDescent="0.25">
      <c r="A144" s="477"/>
      <c r="B144" s="21" t="s">
        <v>81</v>
      </c>
      <c r="C144" s="4" t="s">
        <v>3</v>
      </c>
      <c r="D144" s="126">
        <f t="shared" ref="D144:M144" si="88">D140+D141-D142-D143</f>
        <v>0</v>
      </c>
      <c r="E144" s="126">
        <f t="shared" si="88"/>
        <v>0</v>
      </c>
      <c r="F144" s="126">
        <f t="shared" si="88"/>
        <v>0</v>
      </c>
      <c r="G144" s="126">
        <f t="shared" si="88"/>
        <v>0</v>
      </c>
      <c r="H144" s="126">
        <f t="shared" si="88"/>
        <v>0</v>
      </c>
      <c r="I144" s="126">
        <f t="shared" si="88"/>
        <v>26</v>
      </c>
      <c r="J144" s="126">
        <f t="shared" si="88"/>
        <v>0</v>
      </c>
      <c r="K144" s="126">
        <f t="shared" si="88"/>
        <v>0</v>
      </c>
      <c r="L144" s="126">
        <f t="shared" ref="L144" si="89">L140+L141-L142-L143</f>
        <v>0</v>
      </c>
      <c r="M144" s="31">
        <f t="shared" si="88"/>
        <v>26</v>
      </c>
    </row>
    <row r="145" spans="1:13" ht="15.75" x14ac:dyDescent="0.25">
      <c r="A145" s="475" t="s">
        <v>86</v>
      </c>
      <c r="B145" s="21" t="s">
        <v>85</v>
      </c>
      <c r="C145" s="4" t="s">
        <v>3</v>
      </c>
      <c r="D145" s="125">
        <f t="shared" ref="D145:K148" si="90">D125+D130+D135+D140</f>
        <v>0</v>
      </c>
      <c r="E145" s="125">
        <f t="shared" si="90"/>
        <v>0</v>
      </c>
      <c r="F145" s="125">
        <f t="shared" si="90"/>
        <v>0</v>
      </c>
      <c r="G145" s="125">
        <f t="shared" si="90"/>
        <v>0</v>
      </c>
      <c r="H145" s="125">
        <f t="shared" si="90"/>
        <v>0</v>
      </c>
      <c r="I145" s="125">
        <f t="shared" si="90"/>
        <v>26</v>
      </c>
      <c r="J145" s="125">
        <f t="shared" si="90"/>
        <v>0</v>
      </c>
      <c r="K145" s="125">
        <f t="shared" si="90"/>
        <v>0</v>
      </c>
      <c r="L145" s="125">
        <f t="shared" ref="L145" si="91">L125+L130+L135+L140</f>
        <v>0</v>
      </c>
      <c r="M145" s="99">
        <f t="shared" ref="M145:M149" si="92">M125+M130+M135+M140</f>
        <v>26</v>
      </c>
    </row>
    <row r="146" spans="1:13" ht="15.75" x14ac:dyDescent="0.25">
      <c r="A146" s="476"/>
      <c r="B146" s="21" t="s">
        <v>84</v>
      </c>
      <c r="C146" s="4" t="s">
        <v>3</v>
      </c>
      <c r="D146" s="125">
        <f t="shared" si="90"/>
        <v>0</v>
      </c>
      <c r="E146" s="125">
        <f t="shared" si="90"/>
        <v>0</v>
      </c>
      <c r="F146" s="125">
        <f t="shared" si="90"/>
        <v>0</v>
      </c>
      <c r="G146" s="125">
        <f t="shared" si="90"/>
        <v>0</v>
      </c>
      <c r="H146" s="125">
        <f t="shared" si="90"/>
        <v>0</v>
      </c>
      <c r="I146" s="125">
        <f t="shared" si="90"/>
        <v>0</v>
      </c>
      <c r="J146" s="125">
        <f t="shared" si="90"/>
        <v>0</v>
      </c>
      <c r="K146" s="125">
        <f t="shared" si="90"/>
        <v>0</v>
      </c>
      <c r="L146" s="125">
        <f t="shared" ref="L146" si="93">L126+L131+L136+L141</f>
        <v>0</v>
      </c>
      <c r="M146" s="99">
        <f t="shared" si="92"/>
        <v>0</v>
      </c>
    </row>
    <row r="147" spans="1:13" ht="15.75" x14ac:dyDescent="0.25">
      <c r="A147" s="476"/>
      <c r="B147" s="21" t="s">
        <v>83</v>
      </c>
      <c r="C147" s="4" t="s">
        <v>3</v>
      </c>
      <c r="D147" s="125">
        <f t="shared" si="90"/>
        <v>0</v>
      </c>
      <c r="E147" s="125">
        <f t="shared" si="90"/>
        <v>0</v>
      </c>
      <c r="F147" s="125">
        <f t="shared" si="90"/>
        <v>0</v>
      </c>
      <c r="G147" s="125">
        <f t="shared" si="90"/>
        <v>0</v>
      </c>
      <c r="H147" s="125">
        <f t="shared" si="90"/>
        <v>0</v>
      </c>
      <c r="I147" s="125">
        <f t="shared" si="90"/>
        <v>0</v>
      </c>
      <c r="J147" s="125">
        <f t="shared" si="90"/>
        <v>0</v>
      </c>
      <c r="K147" s="125">
        <f t="shared" si="90"/>
        <v>0</v>
      </c>
      <c r="L147" s="125">
        <f t="shared" ref="L147" si="94">L127+L132+L137+L142</f>
        <v>0</v>
      </c>
      <c r="M147" s="99">
        <f t="shared" si="92"/>
        <v>0</v>
      </c>
    </row>
    <row r="148" spans="1:13" ht="15.75" x14ac:dyDescent="0.25">
      <c r="A148" s="476"/>
      <c r="B148" s="21" t="s">
        <v>82</v>
      </c>
      <c r="C148" s="4" t="s">
        <v>3</v>
      </c>
      <c r="D148" s="125">
        <f t="shared" si="90"/>
        <v>0</v>
      </c>
      <c r="E148" s="125">
        <f t="shared" si="90"/>
        <v>0</v>
      </c>
      <c r="F148" s="125">
        <f t="shared" si="90"/>
        <v>0</v>
      </c>
      <c r="G148" s="125">
        <f t="shared" si="90"/>
        <v>0</v>
      </c>
      <c r="H148" s="125">
        <f t="shared" si="90"/>
        <v>0</v>
      </c>
      <c r="I148" s="125">
        <f t="shared" si="90"/>
        <v>0</v>
      </c>
      <c r="J148" s="125">
        <f t="shared" si="90"/>
        <v>0</v>
      </c>
      <c r="K148" s="125">
        <f t="shared" si="90"/>
        <v>0</v>
      </c>
      <c r="L148" s="125">
        <f t="shared" ref="L148" si="95">L128+L133+L138+L143</f>
        <v>0</v>
      </c>
      <c r="M148" s="99">
        <f t="shared" si="92"/>
        <v>0</v>
      </c>
    </row>
    <row r="149" spans="1:13" ht="15.75" x14ac:dyDescent="0.25">
      <c r="A149" s="477"/>
      <c r="B149" s="21" t="s">
        <v>81</v>
      </c>
      <c r="C149" s="4" t="s">
        <v>3</v>
      </c>
      <c r="D149" s="126">
        <f t="shared" ref="D149:K149" si="96">D145+D146-D147-D148</f>
        <v>0</v>
      </c>
      <c r="E149" s="127">
        <f t="shared" si="96"/>
        <v>0</v>
      </c>
      <c r="F149" s="127">
        <f t="shared" si="96"/>
        <v>0</v>
      </c>
      <c r="G149" s="126">
        <f t="shared" si="96"/>
        <v>0</v>
      </c>
      <c r="H149" s="126">
        <f t="shared" si="96"/>
        <v>0</v>
      </c>
      <c r="I149" s="126">
        <f t="shared" si="96"/>
        <v>26</v>
      </c>
      <c r="J149" s="126">
        <f t="shared" si="96"/>
        <v>0</v>
      </c>
      <c r="K149" s="126">
        <f t="shared" si="96"/>
        <v>0</v>
      </c>
      <c r="L149" s="126">
        <f t="shared" ref="L149" si="97">L145+L146-L147-L148</f>
        <v>0</v>
      </c>
      <c r="M149" s="99">
        <f t="shared" si="92"/>
        <v>26</v>
      </c>
    </row>
    <row r="150" spans="1:13" x14ac:dyDescent="0.25">
      <c r="A150" s="442" t="s">
        <v>80</v>
      </c>
      <c r="B150" s="443"/>
      <c r="C150" s="443"/>
      <c r="D150" s="443"/>
      <c r="E150" s="443"/>
      <c r="F150" s="443"/>
      <c r="G150" s="443"/>
      <c r="H150" s="443"/>
      <c r="I150" s="443"/>
      <c r="J150" s="443"/>
      <c r="K150" s="443"/>
      <c r="L150" s="443"/>
      <c r="M150" s="444"/>
    </row>
    <row r="151" spans="1:13" ht="15.6" customHeight="1" x14ac:dyDescent="0.25">
      <c r="A151" s="472" t="s">
        <v>79</v>
      </c>
      <c r="B151" s="473"/>
      <c r="C151" s="473"/>
      <c r="D151" s="473"/>
      <c r="E151" s="473"/>
      <c r="F151" s="473"/>
      <c r="G151" s="473"/>
      <c r="H151" s="473"/>
      <c r="I151" s="473"/>
      <c r="J151" s="473"/>
      <c r="K151" s="473"/>
      <c r="L151" s="473"/>
      <c r="M151" s="474"/>
    </row>
    <row r="152" spans="1:13" ht="15.75" x14ac:dyDescent="0.25">
      <c r="A152" s="46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75" x14ac:dyDescent="0.25">
      <c r="A153" s="463"/>
      <c r="B153" s="17" t="s">
        <v>73</v>
      </c>
      <c r="C153" s="4" t="s">
        <v>57</v>
      </c>
      <c r="D153" s="22">
        <f>Mulanje!M153+Mulanje!N153+Mulanje!O153</f>
        <v>0</v>
      </c>
      <c r="E153" s="22">
        <f>Luchenza!M153+Luchenza!N153+Luchenza!O153</f>
        <v>0</v>
      </c>
      <c r="F153" s="22">
        <f>Thyolo!M153+Thyolo!N153+Thyolo!O153</f>
        <v>0</v>
      </c>
      <c r="G153" s="22">
        <f>Muloza!M153+Muloza!N153+Muloza!O153</f>
        <v>0</v>
      </c>
      <c r="H153" s="22">
        <f>MUST!M153+MUST!N153+MUST!O153</f>
        <v>0</v>
      </c>
      <c r="I153" s="22">
        <f>Phalombe!M153+Phalombe!N153+Phalombe!O153</f>
        <v>0</v>
      </c>
      <c r="J153" s="22">
        <f>Mikolongwe!M153+Mikolongwe!N153+Mikolongwe!O153</f>
        <v>0</v>
      </c>
      <c r="K153" s="22">
        <f>Migowi!M153+Migowi!N153+Migowi!O153</f>
        <v>0</v>
      </c>
      <c r="L153" s="22">
        <f>Nkando!N153+Nkando!O153+Nkando!P153</f>
        <v>6</v>
      </c>
      <c r="M153" s="16">
        <f t="shared" ref="M153:M165" si="98">SUM(D153:L153)</f>
        <v>6</v>
      </c>
    </row>
    <row r="154" spans="1:13" ht="15.75" x14ac:dyDescent="0.25">
      <c r="A154" s="463"/>
      <c r="B154" s="17" t="s">
        <v>72</v>
      </c>
      <c r="C154" s="4" t="s">
        <v>57</v>
      </c>
      <c r="D154" s="22">
        <f>Mulanje!M154+Mulanje!N154+Mulanje!O154</f>
        <v>0</v>
      </c>
      <c r="E154" s="22">
        <f>Luchenza!M154+Luchenza!N154+Luchenza!O154</f>
        <v>0</v>
      </c>
      <c r="F154" s="22">
        <f>Thyolo!M154+Thyolo!N154+Thyolo!O154</f>
        <v>0</v>
      </c>
      <c r="G154" s="22">
        <f>Muloza!M154+Muloza!N154+Muloza!O154</f>
        <v>0</v>
      </c>
      <c r="H154" s="22">
        <f>MUST!M154+MUST!N154+MUST!O154</f>
        <v>0</v>
      </c>
      <c r="I154" s="22">
        <f>Phalombe!M154+Phalombe!N154+Phalombe!O154</f>
        <v>0</v>
      </c>
      <c r="J154" s="22">
        <f>Mikolongwe!M154+Mikolongwe!N154+Mikolongwe!O154</f>
        <v>0</v>
      </c>
      <c r="K154" s="22">
        <f>Migowi!M154+Migowi!N154+Migowi!O154</f>
        <v>0</v>
      </c>
      <c r="L154" s="22">
        <f>Nkando!N154+Nkando!O154+Nkando!P154</f>
        <v>3</v>
      </c>
      <c r="M154" s="16">
        <f t="shared" si="98"/>
        <v>3</v>
      </c>
    </row>
    <row r="155" spans="1:13" ht="15.75" x14ac:dyDescent="0.25">
      <c r="A155" s="463"/>
      <c r="B155" s="17" t="s">
        <v>53</v>
      </c>
      <c r="C155" s="4" t="s">
        <v>57</v>
      </c>
      <c r="D155" s="22">
        <f>Mulanje!M155+Mulanje!N155+Mulanje!O155</f>
        <v>0</v>
      </c>
      <c r="E155" s="22">
        <f>Luchenza!M155+Luchenza!N155+Luchenza!O155</f>
        <v>0</v>
      </c>
      <c r="F155" s="22">
        <f>Thyolo!M155+Thyolo!N155+Thyolo!O155</f>
        <v>0</v>
      </c>
      <c r="G155" s="22">
        <f>Muloza!M155+Muloza!N155+Muloza!O155</f>
        <v>0</v>
      </c>
      <c r="H155" s="22">
        <f>MUST!M155+MUST!N155+MUST!O155</f>
        <v>0</v>
      </c>
      <c r="I155" s="22">
        <f>Phalombe!M155+Phalombe!N155+Phalombe!O155</f>
        <v>0</v>
      </c>
      <c r="J155" s="22">
        <f>Mikolongwe!M155+Mikolongwe!N155+Mikolongwe!O155</f>
        <v>0</v>
      </c>
      <c r="K155" s="22">
        <f>Migowi!M155+Migowi!N155+Migowi!O155</f>
        <v>0</v>
      </c>
      <c r="L155" s="22">
        <f>Nkando!N155+Nkando!O155+Nkando!P155</f>
        <v>0</v>
      </c>
      <c r="M155" s="16">
        <f t="shared" si="98"/>
        <v>0</v>
      </c>
    </row>
    <row r="156" spans="1:13" ht="15.75" x14ac:dyDescent="0.25">
      <c r="A156" s="463"/>
      <c r="B156" s="17" t="s">
        <v>71</v>
      </c>
      <c r="C156" s="4" t="s">
        <v>57</v>
      </c>
      <c r="D156" s="22">
        <f>Mulanje!M156+Mulanje!N156+Mulanje!O156</f>
        <v>0</v>
      </c>
      <c r="E156" s="22">
        <f>Luchenza!M156+Luchenza!N156+Luchenza!O156</f>
        <v>0</v>
      </c>
      <c r="F156" s="22">
        <f>Thyolo!M156+Thyolo!N156+Thyolo!O156</f>
        <v>0</v>
      </c>
      <c r="G156" s="22">
        <f>Muloza!M156+Muloza!N156+Muloza!O156</f>
        <v>0</v>
      </c>
      <c r="H156" s="22">
        <f>MUST!M156+MUST!N156+MUST!O156</f>
        <v>0</v>
      </c>
      <c r="I156" s="22">
        <f>Phalombe!M156+Phalombe!N156+Phalombe!O156</f>
        <v>0</v>
      </c>
      <c r="J156" s="22">
        <f>Mikolongwe!M156+Mikolongwe!N156+Mikolongwe!O156</f>
        <v>0</v>
      </c>
      <c r="K156" s="22">
        <f>Migowi!M156+Migowi!N156+Migowi!O156</f>
        <v>0</v>
      </c>
      <c r="L156" s="22">
        <f>Nkando!N156+Nkando!O156+Nkando!P156</f>
        <v>0</v>
      </c>
      <c r="M156" s="16">
        <f t="shared" si="98"/>
        <v>0</v>
      </c>
    </row>
    <row r="157" spans="1:13" ht="15.75" x14ac:dyDescent="0.25">
      <c r="A157" s="463"/>
      <c r="B157" s="17" t="s">
        <v>52</v>
      </c>
      <c r="C157" s="4" t="s">
        <v>57</v>
      </c>
      <c r="D157" s="22">
        <f>Mulanje!M157+Mulanje!N157+Mulanje!O157</f>
        <v>0</v>
      </c>
      <c r="E157" s="22">
        <f>Luchenza!M157+Luchenza!N157+Luchenza!O157</f>
        <v>0</v>
      </c>
      <c r="F157" s="22">
        <f>Thyolo!M157+Thyolo!N157+Thyolo!O157</f>
        <v>0</v>
      </c>
      <c r="G157" s="22">
        <f>Muloza!M157+Muloza!N157+Muloza!O157</f>
        <v>0</v>
      </c>
      <c r="H157" s="22">
        <f>MUST!M157+MUST!N157+MUST!O157</f>
        <v>0</v>
      </c>
      <c r="I157" s="22">
        <f>Phalombe!M157+Phalombe!N157+Phalombe!O157</f>
        <v>0</v>
      </c>
      <c r="J157" s="22">
        <f>Mikolongwe!M157+Mikolongwe!N157+Mikolongwe!O157</f>
        <v>0</v>
      </c>
      <c r="K157" s="22">
        <f>Migowi!M157+Migowi!N157+Migowi!O157</f>
        <v>0</v>
      </c>
      <c r="L157" s="22">
        <f>Nkando!N157+Nkando!O157+Nkando!P157</f>
        <v>0</v>
      </c>
      <c r="M157" s="16">
        <f t="shared" si="98"/>
        <v>0</v>
      </c>
    </row>
    <row r="158" spans="1:13" ht="15.75" x14ac:dyDescent="0.25">
      <c r="A158" s="463"/>
      <c r="B158" s="17" t="s">
        <v>51</v>
      </c>
      <c r="C158" s="4" t="s">
        <v>57</v>
      </c>
      <c r="D158" s="22">
        <f>Mulanje!M158+Mulanje!N158+Mulanje!O158</f>
        <v>0</v>
      </c>
      <c r="E158" s="22">
        <f>Luchenza!M158+Luchenza!N158+Luchenza!O158</f>
        <v>0</v>
      </c>
      <c r="F158" s="22">
        <f>Thyolo!M158+Thyolo!N158+Thyolo!O158</f>
        <v>0</v>
      </c>
      <c r="G158" s="22">
        <f>Muloza!M158+Muloza!N158+Muloza!O158</f>
        <v>0</v>
      </c>
      <c r="H158" s="22">
        <f>MUST!M158+MUST!N158+MUST!O158</f>
        <v>0</v>
      </c>
      <c r="I158" s="22">
        <f>Phalombe!M158+Phalombe!N158+Phalombe!O158</f>
        <v>0</v>
      </c>
      <c r="J158" s="22">
        <f>Mikolongwe!M158+Mikolongwe!N158+Mikolongwe!O158</f>
        <v>0</v>
      </c>
      <c r="K158" s="22">
        <f>Migowi!M158+Migowi!N158+Migowi!O158</f>
        <v>0</v>
      </c>
      <c r="L158" s="22">
        <f>Nkando!N158+Nkando!O158+Nkando!P158</f>
        <v>0</v>
      </c>
      <c r="M158" s="16">
        <f t="shared" si="98"/>
        <v>0</v>
      </c>
    </row>
    <row r="159" spans="1:13" ht="15.75" x14ac:dyDescent="0.25">
      <c r="A159" s="463"/>
      <c r="B159" s="17" t="s">
        <v>62</v>
      </c>
      <c r="C159" s="4" t="s">
        <v>57</v>
      </c>
      <c r="D159" s="22">
        <f>Mulanje!M159+Mulanje!N159+Mulanje!O159</f>
        <v>0</v>
      </c>
      <c r="E159" s="22">
        <f>Luchenza!M159+Luchenza!N159+Luchenza!O159</f>
        <v>0</v>
      </c>
      <c r="F159" s="22">
        <f>Thyolo!M159+Thyolo!N159+Thyolo!O159</f>
        <v>0</v>
      </c>
      <c r="G159" s="22">
        <f>Muloza!M159+Muloza!N159+Muloza!O159</f>
        <v>0</v>
      </c>
      <c r="H159" s="22">
        <f>MUST!M159+MUST!N159+MUST!O159</f>
        <v>0</v>
      </c>
      <c r="I159" s="22">
        <f>Phalombe!M159+Phalombe!N159+Phalombe!O159</f>
        <v>0</v>
      </c>
      <c r="J159" s="22">
        <f>Mikolongwe!M159+Mikolongwe!N159+Mikolongwe!O159</f>
        <v>0</v>
      </c>
      <c r="K159" s="22">
        <f>Migowi!M159+Migowi!N159+Migowi!O159</f>
        <v>0</v>
      </c>
      <c r="L159" s="22">
        <f>Nkando!N159+Nkando!O159+Nkando!P159</f>
        <v>0</v>
      </c>
      <c r="M159" s="16">
        <f t="shared" si="98"/>
        <v>0</v>
      </c>
    </row>
    <row r="160" spans="1:13" ht="15.75" x14ac:dyDescent="0.25">
      <c r="A160" s="463"/>
      <c r="B160" s="17" t="s">
        <v>50</v>
      </c>
      <c r="C160" s="4" t="s">
        <v>57</v>
      </c>
      <c r="D160" s="22">
        <f>Mulanje!M160+Mulanje!N160+Mulanje!O160</f>
        <v>0</v>
      </c>
      <c r="E160" s="22">
        <f>Luchenza!M160+Luchenza!N160+Luchenza!O160</f>
        <v>0</v>
      </c>
      <c r="F160" s="22">
        <f>Thyolo!M160+Thyolo!N160+Thyolo!O160</f>
        <v>0</v>
      </c>
      <c r="G160" s="22">
        <f>Muloza!M160+Muloza!N160+Muloza!O160</f>
        <v>0</v>
      </c>
      <c r="H160" s="22">
        <f>MUST!M160+MUST!N160+MUST!O160</f>
        <v>0</v>
      </c>
      <c r="I160" s="22">
        <f>Phalombe!M160+Phalombe!N160+Phalombe!O160</f>
        <v>0</v>
      </c>
      <c r="J160" s="22">
        <f>Mikolongwe!M160+Mikolongwe!N160+Mikolongwe!O160</f>
        <v>0</v>
      </c>
      <c r="K160" s="22">
        <f>Migowi!M160+Migowi!N160+Migowi!O160</f>
        <v>0</v>
      </c>
      <c r="L160" s="22">
        <f>Nkando!N160+Nkando!O160+Nkando!P160</f>
        <v>0</v>
      </c>
      <c r="M160" s="16">
        <f t="shared" si="98"/>
        <v>0</v>
      </c>
    </row>
    <row r="161" spans="1:13" ht="15.75" x14ac:dyDescent="0.25">
      <c r="A161" s="463"/>
      <c r="B161" s="17" t="s">
        <v>49</v>
      </c>
      <c r="C161" s="4" t="s">
        <v>57</v>
      </c>
      <c r="D161" s="22">
        <f>Mulanje!M161+Mulanje!N161+Mulanje!O161</f>
        <v>0</v>
      </c>
      <c r="E161" s="22">
        <f>Luchenza!M161+Luchenza!N161+Luchenza!O161</f>
        <v>0</v>
      </c>
      <c r="F161" s="22">
        <f>Thyolo!M161+Thyolo!N161+Thyolo!O161</f>
        <v>0</v>
      </c>
      <c r="G161" s="22">
        <f>Muloza!M161+Muloza!N161+Muloza!O161</f>
        <v>0</v>
      </c>
      <c r="H161" s="22">
        <f>MUST!M161+MUST!N161+MUST!O161</f>
        <v>0</v>
      </c>
      <c r="I161" s="22">
        <f>Phalombe!M161+Phalombe!N161+Phalombe!O161</f>
        <v>0</v>
      </c>
      <c r="J161" s="22">
        <f>Mikolongwe!M161+Mikolongwe!N161+Mikolongwe!O161</f>
        <v>0</v>
      </c>
      <c r="K161" s="22">
        <f>Migowi!M161+Migowi!N161+Migowi!O161</f>
        <v>0</v>
      </c>
      <c r="L161" s="22">
        <f>Nkando!N161+Nkando!O161+Nkando!P161</f>
        <v>0</v>
      </c>
      <c r="M161" s="16">
        <f t="shared" si="98"/>
        <v>0</v>
      </c>
    </row>
    <row r="162" spans="1:13" ht="15.75" x14ac:dyDescent="0.25">
      <c r="A162" s="463"/>
      <c r="B162" s="17" t="s">
        <v>77</v>
      </c>
      <c r="C162" s="4" t="s">
        <v>57</v>
      </c>
      <c r="D162" s="22">
        <f>Mulanje!M162+Mulanje!N162+Mulanje!O162</f>
        <v>0</v>
      </c>
      <c r="E162" s="22">
        <f>Luchenza!M162+Luchenza!N162+Luchenza!O162</f>
        <v>0</v>
      </c>
      <c r="F162" s="22">
        <f>Thyolo!M162+Thyolo!N162+Thyolo!O162</f>
        <v>0</v>
      </c>
      <c r="G162" s="22">
        <f>Muloza!M162+Muloza!N162+Muloza!O162</f>
        <v>0</v>
      </c>
      <c r="H162" s="22">
        <f>MUST!M162+MUST!N162+MUST!O162</f>
        <v>0</v>
      </c>
      <c r="I162" s="22">
        <f>Phalombe!M162+Phalombe!N162+Phalombe!O162</f>
        <v>0</v>
      </c>
      <c r="J162" s="22">
        <f>Mikolongwe!M162+Mikolongwe!N162+Mikolongwe!O162</f>
        <v>0</v>
      </c>
      <c r="K162" s="22">
        <f>Migowi!M162+Migowi!N162+Migowi!O162</f>
        <v>0</v>
      </c>
      <c r="L162" s="22">
        <f>Nkando!N162+Nkando!O162+Nkando!P162</f>
        <v>0</v>
      </c>
      <c r="M162" s="16">
        <f t="shared" si="98"/>
        <v>0</v>
      </c>
    </row>
    <row r="163" spans="1:13" ht="15.75" x14ac:dyDescent="0.25">
      <c r="A163" s="463"/>
      <c r="B163" s="17" t="s">
        <v>69</v>
      </c>
      <c r="C163" s="4" t="s">
        <v>57</v>
      </c>
      <c r="D163" s="22">
        <f>Mulanje!M163+Mulanje!N163+Mulanje!O163</f>
        <v>0</v>
      </c>
      <c r="E163" s="22">
        <f>Luchenza!M163+Luchenza!N163+Luchenza!O163</f>
        <v>0</v>
      </c>
      <c r="F163" s="22">
        <f>Thyolo!M163+Thyolo!N163+Thyolo!O163</f>
        <v>0</v>
      </c>
      <c r="G163" s="22">
        <f>Muloza!M163+Muloza!N163+Muloza!O163</f>
        <v>0</v>
      </c>
      <c r="H163" s="22">
        <f>MUST!M163+MUST!N163+MUST!O163</f>
        <v>0</v>
      </c>
      <c r="I163" s="22">
        <f>Phalombe!M163+Phalombe!N163+Phalombe!O163</f>
        <v>0</v>
      </c>
      <c r="J163" s="22">
        <f>Mikolongwe!M163+Mikolongwe!N163+Mikolongwe!O163</f>
        <v>0</v>
      </c>
      <c r="K163" s="22">
        <f>Migowi!M163+Migowi!N163+Migowi!O163</f>
        <v>0</v>
      </c>
      <c r="L163" s="22">
        <f>Nkando!N163+Nkando!O163+Nkando!P163</f>
        <v>0</v>
      </c>
      <c r="M163" s="16">
        <f t="shared" si="98"/>
        <v>0</v>
      </c>
    </row>
    <row r="164" spans="1:13" ht="15.75" x14ac:dyDescent="0.25">
      <c r="A164" s="463"/>
      <c r="B164" s="17" t="s">
        <v>68</v>
      </c>
      <c r="C164" s="4" t="s">
        <v>57</v>
      </c>
      <c r="D164" s="22">
        <f>Mulanje!M164+Mulanje!N164+Mulanje!O164</f>
        <v>0</v>
      </c>
      <c r="E164" s="22">
        <f>Luchenza!M164+Luchenza!N164+Luchenza!O164</f>
        <v>0</v>
      </c>
      <c r="F164" s="22">
        <f>Thyolo!M164+Thyolo!N164+Thyolo!O164</f>
        <v>0</v>
      </c>
      <c r="G164" s="22">
        <f>Muloza!M164+Muloza!N164+Muloza!O164</f>
        <v>0</v>
      </c>
      <c r="H164" s="22">
        <f>MUST!M164+MUST!N164+MUST!O164</f>
        <v>0</v>
      </c>
      <c r="I164" s="22">
        <f>Phalombe!M164+Phalombe!N164+Phalombe!O164</f>
        <v>0</v>
      </c>
      <c r="J164" s="22">
        <f>Mikolongwe!M164+Mikolongwe!N164+Mikolongwe!O164</f>
        <v>0</v>
      </c>
      <c r="K164" s="22">
        <f>Migowi!M164+Migowi!N164+Migowi!O164</f>
        <v>0</v>
      </c>
      <c r="L164" s="22">
        <f>Nkando!N164+Nkando!O164+Nkando!P164</f>
        <v>0</v>
      </c>
      <c r="M164" s="16">
        <f t="shared" si="98"/>
        <v>0</v>
      </c>
    </row>
    <row r="165" spans="1:13" ht="15.75" x14ac:dyDescent="0.25">
      <c r="A165" s="464"/>
      <c r="B165" s="17" t="s">
        <v>76</v>
      </c>
      <c r="C165" s="4" t="s">
        <v>57</v>
      </c>
      <c r="D165" s="22">
        <f>Mulanje!M165+Mulanje!N165+Mulanje!O165</f>
        <v>0</v>
      </c>
      <c r="E165" s="22">
        <f>Luchenza!M165+Luchenza!N165+Luchenza!O165</f>
        <v>0</v>
      </c>
      <c r="F165" s="22">
        <f>Thyolo!M165+Thyolo!N165+Thyolo!O165</f>
        <v>0</v>
      </c>
      <c r="G165" s="22">
        <f>Muloza!M165+Muloza!N165+Muloza!O165</f>
        <v>0</v>
      </c>
      <c r="H165" s="22">
        <f>MUST!M165+MUST!N165+MUST!O165</f>
        <v>0</v>
      </c>
      <c r="I165" s="22">
        <f>Phalombe!M165+Phalombe!N165+Phalombe!O165</f>
        <v>0</v>
      </c>
      <c r="J165" s="22">
        <f>Mikolongwe!M165+Mikolongwe!N165+Mikolongwe!O165</f>
        <v>0</v>
      </c>
      <c r="K165" s="22">
        <f>Migowi!M165+Migowi!N165+Migowi!O165</f>
        <v>0</v>
      </c>
      <c r="L165" s="22">
        <f>Nkando!N165+Nkando!O165+Nkando!P165</f>
        <v>0</v>
      </c>
      <c r="M165" s="16">
        <f t="shared" si="98"/>
        <v>0</v>
      </c>
    </row>
    <row r="166" spans="1:13" ht="15.75" x14ac:dyDescent="0.25">
      <c r="A166" s="46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75" x14ac:dyDescent="0.25">
      <c r="A167" s="463"/>
      <c r="B167" s="17" t="s">
        <v>74</v>
      </c>
      <c r="C167" s="4" t="s">
        <v>57</v>
      </c>
      <c r="D167" s="22">
        <f>Mulanje!M167+Mulanje!N167+Mulanje!O167</f>
        <v>0</v>
      </c>
      <c r="E167" s="22">
        <f>Luchenza!M167+Luchenza!N167+Luchenza!O167</f>
        <v>0</v>
      </c>
      <c r="F167" s="22">
        <f>Thyolo!M167+Thyolo!N167+Thyolo!O167</f>
        <v>0</v>
      </c>
      <c r="G167" s="22">
        <f>Muloza!M167+Muloza!N167+Muloza!O167</f>
        <v>0</v>
      </c>
      <c r="H167" s="22">
        <f>MUST!M167+MUST!N167+MUST!O167</f>
        <v>0</v>
      </c>
      <c r="I167" s="22">
        <f>Phalombe!M167+Phalombe!N167+Phalombe!O167</f>
        <v>0</v>
      </c>
      <c r="J167" s="22">
        <f>Mikolongwe!M167+Mikolongwe!N167+Mikolongwe!O167</f>
        <v>0</v>
      </c>
      <c r="K167" s="22">
        <f>Migowi!M167+Migowi!N167+Migowi!O167</f>
        <v>0</v>
      </c>
      <c r="L167" s="22">
        <f>Nkando!N167+Nkando!O167+Nkando!P167</f>
        <v>0</v>
      </c>
      <c r="M167" s="16">
        <f t="shared" ref="M167:M175" si="99">SUM(D167:L167)</f>
        <v>0</v>
      </c>
    </row>
    <row r="168" spans="1:13" ht="15.75" x14ac:dyDescent="0.25">
      <c r="A168" s="463"/>
      <c r="B168" s="17" t="s">
        <v>73</v>
      </c>
      <c r="C168" s="4" t="s">
        <v>57</v>
      </c>
      <c r="D168" s="22">
        <f>Mulanje!M168+Mulanje!N168+Mulanje!O168</f>
        <v>0</v>
      </c>
      <c r="E168" s="22">
        <f>Luchenza!M168+Luchenza!N168+Luchenza!O168</f>
        <v>0</v>
      </c>
      <c r="F168" s="22">
        <f>Thyolo!M168+Thyolo!N168+Thyolo!O168</f>
        <v>0</v>
      </c>
      <c r="G168" s="22">
        <f>Muloza!M168+Muloza!N168+Muloza!O168</f>
        <v>0</v>
      </c>
      <c r="H168" s="22">
        <f>MUST!M168+MUST!N168+MUST!O168</f>
        <v>0</v>
      </c>
      <c r="I168" s="22">
        <f>Phalombe!M168+Phalombe!N168+Phalombe!O168</f>
        <v>0</v>
      </c>
      <c r="J168" s="22">
        <f>Mikolongwe!M168+Mikolongwe!N168+Mikolongwe!O168</f>
        <v>0</v>
      </c>
      <c r="K168" s="22">
        <f>Migowi!M168+Migowi!N168+Migowi!O168</f>
        <v>0</v>
      </c>
      <c r="L168" s="22">
        <f>Nkando!N168+Nkando!O168+Nkando!P168</f>
        <v>0</v>
      </c>
      <c r="M168" s="16">
        <f t="shared" si="99"/>
        <v>0</v>
      </c>
    </row>
    <row r="169" spans="1:13" ht="15.75" x14ac:dyDescent="0.25">
      <c r="A169" s="463"/>
      <c r="B169" s="17" t="s">
        <v>72</v>
      </c>
      <c r="C169" s="4" t="s">
        <v>57</v>
      </c>
      <c r="D169" s="22">
        <f>Mulanje!M169+Mulanje!N169+Mulanje!O169</f>
        <v>0</v>
      </c>
      <c r="E169" s="22">
        <f>Luchenza!M169+Luchenza!N169+Luchenza!O169</f>
        <v>0</v>
      </c>
      <c r="F169" s="22">
        <f>Thyolo!M169+Thyolo!N169+Thyolo!O169</f>
        <v>0</v>
      </c>
      <c r="G169" s="22">
        <f>Muloza!M169+Muloza!N169+Muloza!O169</f>
        <v>0</v>
      </c>
      <c r="H169" s="22">
        <f>MUST!M169+MUST!N169+MUST!O169</f>
        <v>0</v>
      </c>
      <c r="I169" s="22">
        <f>Phalombe!M169+Phalombe!N169+Phalombe!O169</f>
        <v>0</v>
      </c>
      <c r="J169" s="22">
        <f>Mikolongwe!M169+Mikolongwe!N169+Mikolongwe!O169</f>
        <v>0</v>
      </c>
      <c r="K169" s="22">
        <f>Migowi!M169+Migowi!N169+Migowi!O169</f>
        <v>0</v>
      </c>
      <c r="L169" s="22">
        <f>Nkando!N169+Nkando!O169+Nkando!P169</f>
        <v>0</v>
      </c>
      <c r="M169" s="16">
        <f t="shared" si="99"/>
        <v>0</v>
      </c>
    </row>
    <row r="170" spans="1:13" ht="15.75" x14ac:dyDescent="0.25">
      <c r="A170" s="463"/>
      <c r="B170" s="17" t="s">
        <v>71</v>
      </c>
      <c r="C170" s="4" t="s">
        <v>57</v>
      </c>
      <c r="D170" s="22">
        <f>Mulanje!M170+Mulanje!N170+Mulanje!O170</f>
        <v>0</v>
      </c>
      <c r="E170" s="22">
        <f>Luchenza!M170+Luchenza!N170+Luchenza!O170</f>
        <v>0</v>
      </c>
      <c r="F170" s="22">
        <f>Thyolo!M170+Thyolo!N170+Thyolo!O170</f>
        <v>0</v>
      </c>
      <c r="G170" s="22">
        <f>Muloza!M170+Muloza!N170+Muloza!O170</f>
        <v>0</v>
      </c>
      <c r="H170" s="22">
        <f>MUST!M170+MUST!N170+MUST!O170</f>
        <v>0</v>
      </c>
      <c r="I170" s="22">
        <f>Phalombe!M170+Phalombe!N170+Phalombe!O170</f>
        <v>0</v>
      </c>
      <c r="J170" s="22">
        <f>Mikolongwe!M170+Mikolongwe!N170+Mikolongwe!O170</f>
        <v>0</v>
      </c>
      <c r="K170" s="22">
        <f>Migowi!M170+Migowi!N170+Migowi!O170</f>
        <v>0</v>
      </c>
      <c r="L170" s="22">
        <f>Nkando!N170+Nkando!O170+Nkando!P170</f>
        <v>0</v>
      </c>
      <c r="M170" s="16">
        <f t="shared" si="99"/>
        <v>0</v>
      </c>
    </row>
    <row r="171" spans="1:13" ht="15.75" x14ac:dyDescent="0.25">
      <c r="A171" s="463"/>
      <c r="B171" s="17" t="s">
        <v>52</v>
      </c>
      <c r="C171" s="4" t="s">
        <v>57</v>
      </c>
      <c r="D171" s="22">
        <f>Mulanje!M171+Mulanje!N171+Mulanje!O171</f>
        <v>0</v>
      </c>
      <c r="E171" s="22">
        <f>Luchenza!M171+Luchenza!N171+Luchenza!O171</f>
        <v>0</v>
      </c>
      <c r="F171" s="22">
        <f>Thyolo!M171+Thyolo!N171+Thyolo!O171</f>
        <v>0</v>
      </c>
      <c r="G171" s="22">
        <f>Muloza!M171+Muloza!N171+Muloza!O171</f>
        <v>0</v>
      </c>
      <c r="H171" s="22">
        <f>MUST!M171+MUST!N171+MUST!O171</f>
        <v>0</v>
      </c>
      <c r="I171" s="22">
        <f>Phalombe!M171+Phalombe!N171+Phalombe!O171</f>
        <v>0</v>
      </c>
      <c r="J171" s="22">
        <f>Mikolongwe!M171+Mikolongwe!N171+Mikolongwe!O171</f>
        <v>0</v>
      </c>
      <c r="K171" s="22">
        <f>Migowi!M171+Migowi!N171+Migowi!O171</f>
        <v>0</v>
      </c>
      <c r="L171" s="22">
        <f>Nkando!N171+Nkando!O171+Nkando!P171</f>
        <v>0</v>
      </c>
      <c r="M171" s="16">
        <f t="shared" si="99"/>
        <v>0</v>
      </c>
    </row>
    <row r="172" spans="1:13" ht="15.75" x14ac:dyDescent="0.25">
      <c r="A172" s="463"/>
      <c r="B172" s="17" t="s">
        <v>62</v>
      </c>
      <c r="C172" s="4" t="s">
        <v>57</v>
      </c>
      <c r="D172" s="22">
        <f>Mulanje!M172+Mulanje!N172+Mulanje!O172</f>
        <v>0</v>
      </c>
      <c r="E172" s="22">
        <f>Luchenza!M172+Luchenza!N172+Luchenza!O172</f>
        <v>0</v>
      </c>
      <c r="F172" s="22">
        <f>Thyolo!M172+Thyolo!N172+Thyolo!O172</f>
        <v>0</v>
      </c>
      <c r="G172" s="22">
        <f>Muloza!M172+Muloza!N172+Muloza!O172</f>
        <v>0</v>
      </c>
      <c r="H172" s="22">
        <f>MUST!M172+MUST!N172+MUST!O172</f>
        <v>0</v>
      </c>
      <c r="I172" s="22">
        <f>Phalombe!M172+Phalombe!N172+Phalombe!O172</f>
        <v>0</v>
      </c>
      <c r="J172" s="22">
        <f>Mikolongwe!M172+Mikolongwe!N172+Mikolongwe!O172</f>
        <v>0</v>
      </c>
      <c r="K172" s="22">
        <f>Migowi!M172+Migowi!N172+Migowi!O172</f>
        <v>0</v>
      </c>
      <c r="L172" s="22">
        <f>Nkando!N172+Nkando!O172+Nkando!P172</f>
        <v>0</v>
      </c>
      <c r="M172" s="16">
        <f t="shared" si="99"/>
        <v>0</v>
      </c>
    </row>
    <row r="173" spans="1:13" ht="15.75" x14ac:dyDescent="0.25">
      <c r="A173" s="463"/>
      <c r="B173" s="17" t="s">
        <v>61</v>
      </c>
      <c r="C173" s="4" t="s">
        <v>57</v>
      </c>
      <c r="D173" s="22">
        <f>Mulanje!M173+Mulanje!N173+Mulanje!O173</f>
        <v>0</v>
      </c>
      <c r="E173" s="22">
        <f>Luchenza!M173+Luchenza!N173+Luchenza!O173</f>
        <v>0</v>
      </c>
      <c r="F173" s="22">
        <f>Thyolo!M173+Thyolo!N173+Thyolo!O173</f>
        <v>0</v>
      </c>
      <c r="G173" s="22">
        <f>Muloza!M173+Muloza!N173+Muloza!O173</f>
        <v>0</v>
      </c>
      <c r="H173" s="22">
        <f>MUST!M173+MUST!N173+MUST!O173</f>
        <v>0</v>
      </c>
      <c r="I173" s="22">
        <f>Phalombe!M173+Phalombe!N173+Phalombe!O173</f>
        <v>0</v>
      </c>
      <c r="J173" s="22">
        <f>Mikolongwe!M173+Mikolongwe!N173+Mikolongwe!O173</f>
        <v>0</v>
      </c>
      <c r="K173" s="22">
        <f>Migowi!M173+Migowi!N173+Migowi!O173</f>
        <v>0</v>
      </c>
      <c r="L173" s="22">
        <f>Nkando!N173+Nkando!O173+Nkando!P173</f>
        <v>0</v>
      </c>
      <c r="M173" s="16">
        <f t="shared" si="99"/>
        <v>0</v>
      </c>
    </row>
    <row r="174" spans="1:13" ht="15.75" x14ac:dyDescent="0.25">
      <c r="A174" s="463"/>
      <c r="B174" s="17" t="s">
        <v>60</v>
      </c>
      <c r="C174" s="4" t="s">
        <v>57</v>
      </c>
      <c r="D174" s="22">
        <f>Mulanje!M174+Mulanje!N174+Mulanje!O174</f>
        <v>0</v>
      </c>
      <c r="E174" s="22">
        <f>Luchenza!M174+Luchenza!N174+Luchenza!O174</f>
        <v>0</v>
      </c>
      <c r="F174" s="22">
        <f>Thyolo!M174+Thyolo!N174+Thyolo!O174</f>
        <v>0</v>
      </c>
      <c r="G174" s="22">
        <f>Muloza!M174+Muloza!N174+Muloza!O174</f>
        <v>0</v>
      </c>
      <c r="H174" s="22">
        <f>MUST!M174+MUST!N174+MUST!O174</f>
        <v>0</v>
      </c>
      <c r="I174" s="22">
        <f>Phalombe!M174+Phalombe!N174+Phalombe!O174</f>
        <v>0</v>
      </c>
      <c r="J174" s="22">
        <f>Mikolongwe!M174+Mikolongwe!N174+Mikolongwe!O174</f>
        <v>0</v>
      </c>
      <c r="K174" s="22">
        <f>Migowi!M174+Migowi!N174+Migowi!O174</f>
        <v>0</v>
      </c>
      <c r="L174" s="22">
        <f>Nkando!N174+Nkando!O174+Nkando!P174</f>
        <v>0</v>
      </c>
      <c r="M174" s="16">
        <f t="shared" si="99"/>
        <v>0</v>
      </c>
    </row>
    <row r="175" spans="1:13" ht="15.75" x14ac:dyDescent="0.25">
      <c r="A175" s="464"/>
      <c r="B175" s="17" t="s">
        <v>69</v>
      </c>
      <c r="C175" s="4" t="s">
        <v>57</v>
      </c>
      <c r="D175" s="22">
        <f>Mulanje!M175+Mulanje!N175+Mulanje!O175</f>
        <v>0</v>
      </c>
      <c r="E175" s="22">
        <f>Luchenza!M175+Luchenza!N175+Luchenza!O175</f>
        <v>0</v>
      </c>
      <c r="F175" s="22">
        <f>Thyolo!M175+Thyolo!N175+Thyolo!O175</f>
        <v>0</v>
      </c>
      <c r="G175" s="22">
        <f>Muloza!M175+Muloza!N175+Muloza!O175</f>
        <v>0</v>
      </c>
      <c r="H175" s="22">
        <f>MUST!M175+MUST!N175+MUST!O175</f>
        <v>0</v>
      </c>
      <c r="I175" s="22">
        <f>Phalombe!M175+Phalombe!N175+Phalombe!O175</f>
        <v>0</v>
      </c>
      <c r="J175" s="22">
        <f>Mikolongwe!M175+Mikolongwe!N175+Mikolongwe!O175</f>
        <v>0</v>
      </c>
      <c r="K175" s="22">
        <f>Migowi!M175+Migowi!N175+Migowi!O175</f>
        <v>0</v>
      </c>
      <c r="L175" s="22">
        <f>Nkando!N175+Nkando!O175+Nkando!P175</f>
        <v>0</v>
      </c>
      <c r="M175" s="16">
        <f t="shared" si="99"/>
        <v>0</v>
      </c>
    </row>
    <row r="176" spans="1:13" ht="15.75" x14ac:dyDescent="0.25">
      <c r="A176" s="46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75" x14ac:dyDescent="0.25">
      <c r="A177" s="463"/>
      <c r="B177" s="17" t="s">
        <v>60</v>
      </c>
      <c r="C177" s="4" t="s">
        <v>57</v>
      </c>
      <c r="D177" s="22">
        <f>Mulanje!M177+Mulanje!N177+Mulanje!O177</f>
        <v>0</v>
      </c>
      <c r="E177" s="22">
        <f>Luchenza!M177+Luchenza!N177+Luchenza!O177</f>
        <v>0</v>
      </c>
      <c r="F177" s="22">
        <f>Thyolo!M177+Thyolo!N177+Thyolo!O177</f>
        <v>0</v>
      </c>
      <c r="G177" s="22">
        <f>Muloza!M177+Muloza!N177+Muloza!O177</f>
        <v>0</v>
      </c>
      <c r="H177" s="22">
        <f>MUST!M177+MUST!N177+MUST!O177</f>
        <v>0</v>
      </c>
      <c r="I177" s="22">
        <f>Phalombe!M177+Phalombe!N177+Phalombe!O177</f>
        <v>0</v>
      </c>
      <c r="J177" s="22">
        <f>Mikolongwe!M177+Mikolongwe!N177+Mikolongwe!O177</f>
        <v>0</v>
      </c>
      <c r="K177" s="22">
        <f>Migowi!M177+Migowi!N177+Migowi!O177</f>
        <v>0</v>
      </c>
      <c r="L177" s="22">
        <f>Nkando!N177+Nkando!O177+Nkando!P177</f>
        <v>0</v>
      </c>
      <c r="M177" s="16">
        <f t="shared" ref="M177:M182" si="100">SUM(D177:L177)</f>
        <v>0</v>
      </c>
    </row>
    <row r="178" spans="1:13" ht="15.75" x14ac:dyDescent="0.25">
      <c r="A178" s="463"/>
      <c r="B178" s="17" t="s">
        <v>69</v>
      </c>
      <c r="C178" s="4" t="s">
        <v>57</v>
      </c>
      <c r="D178" s="22">
        <f>Mulanje!M178+Mulanje!N178+Mulanje!O178</f>
        <v>0</v>
      </c>
      <c r="E178" s="22">
        <f>Luchenza!M178+Luchenza!N178+Luchenza!O178</f>
        <v>0</v>
      </c>
      <c r="F178" s="22">
        <f>Thyolo!M178+Thyolo!N178+Thyolo!O178</f>
        <v>0</v>
      </c>
      <c r="G178" s="22">
        <f>Muloza!M178+Muloza!N178+Muloza!O178</f>
        <v>0</v>
      </c>
      <c r="H178" s="22">
        <f>MUST!M178+MUST!N178+MUST!O178</f>
        <v>0</v>
      </c>
      <c r="I178" s="22">
        <f>Phalombe!M178+Phalombe!N178+Phalombe!O178</f>
        <v>0</v>
      </c>
      <c r="J178" s="22">
        <f>Mikolongwe!M178+Mikolongwe!N178+Mikolongwe!O178</f>
        <v>0</v>
      </c>
      <c r="K178" s="22">
        <f>Migowi!M178+Migowi!N178+Migowi!O178</f>
        <v>0</v>
      </c>
      <c r="L178" s="22">
        <f>Nkando!N178+Nkando!O178+Nkando!P178</f>
        <v>0</v>
      </c>
      <c r="M178" s="16">
        <f t="shared" si="100"/>
        <v>0</v>
      </c>
    </row>
    <row r="179" spans="1:13" ht="15.75" x14ac:dyDescent="0.25">
      <c r="A179" s="463"/>
      <c r="B179" s="17" t="s">
        <v>68</v>
      </c>
      <c r="C179" s="4" t="s">
        <v>57</v>
      </c>
      <c r="D179" s="22">
        <f>Mulanje!M179+Mulanje!N179+Mulanje!O179</f>
        <v>0</v>
      </c>
      <c r="E179" s="22">
        <f>Luchenza!M179+Luchenza!N179+Luchenza!O179</f>
        <v>0</v>
      </c>
      <c r="F179" s="22">
        <f>Thyolo!M179+Thyolo!N179+Thyolo!O179</f>
        <v>0</v>
      </c>
      <c r="G179" s="22">
        <f>Muloza!M179+Muloza!N179+Muloza!O179</f>
        <v>0</v>
      </c>
      <c r="H179" s="22">
        <f>MUST!M179+MUST!N179+MUST!O179</f>
        <v>0</v>
      </c>
      <c r="I179" s="22">
        <f>Phalombe!M179+Phalombe!N179+Phalombe!O179</f>
        <v>0</v>
      </c>
      <c r="J179" s="22">
        <f>Mikolongwe!M179+Mikolongwe!N179+Mikolongwe!O179</f>
        <v>0</v>
      </c>
      <c r="K179" s="22">
        <f>Migowi!M179+Migowi!N179+Migowi!O179</f>
        <v>0</v>
      </c>
      <c r="L179" s="22">
        <f>Nkando!N179+Nkando!O179+Nkando!P179</f>
        <v>0</v>
      </c>
      <c r="M179" s="16">
        <f t="shared" si="100"/>
        <v>0</v>
      </c>
    </row>
    <row r="180" spans="1:13" ht="15.75" x14ac:dyDescent="0.25">
      <c r="A180" s="463"/>
      <c r="B180" s="17" t="s">
        <v>67</v>
      </c>
      <c r="C180" s="4" t="s">
        <v>57</v>
      </c>
      <c r="D180" s="22">
        <f>Mulanje!M180+Mulanje!N180+Mulanje!O180</f>
        <v>0</v>
      </c>
      <c r="E180" s="22">
        <f>Luchenza!M180+Luchenza!N180+Luchenza!O180</f>
        <v>0</v>
      </c>
      <c r="F180" s="22">
        <f>Thyolo!M180+Thyolo!N180+Thyolo!O180</f>
        <v>0</v>
      </c>
      <c r="G180" s="22">
        <f>Muloza!M180+Muloza!N180+Muloza!O180</f>
        <v>0</v>
      </c>
      <c r="H180" s="22">
        <f>MUST!M180+MUST!N180+MUST!O180</f>
        <v>0</v>
      </c>
      <c r="I180" s="22">
        <f>Phalombe!M180+Phalombe!N180+Phalombe!O180</f>
        <v>0</v>
      </c>
      <c r="J180" s="22">
        <f>Mikolongwe!M180+Mikolongwe!N180+Mikolongwe!O180</f>
        <v>0</v>
      </c>
      <c r="K180" s="22">
        <f>Migowi!M180+Migowi!N180+Migowi!O180</f>
        <v>0</v>
      </c>
      <c r="L180" s="22">
        <f>Nkando!N180+Nkando!O180+Nkando!P180</f>
        <v>0</v>
      </c>
      <c r="M180" s="16">
        <f t="shared" si="100"/>
        <v>0</v>
      </c>
    </row>
    <row r="181" spans="1:13" ht="15.75" x14ac:dyDescent="0.25">
      <c r="A181" s="463"/>
      <c r="B181" s="17" t="s">
        <v>66</v>
      </c>
      <c r="C181" s="4" t="s">
        <v>57</v>
      </c>
      <c r="D181" s="22">
        <f>Mulanje!M181+Mulanje!N181+Mulanje!O181</f>
        <v>0</v>
      </c>
      <c r="E181" s="22">
        <f>Luchenza!M181+Luchenza!N181+Luchenza!O181</f>
        <v>0</v>
      </c>
      <c r="F181" s="22">
        <f>Thyolo!M181+Thyolo!N181+Thyolo!O181</f>
        <v>0</v>
      </c>
      <c r="G181" s="22">
        <f>Muloza!M181+Muloza!N181+Muloza!O181</f>
        <v>0</v>
      </c>
      <c r="H181" s="22">
        <f>MUST!M181+MUST!N181+MUST!O181</f>
        <v>0</v>
      </c>
      <c r="I181" s="22">
        <f>Phalombe!M181+Phalombe!N181+Phalombe!O181</f>
        <v>0</v>
      </c>
      <c r="J181" s="22">
        <f>Mikolongwe!M181+Mikolongwe!N181+Mikolongwe!O181</f>
        <v>0</v>
      </c>
      <c r="K181" s="22">
        <f>Migowi!M181+Migowi!N181+Migowi!O181</f>
        <v>0</v>
      </c>
      <c r="L181" s="22">
        <f>Nkando!N181+Nkando!O181+Nkando!P181</f>
        <v>0</v>
      </c>
      <c r="M181" s="16">
        <f t="shared" si="100"/>
        <v>0</v>
      </c>
    </row>
    <row r="182" spans="1:13" ht="15.75" x14ac:dyDescent="0.25">
      <c r="A182" s="464"/>
      <c r="B182" s="17" t="s">
        <v>65</v>
      </c>
      <c r="C182" s="4" t="s">
        <v>57</v>
      </c>
      <c r="D182" s="22">
        <f>Mulanje!M182+Mulanje!N182+Mulanje!O182</f>
        <v>0</v>
      </c>
      <c r="E182" s="22">
        <f>Luchenza!M182+Luchenza!N182+Luchenza!O182</f>
        <v>0</v>
      </c>
      <c r="F182" s="22">
        <f>Thyolo!M182+Thyolo!N182+Thyolo!O182</f>
        <v>0</v>
      </c>
      <c r="G182" s="22">
        <f>Muloza!M182+Muloza!N182+Muloza!O182</f>
        <v>0</v>
      </c>
      <c r="H182" s="22">
        <f>MUST!M182+MUST!N182+MUST!O182</f>
        <v>0</v>
      </c>
      <c r="I182" s="22">
        <f>Phalombe!M182+Phalombe!N182+Phalombe!O182</f>
        <v>0</v>
      </c>
      <c r="J182" s="22">
        <f>Mikolongwe!M182+Mikolongwe!N182+Mikolongwe!O182</f>
        <v>0</v>
      </c>
      <c r="K182" s="22">
        <f>Migowi!M182+Migowi!N182+Migowi!O182</f>
        <v>0</v>
      </c>
      <c r="L182" s="22">
        <f>Nkando!N182+Nkando!O182+Nkando!P182</f>
        <v>0</v>
      </c>
      <c r="M182" s="16">
        <f t="shared" si="100"/>
        <v>0</v>
      </c>
    </row>
    <row r="183" spans="1:13" ht="15.75" x14ac:dyDescent="0.25">
      <c r="A183" s="46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75" x14ac:dyDescent="0.25">
      <c r="A184" s="463"/>
      <c r="B184" s="17" t="s">
        <v>73</v>
      </c>
      <c r="C184" s="4"/>
      <c r="D184" s="22">
        <f>Mulanje!M184+Mulanje!N184+Mulanje!O184</f>
        <v>0</v>
      </c>
      <c r="E184" s="22">
        <f>Luchenza!M184+Luchenza!N184+Luchenza!O184</f>
        <v>0</v>
      </c>
      <c r="F184" s="22">
        <f>Thyolo!M184+Thyolo!N184+Thyolo!O184</f>
        <v>0</v>
      </c>
      <c r="G184" s="22">
        <f>Muloza!M184+Muloza!N184+Muloza!O184</f>
        <v>0</v>
      </c>
      <c r="H184" s="22">
        <f>MUST!M184+MUST!N184+MUST!O184</f>
        <v>0</v>
      </c>
      <c r="I184" s="22">
        <f>Phalombe!M184+Phalombe!N184+Phalombe!O184</f>
        <v>0</v>
      </c>
      <c r="J184" s="22">
        <f>Mikolongwe!M184+Mikolongwe!N184+Mikolongwe!O184</f>
        <v>0</v>
      </c>
      <c r="K184" s="22">
        <f>Migowi!M184+Migowi!N184+Migowi!O184</f>
        <v>0</v>
      </c>
      <c r="L184" s="22">
        <f>Nkando!N184+Nkando!O184+Nkando!P184</f>
        <v>0</v>
      </c>
      <c r="M184" s="16">
        <f>SUM(D184:L184)</f>
        <v>0</v>
      </c>
    </row>
    <row r="185" spans="1:13" ht="15.75" x14ac:dyDescent="0.25">
      <c r="A185" s="463"/>
      <c r="B185" s="17" t="s">
        <v>72</v>
      </c>
      <c r="C185" s="4"/>
      <c r="D185" s="22">
        <f>Mulanje!M185+Mulanje!N185+Mulanje!O185</f>
        <v>0</v>
      </c>
      <c r="E185" s="22">
        <f>Luchenza!M185+Luchenza!N185+Luchenza!O185</f>
        <v>0</v>
      </c>
      <c r="F185" s="22">
        <f>Thyolo!M185+Thyolo!N185+Thyolo!O185</f>
        <v>0</v>
      </c>
      <c r="G185" s="22">
        <f>Muloza!M185+Muloza!N185+Muloza!O185</f>
        <v>0</v>
      </c>
      <c r="H185" s="22">
        <f>MUST!M185+MUST!N185+MUST!O185</f>
        <v>0</v>
      </c>
      <c r="I185" s="22">
        <f>Phalombe!M185+Phalombe!N185+Phalombe!O185</f>
        <v>0</v>
      </c>
      <c r="J185" s="22">
        <f>Mikolongwe!M185+Mikolongwe!N185+Mikolongwe!O185</f>
        <v>0</v>
      </c>
      <c r="K185" s="22">
        <f>Migowi!M185+Migowi!N185+Migowi!O185</f>
        <v>0</v>
      </c>
      <c r="L185" s="22">
        <f>Nkando!N185+Nkando!O185+Nkando!P185</f>
        <v>0</v>
      </c>
      <c r="M185" s="16">
        <f>SUM(D185:L185)</f>
        <v>0</v>
      </c>
    </row>
    <row r="186" spans="1:13" ht="15.75" x14ac:dyDescent="0.25">
      <c r="A186" s="463"/>
      <c r="B186" s="17" t="s">
        <v>53</v>
      </c>
      <c r="C186" s="4"/>
      <c r="D186" s="22">
        <f>Mulanje!M186+Mulanje!N186+Mulanje!O186</f>
        <v>0</v>
      </c>
      <c r="E186" s="22">
        <f>Luchenza!M186+Luchenza!N186+Luchenza!O186</f>
        <v>0</v>
      </c>
      <c r="F186" s="22">
        <f>Thyolo!M186+Thyolo!N186+Thyolo!O186</f>
        <v>0</v>
      </c>
      <c r="G186" s="22">
        <f>Muloza!M186+Muloza!N186+Muloza!O186</f>
        <v>0</v>
      </c>
      <c r="H186" s="22">
        <f>MUST!M186+MUST!N186+MUST!O186</f>
        <v>0</v>
      </c>
      <c r="I186" s="22">
        <f>Phalombe!M186+Phalombe!N186+Phalombe!O186</f>
        <v>0</v>
      </c>
      <c r="J186" s="22">
        <f>Mikolongwe!M186+Mikolongwe!N186+Mikolongwe!O186</f>
        <v>0</v>
      </c>
      <c r="K186" s="22">
        <f>Migowi!M186+Migowi!N186+Migowi!O186</f>
        <v>0</v>
      </c>
      <c r="L186" s="22">
        <f>Nkando!N186+Nkando!O186+Nkando!P186</f>
        <v>0</v>
      </c>
      <c r="M186" s="16">
        <f>SUM(D186:L186)</f>
        <v>0</v>
      </c>
    </row>
    <row r="187" spans="1:13" ht="15.75" x14ac:dyDescent="0.25">
      <c r="A187" s="464"/>
      <c r="B187" s="17" t="s">
        <v>52</v>
      </c>
      <c r="C187" s="4"/>
      <c r="D187" s="22">
        <f>Mulanje!M187+Mulanje!N187+Mulanje!O187</f>
        <v>0</v>
      </c>
      <c r="E187" s="22">
        <f>Luchenza!M187+Luchenza!N187+Luchenza!O187</f>
        <v>0</v>
      </c>
      <c r="F187" s="22">
        <f>Thyolo!M187+Thyolo!N187+Thyolo!O187</f>
        <v>0</v>
      </c>
      <c r="G187" s="22">
        <f>Muloza!M187+Muloza!N187+Muloza!O187</f>
        <v>0</v>
      </c>
      <c r="H187" s="22">
        <f>MUST!M187+MUST!N187+MUST!O187</f>
        <v>0</v>
      </c>
      <c r="I187" s="22">
        <f>Phalombe!M187+Phalombe!N187+Phalombe!O187</f>
        <v>0</v>
      </c>
      <c r="J187" s="22">
        <f>Mikolongwe!M187+Mikolongwe!N187+Mikolongwe!O187</f>
        <v>0</v>
      </c>
      <c r="K187" s="22">
        <f>Migowi!M187+Migowi!N187+Migowi!O187</f>
        <v>0</v>
      </c>
      <c r="L187" s="22">
        <f>Nkando!N187+Nkando!O187+Nkando!P187</f>
        <v>0</v>
      </c>
      <c r="M187" s="16">
        <f>SUM(D187:L187)</f>
        <v>0</v>
      </c>
    </row>
    <row r="188" spans="1:13" ht="15.75" x14ac:dyDescent="0.25">
      <c r="A188" s="46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75" x14ac:dyDescent="0.25">
      <c r="A189" s="463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3"/>
      <c r="K189" s="3"/>
      <c r="L189" s="3"/>
      <c r="M189" s="16">
        <f>SUM(D189:L189)</f>
        <v>0</v>
      </c>
    </row>
    <row r="190" spans="1:13" ht="15.75" x14ac:dyDescent="0.25">
      <c r="A190" s="463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3"/>
      <c r="K190" s="3"/>
      <c r="L190" s="3"/>
      <c r="M190" s="16">
        <f>SUM(D190:L190)</f>
        <v>0</v>
      </c>
    </row>
    <row r="191" spans="1:13" ht="15.75" x14ac:dyDescent="0.25">
      <c r="A191" s="463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3"/>
      <c r="K191" s="3"/>
      <c r="L191" s="3"/>
      <c r="M191" s="16">
        <f>SUM(D191:L191)</f>
        <v>0</v>
      </c>
    </row>
    <row r="192" spans="1:13" ht="15.75" x14ac:dyDescent="0.25">
      <c r="A192" s="464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3"/>
      <c r="K192" s="3"/>
      <c r="L192" s="3"/>
      <c r="M192" s="16">
        <f>SUM(D192:L192)</f>
        <v>0</v>
      </c>
    </row>
    <row r="193" spans="1:13" ht="15.75" x14ac:dyDescent="0.25">
      <c r="A193" s="465" t="s">
        <v>59</v>
      </c>
      <c r="B193" s="466"/>
      <c r="C193" s="4"/>
      <c r="D193" s="9">
        <f>SUM(D153:D192)</f>
        <v>0</v>
      </c>
      <c r="E193" s="9">
        <f t="shared" ref="E193:M193" si="101">SUM(E153:E192)</f>
        <v>0</v>
      </c>
      <c r="F193" s="9">
        <f t="shared" si="101"/>
        <v>0</v>
      </c>
      <c r="G193" s="9">
        <f t="shared" si="101"/>
        <v>0</v>
      </c>
      <c r="H193" s="9">
        <f t="shared" si="101"/>
        <v>0</v>
      </c>
      <c r="I193" s="9">
        <f t="shared" si="101"/>
        <v>0</v>
      </c>
      <c r="J193" s="9">
        <f t="shared" si="101"/>
        <v>0</v>
      </c>
      <c r="K193" s="9">
        <f t="shared" si="101"/>
        <v>0</v>
      </c>
      <c r="L193" s="9">
        <f t="shared" ref="L193" si="102">SUM(L153:L192)</f>
        <v>9</v>
      </c>
      <c r="M193" s="92">
        <f t="shared" si="101"/>
        <v>9</v>
      </c>
    </row>
    <row r="194" spans="1:13" ht="15.75" x14ac:dyDescent="0.25">
      <c r="A194" s="467" t="s">
        <v>58</v>
      </c>
      <c r="B194" s="468"/>
      <c r="C194" s="4" t="s">
        <v>57</v>
      </c>
      <c r="D194" s="22">
        <f>Mulanje!M194+Mulanje!N194+Mulanje!O194</f>
        <v>0</v>
      </c>
      <c r="E194" s="22">
        <f>Luchenza!M194+Luchenza!N194+Luchenza!O194</f>
        <v>0</v>
      </c>
      <c r="F194" s="22">
        <f>Thyolo!M194+Thyolo!N194+Thyolo!O194</f>
        <v>0</v>
      </c>
      <c r="G194" s="22">
        <f>Muloza!M194+Muloza!N194+Muloza!O194</f>
        <v>0</v>
      </c>
      <c r="H194" s="22">
        <f>MUST!M194+MUST!N194+MUST!O194</f>
        <v>0</v>
      </c>
      <c r="I194" s="22">
        <f>Phalombe!M194+Phalombe!N194+Phalombe!O194</f>
        <v>0</v>
      </c>
      <c r="J194" s="22">
        <f>Mikolongwe!M194+Mikolongwe!N194+Mikolongwe!O194</f>
        <v>0</v>
      </c>
      <c r="K194" s="22">
        <f>Migowi!M194+Migowi!N194+Migowi!O194</f>
        <v>0</v>
      </c>
      <c r="L194" s="22">
        <f>Nkando!N194+Nkando!O194+Nkando!P194</f>
        <v>0</v>
      </c>
      <c r="M194" s="8">
        <f>SUM(D194:L194)</f>
        <v>0</v>
      </c>
    </row>
    <row r="195" spans="1:13" ht="15.75" x14ac:dyDescent="0.25">
      <c r="A195" s="469"/>
      <c r="B195" s="470"/>
      <c r="C195" s="14" t="s">
        <v>55</v>
      </c>
      <c r="D195" s="22">
        <f>Mulanje!M195+Mulanje!N195+Mulanje!O195</f>
        <v>0</v>
      </c>
      <c r="E195" s="22">
        <f>Luchenza!M195+Luchenza!N195+Luchenza!O195</f>
        <v>0</v>
      </c>
      <c r="F195" s="22">
        <f>Thyolo!M195+Thyolo!N195+Thyolo!O195</f>
        <v>0</v>
      </c>
      <c r="G195" s="22">
        <f>Muloza!M195+Muloza!N195+Muloza!O195</f>
        <v>0</v>
      </c>
      <c r="H195" s="22">
        <f>MUST!M195+MUST!N195+MUST!O195</f>
        <v>0</v>
      </c>
      <c r="I195" s="22">
        <f>Phalombe!M195+Phalombe!N195+Phalombe!O195</f>
        <v>0</v>
      </c>
      <c r="J195" s="22">
        <f>Mikolongwe!M195+Mikolongwe!N195+Mikolongwe!O195</f>
        <v>0</v>
      </c>
      <c r="K195" s="22">
        <f>Migowi!M195+Migowi!N195+Migowi!O195</f>
        <v>0</v>
      </c>
      <c r="L195" s="22">
        <f>Nkando!N195+Nkando!O195+Nkando!P195</f>
        <v>0</v>
      </c>
      <c r="M195" s="8">
        <f>SUM(D195:L195)</f>
        <v>0</v>
      </c>
    </row>
    <row r="196" spans="1:13" ht="15.75" x14ac:dyDescent="0.25">
      <c r="A196" s="75" t="s">
        <v>204</v>
      </c>
      <c r="B196" s="76"/>
      <c r="C196" s="14" t="s">
        <v>55</v>
      </c>
      <c r="D196" s="22">
        <f>Mulanje!M196+Mulanje!N196+Mulanje!O196</f>
        <v>0</v>
      </c>
      <c r="E196" s="22">
        <f>Luchenza!M196+Luchenza!N196+Luchenza!O196</f>
        <v>0</v>
      </c>
      <c r="F196" s="22">
        <f>Thyolo!M196+Thyolo!N196+Thyolo!O196</f>
        <v>0</v>
      </c>
      <c r="G196" s="22">
        <f>Muloza!M196+Muloza!N196+Muloza!O196</f>
        <v>0</v>
      </c>
      <c r="H196" s="22">
        <f>MUST!M196+MUST!N196+MUST!O196</f>
        <v>0</v>
      </c>
      <c r="I196" s="22">
        <f>Phalombe!M196+Phalombe!N196+Phalombe!O196</f>
        <v>0</v>
      </c>
      <c r="J196" s="22">
        <f>Mikolongwe!M196+Mikolongwe!N196+Mikolongwe!O196</f>
        <v>0</v>
      </c>
      <c r="K196" s="22">
        <f>Migowi!M196+Migowi!N196+Migowi!O196</f>
        <v>0</v>
      </c>
      <c r="L196" s="22">
        <f>Nkando!N196+Nkando!O196+Nkando!P196</f>
        <v>2.8333333333333335</v>
      </c>
      <c r="M196" s="8"/>
    </row>
    <row r="197" spans="1:13" ht="15.75" x14ac:dyDescent="0.25">
      <c r="A197" s="445" t="s">
        <v>56</v>
      </c>
      <c r="B197" s="446"/>
      <c r="C197" s="14" t="s">
        <v>55</v>
      </c>
      <c r="D197" s="22">
        <f>Mulanje!M197+Mulanje!N197+Mulanje!O197</f>
        <v>0</v>
      </c>
      <c r="E197" s="22">
        <f>Luchenza!M197+Luchenza!N197+Luchenza!O197</f>
        <v>0</v>
      </c>
      <c r="F197" s="22">
        <f>Thyolo!M197+Thyolo!N197+Thyolo!O197</f>
        <v>0</v>
      </c>
      <c r="G197" s="22">
        <f>Muloza!M197+Muloza!N197+Muloza!O197</f>
        <v>0</v>
      </c>
      <c r="H197" s="22">
        <f>MUST!M197+MUST!N197+MUST!O197</f>
        <v>0</v>
      </c>
      <c r="I197" s="22">
        <f>Phalombe!M197+Phalombe!N197+Phalombe!O197</f>
        <v>0</v>
      </c>
      <c r="J197" s="22">
        <f>Mikolongwe!M197+Mikolongwe!N197+Mikolongwe!O197</f>
        <v>0</v>
      </c>
      <c r="K197" s="22">
        <f>Migowi!M197+Migowi!N197+Migowi!O197</f>
        <v>0</v>
      </c>
      <c r="L197" s="22">
        <f>Nkando!N197+Nkando!O197+Nkando!P197</f>
        <v>0</v>
      </c>
      <c r="M197" s="8">
        <f>SUM(D197:L197)</f>
        <v>0</v>
      </c>
    </row>
    <row r="198" spans="1:13" x14ac:dyDescent="0.25">
      <c r="A198" s="442" t="s">
        <v>205</v>
      </c>
      <c r="B198" s="443"/>
      <c r="C198" s="443"/>
      <c r="D198" s="443"/>
      <c r="E198" s="443"/>
      <c r="F198" s="443"/>
      <c r="G198" s="443"/>
      <c r="H198" s="443"/>
      <c r="I198" s="443"/>
      <c r="J198" s="443"/>
      <c r="K198" s="443"/>
      <c r="L198" s="443"/>
      <c r="M198" s="444"/>
    </row>
    <row r="199" spans="1:13" ht="15.75" x14ac:dyDescent="0.25">
      <c r="A199" s="467" t="s">
        <v>54</v>
      </c>
      <c r="B199" s="69" t="s">
        <v>53</v>
      </c>
      <c r="C199" s="4" t="s">
        <v>47</v>
      </c>
      <c r="D199" s="22">
        <f>Mulanje!M199+Mulanje!N199+Mulanje!O199</f>
        <v>0</v>
      </c>
      <c r="E199" s="22">
        <f>Luchenza!M199+Luchenza!N199+Luchenza!O199</f>
        <v>0</v>
      </c>
      <c r="F199" s="22">
        <f>Thyolo!M199+Thyolo!N199+Thyolo!O199</f>
        <v>0</v>
      </c>
      <c r="G199" s="22">
        <f>Muloza!M199+Muloza!N199+Muloza!O199</f>
        <v>0</v>
      </c>
      <c r="H199" s="22">
        <f>MUST!M199+MUST!N199+MUST!O199</f>
        <v>0</v>
      </c>
      <c r="I199" s="22">
        <f>Phalombe!M199+Phalombe!N199+Phalombe!O199</f>
        <v>0</v>
      </c>
      <c r="J199" s="22">
        <f>Mikolongwe!M199+Mikolongwe!N199+Mikolongwe!O199</f>
        <v>0</v>
      </c>
      <c r="K199" s="22">
        <f>Migowi!M199+Migowi!N199+Migowi!O199</f>
        <v>0</v>
      </c>
      <c r="L199" s="22">
        <f>Nkando!N199+Nkando!O199+Nkando!P199</f>
        <v>0</v>
      </c>
      <c r="M199" s="8">
        <f t="shared" ref="M199:M204" si="103">SUM(D199:L199)</f>
        <v>0</v>
      </c>
    </row>
    <row r="200" spans="1:13" ht="15.75" x14ac:dyDescent="0.25">
      <c r="A200" s="471"/>
      <c r="B200" s="69" t="s">
        <v>52</v>
      </c>
      <c r="C200" s="4" t="s">
        <v>47</v>
      </c>
      <c r="D200" s="22">
        <f>Mulanje!M200+Mulanje!N200+Mulanje!O200</f>
        <v>0</v>
      </c>
      <c r="E200" s="22">
        <f>Luchenza!M200+Luchenza!N200+Luchenza!O200</f>
        <v>0</v>
      </c>
      <c r="F200" s="22">
        <f>Thyolo!M200+Thyolo!N200+Thyolo!O200</f>
        <v>0</v>
      </c>
      <c r="G200" s="22">
        <f>Muloza!M200+Muloza!N200+Muloza!O200</f>
        <v>0</v>
      </c>
      <c r="H200" s="22">
        <f>MUST!M200+MUST!N200+MUST!O200</f>
        <v>0</v>
      </c>
      <c r="I200" s="22">
        <f>Phalombe!M200+Phalombe!N200+Phalombe!O200</f>
        <v>0</v>
      </c>
      <c r="J200" s="22">
        <f>Mikolongwe!M200+Mikolongwe!N200+Mikolongwe!O200</f>
        <v>0</v>
      </c>
      <c r="K200" s="22">
        <f>Migowi!M200+Migowi!N200+Migowi!O200</f>
        <v>0</v>
      </c>
      <c r="L200" s="22">
        <f>Nkando!N200+Nkando!O200+Nkando!P200</f>
        <v>0</v>
      </c>
      <c r="M200" s="8">
        <f t="shared" si="103"/>
        <v>0</v>
      </c>
    </row>
    <row r="201" spans="1:13" ht="15.75" x14ac:dyDescent="0.25">
      <c r="A201" s="471"/>
      <c r="B201" s="69" t="s">
        <v>51</v>
      </c>
      <c r="C201" s="4" t="s">
        <v>47</v>
      </c>
      <c r="D201" s="22">
        <f>Mulanje!M201+Mulanje!N201+Mulanje!O201</f>
        <v>0</v>
      </c>
      <c r="E201" s="22">
        <f>Luchenza!M201+Luchenza!N201+Luchenza!O201</f>
        <v>0</v>
      </c>
      <c r="F201" s="22">
        <f>Thyolo!M201+Thyolo!N201+Thyolo!O201</f>
        <v>0</v>
      </c>
      <c r="G201" s="22">
        <f>Muloza!M201+Muloza!N201+Muloza!O201</f>
        <v>0</v>
      </c>
      <c r="H201" s="22">
        <f>MUST!M201+MUST!N201+MUST!O201</f>
        <v>0</v>
      </c>
      <c r="I201" s="22">
        <f>Phalombe!M201+Phalombe!N201+Phalombe!O201</f>
        <v>0</v>
      </c>
      <c r="J201" s="22">
        <f>Mikolongwe!M201+Mikolongwe!N201+Mikolongwe!O201</f>
        <v>0</v>
      </c>
      <c r="K201" s="22">
        <f>Migowi!M201+Migowi!N201+Migowi!O201</f>
        <v>0</v>
      </c>
      <c r="L201" s="22">
        <f>Nkando!N201+Nkando!O201+Nkando!P201</f>
        <v>0</v>
      </c>
      <c r="M201" s="8">
        <f t="shared" si="103"/>
        <v>0</v>
      </c>
    </row>
    <row r="202" spans="1:13" ht="15.75" x14ac:dyDescent="0.25">
      <c r="A202" s="471"/>
      <c r="B202" s="69" t="s">
        <v>50</v>
      </c>
      <c r="C202" s="4" t="s">
        <v>47</v>
      </c>
      <c r="D202" s="22">
        <f>Mulanje!M202+Mulanje!N202+Mulanje!O202</f>
        <v>0</v>
      </c>
      <c r="E202" s="22">
        <f>Luchenza!M202+Luchenza!N202+Luchenza!O202</f>
        <v>0</v>
      </c>
      <c r="F202" s="22">
        <f>Thyolo!M202+Thyolo!N202+Thyolo!O202</f>
        <v>0</v>
      </c>
      <c r="G202" s="22">
        <f>Muloza!M202+Muloza!N202+Muloza!O202</f>
        <v>0</v>
      </c>
      <c r="H202" s="22">
        <f>MUST!M202+MUST!N202+MUST!O202</f>
        <v>0</v>
      </c>
      <c r="I202" s="22">
        <f>Phalombe!M202+Phalombe!N202+Phalombe!O202</f>
        <v>0</v>
      </c>
      <c r="J202" s="22">
        <f>Mikolongwe!M202+Mikolongwe!N202+Mikolongwe!O202</f>
        <v>0</v>
      </c>
      <c r="K202" s="22">
        <f>Migowi!M202+Migowi!N202+Migowi!O202</f>
        <v>0</v>
      </c>
      <c r="L202" s="22">
        <f>Nkando!N202+Nkando!O202+Nkando!P202</f>
        <v>0</v>
      </c>
      <c r="M202" s="8">
        <f t="shared" si="103"/>
        <v>0</v>
      </c>
    </row>
    <row r="203" spans="1:13" ht="15.75" x14ac:dyDescent="0.25">
      <c r="A203" s="469"/>
      <c r="B203" s="69" t="s">
        <v>49</v>
      </c>
      <c r="C203" s="4" t="s">
        <v>47</v>
      </c>
      <c r="D203" s="22">
        <f>Mulanje!M203+Mulanje!N203+Mulanje!O203</f>
        <v>0</v>
      </c>
      <c r="E203" s="22">
        <f>Luchenza!M203+Luchenza!N203+Luchenza!O203</f>
        <v>0</v>
      </c>
      <c r="F203" s="22">
        <f>Thyolo!M203+Thyolo!N203+Thyolo!O203</f>
        <v>0</v>
      </c>
      <c r="G203" s="22">
        <f>Muloza!M203+Muloza!N203+Muloza!O203</f>
        <v>0</v>
      </c>
      <c r="H203" s="22">
        <f>MUST!M203+MUST!N203+MUST!O203</f>
        <v>0</v>
      </c>
      <c r="I203" s="22">
        <f>Phalombe!M203+Phalombe!N203+Phalombe!O203</f>
        <v>0</v>
      </c>
      <c r="J203" s="22">
        <f>Mikolongwe!M203+Mikolongwe!N203+Mikolongwe!O203</f>
        <v>0</v>
      </c>
      <c r="K203" s="22">
        <f>Migowi!M203+Migowi!N203+Migowi!O203</f>
        <v>0</v>
      </c>
      <c r="L203" s="22">
        <f>Nkando!N203+Nkando!O203+Nkando!P203</f>
        <v>0</v>
      </c>
      <c r="M203" s="8">
        <f t="shared" si="103"/>
        <v>0</v>
      </c>
    </row>
    <row r="204" spans="1:13" ht="15.75" x14ac:dyDescent="0.25">
      <c r="A204" s="73" t="s">
        <v>48</v>
      </c>
      <c r="B204" s="69"/>
      <c r="C204" s="4" t="s">
        <v>47</v>
      </c>
      <c r="D204" s="13">
        <f t="shared" ref="D204:K204" si="104">SUM(D199:D203)</f>
        <v>0</v>
      </c>
      <c r="E204" s="13">
        <f t="shared" si="104"/>
        <v>0</v>
      </c>
      <c r="F204" s="13">
        <f t="shared" si="104"/>
        <v>0</v>
      </c>
      <c r="G204" s="13">
        <f t="shared" si="104"/>
        <v>0</v>
      </c>
      <c r="H204" s="13">
        <f t="shared" si="104"/>
        <v>0</v>
      </c>
      <c r="I204" s="13">
        <f t="shared" si="104"/>
        <v>0</v>
      </c>
      <c r="J204" s="13">
        <f t="shared" si="104"/>
        <v>0</v>
      </c>
      <c r="K204" s="13">
        <f t="shared" si="104"/>
        <v>0</v>
      </c>
      <c r="L204" s="13">
        <f t="shared" ref="L204" si="105">SUM(L199:L203)</f>
        <v>0</v>
      </c>
      <c r="M204" s="100">
        <f t="shared" si="103"/>
        <v>0</v>
      </c>
    </row>
    <row r="205" spans="1:13" x14ac:dyDescent="0.25">
      <c r="A205" s="442" t="s">
        <v>46</v>
      </c>
      <c r="B205" s="443"/>
      <c r="C205" s="443"/>
      <c r="D205" s="443"/>
      <c r="E205" s="443"/>
      <c r="F205" s="443"/>
      <c r="G205" s="443"/>
      <c r="H205" s="443"/>
      <c r="I205" s="443"/>
      <c r="J205" s="443"/>
      <c r="K205" s="443"/>
      <c r="L205" s="443"/>
      <c r="M205" s="444"/>
    </row>
    <row r="206" spans="1:13" ht="15.75" x14ac:dyDescent="0.25">
      <c r="A206" s="445" t="s">
        <v>43</v>
      </c>
      <c r="B206" s="446"/>
      <c r="C206" s="4" t="s">
        <v>31</v>
      </c>
      <c r="D206" s="13">
        <f>Mulanje!M206+Mulanje!N206+Mulanje!O206</f>
        <v>0</v>
      </c>
      <c r="E206" s="13">
        <f>Luchenza!M206+Luchenza!N206+Luchenza!O206</f>
        <v>0</v>
      </c>
      <c r="F206" s="13">
        <f>Thyolo!M206+Thyolo!N206+Thyolo!O206</f>
        <v>0</v>
      </c>
      <c r="G206" s="13">
        <f>Muloza!M206+Muloza!N206+Muloza!O206</f>
        <v>0</v>
      </c>
      <c r="H206" s="13">
        <f>MUST!M206+MUST!N206+MUST!O206</f>
        <v>0</v>
      </c>
      <c r="I206" s="13">
        <f>Phalombe!M206+Phalombe!N206+Phalombe!O206</f>
        <v>0</v>
      </c>
      <c r="J206" s="13">
        <f>Mikolongwe!M206+Mikolongwe!N206+Mikolongwe!O206</f>
        <v>0</v>
      </c>
      <c r="K206" s="13">
        <f>Migowi!M206+Migowi!N206+Migowi!O206</f>
        <v>0</v>
      </c>
      <c r="L206" s="13">
        <f>Nkando!N206+Nkando!O206+Nkando!P206</f>
        <v>0</v>
      </c>
      <c r="M206" s="8">
        <f>SUM(D206:L206)</f>
        <v>0</v>
      </c>
    </row>
    <row r="207" spans="1:13" ht="15.75" x14ac:dyDescent="0.25">
      <c r="A207" s="445" t="s">
        <v>42</v>
      </c>
      <c r="B207" s="446"/>
      <c r="C207" s="4" t="s">
        <v>31</v>
      </c>
      <c r="D207" s="13">
        <f>Mulanje!M207+Mulanje!N207+Mulanje!O207</f>
        <v>0</v>
      </c>
      <c r="E207" s="13">
        <f>Luchenza!M207+Luchenza!N207+Luchenza!O207</f>
        <v>0</v>
      </c>
      <c r="F207" s="13">
        <f>Thyolo!M207+Thyolo!N207+Thyolo!O207</f>
        <v>0</v>
      </c>
      <c r="G207" s="13">
        <f>Muloza!M207+Muloza!N207+Muloza!O207</f>
        <v>0</v>
      </c>
      <c r="H207" s="13">
        <f>MUST!M207+MUST!N207+MUST!O207</f>
        <v>0</v>
      </c>
      <c r="I207" s="13">
        <f>Phalombe!M207+Phalombe!N207+Phalombe!O207</f>
        <v>0</v>
      </c>
      <c r="J207" s="13">
        <f>Mikolongwe!M207+Mikolongwe!N207+Mikolongwe!O207</f>
        <v>0</v>
      </c>
      <c r="K207" s="13">
        <f>Migowi!M207+Migowi!N207+Migowi!O207</f>
        <v>0</v>
      </c>
      <c r="L207" s="13">
        <f>Nkando!N207+Nkando!O207+Nkando!P207</f>
        <v>0</v>
      </c>
      <c r="M207" s="8">
        <f>SUM(D207:L207)</f>
        <v>0</v>
      </c>
    </row>
    <row r="208" spans="1:13" ht="15.75" x14ac:dyDescent="0.25">
      <c r="A208" s="460" t="s">
        <v>41</v>
      </c>
      <c r="B208" s="461"/>
      <c r="C208" s="4" t="s">
        <v>31</v>
      </c>
      <c r="D208" s="13">
        <f>Mulanje!M208+Mulanje!N208+Mulanje!O208</f>
        <v>0</v>
      </c>
      <c r="E208" s="13">
        <f>Luchenza!M208+Luchenza!N208+Luchenza!O208</f>
        <v>0</v>
      </c>
      <c r="F208" s="13">
        <f>Thyolo!M208+Thyolo!N208+Thyolo!O208</f>
        <v>0</v>
      </c>
      <c r="G208" s="13">
        <f>Muloza!M208+Muloza!N208+Muloza!O208</f>
        <v>0</v>
      </c>
      <c r="H208" s="13">
        <f>MUST!M208+MUST!N208+MUST!O208</f>
        <v>0</v>
      </c>
      <c r="I208" s="13">
        <f>Phalombe!M208+Phalombe!N208+Phalombe!O208</f>
        <v>0</v>
      </c>
      <c r="J208" s="13">
        <f>Mikolongwe!M208+Mikolongwe!N208+Mikolongwe!O208</f>
        <v>0</v>
      </c>
      <c r="K208" s="13">
        <f>Migowi!M208+Migowi!N208+Migowi!O208</f>
        <v>0</v>
      </c>
      <c r="L208" s="13">
        <f>Nkando!N208+Nkando!O208+Nkando!P208</f>
        <v>0</v>
      </c>
      <c r="M208" s="8">
        <f>SUM(D208:L208)</f>
        <v>0</v>
      </c>
    </row>
    <row r="209" spans="1:13" ht="15.75" x14ac:dyDescent="0.25">
      <c r="A209" s="445" t="s">
        <v>40</v>
      </c>
      <c r="B209" s="446"/>
      <c r="C209" s="4" t="s">
        <v>31</v>
      </c>
      <c r="D209" s="13">
        <f>Mulanje!M209+Mulanje!N209+Mulanje!O209</f>
        <v>0</v>
      </c>
      <c r="E209" s="13">
        <f>Luchenza!M209+Luchenza!N209+Luchenza!O209</f>
        <v>0</v>
      </c>
      <c r="F209" s="13">
        <f>Thyolo!M209+Thyolo!N209+Thyolo!O209</f>
        <v>0</v>
      </c>
      <c r="G209" s="13">
        <f>Muloza!M209+Muloza!N209+Muloza!O209</f>
        <v>0</v>
      </c>
      <c r="H209" s="13">
        <f>MUST!M209+MUST!N209+MUST!O209</f>
        <v>0</v>
      </c>
      <c r="I209" s="13">
        <f>Phalombe!M209+Phalombe!N209+Phalombe!O209</f>
        <v>0</v>
      </c>
      <c r="J209" s="13">
        <f>Mikolongwe!M209+Mikolongwe!N209+Mikolongwe!O209</f>
        <v>0</v>
      </c>
      <c r="K209" s="13">
        <f>Migowi!M209+Migowi!N209+Migowi!O209</f>
        <v>0</v>
      </c>
      <c r="L209" s="13">
        <f>Nkando!N209+Nkando!O209+Nkando!P209</f>
        <v>0</v>
      </c>
      <c r="M209" s="8">
        <f>SUM(D209:L209)</f>
        <v>0</v>
      </c>
    </row>
    <row r="210" spans="1:13" ht="15.75" x14ac:dyDescent="0.25">
      <c r="A210" s="449" t="s">
        <v>45</v>
      </c>
      <c r="B210" s="450"/>
      <c r="C210" s="4" t="s">
        <v>31</v>
      </c>
      <c r="D210" s="9">
        <f t="shared" ref="D210:K210" si="106">SUM(D206:D209)</f>
        <v>0</v>
      </c>
      <c r="E210" s="9">
        <f t="shared" si="106"/>
        <v>0</v>
      </c>
      <c r="F210" s="9">
        <f t="shared" si="106"/>
        <v>0</v>
      </c>
      <c r="G210" s="9">
        <f t="shared" si="106"/>
        <v>0</v>
      </c>
      <c r="H210" s="9">
        <f t="shared" si="106"/>
        <v>0</v>
      </c>
      <c r="I210" s="9">
        <f t="shared" si="106"/>
        <v>0</v>
      </c>
      <c r="J210" s="9">
        <f t="shared" si="106"/>
        <v>0</v>
      </c>
      <c r="K210" s="9">
        <f t="shared" si="106"/>
        <v>0</v>
      </c>
      <c r="L210" s="9">
        <f t="shared" ref="L210" si="107">SUM(L206:L209)</f>
        <v>0</v>
      </c>
      <c r="M210" s="8">
        <f>SUM(D210:L210)</f>
        <v>0</v>
      </c>
    </row>
    <row r="211" spans="1:13" x14ac:dyDescent="0.25">
      <c r="A211" s="442" t="s">
        <v>44</v>
      </c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3"/>
      <c r="M211" s="444"/>
    </row>
    <row r="212" spans="1:13" ht="15.75" x14ac:dyDescent="0.25">
      <c r="A212" s="445" t="s">
        <v>43</v>
      </c>
      <c r="B212" s="446"/>
      <c r="C212" s="4" t="s">
        <v>31</v>
      </c>
      <c r="D212" s="13">
        <f>Mulanje!M212+Mulanje!N212+Mulanje!O212</f>
        <v>0</v>
      </c>
      <c r="E212" s="13">
        <f>Luchenza!M212+Luchenza!N212+Luchenza!O212</f>
        <v>0</v>
      </c>
      <c r="F212" s="13">
        <f>Thyolo!M212+Thyolo!N212+Thyolo!O212</f>
        <v>0</v>
      </c>
      <c r="G212" s="13">
        <f>Muloza!M212+Muloza!N212+Muloza!O212</f>
        <v>0</v>
      </c>
      <c r="H212" s="13">
        <f>MUST!M212+MUST!N212+MUST!O212</f>
        <v>0</v>
      </c>
      <c r="I212" s="13">
        <f>Phalombe!M212+Phalombe!N212+Phalombe!O212</f>
        <v>0</v>
      </c>
      <c r="J212" s="13">
        <f>Mikolongwe!M212+Mikolongwe!N212+Mikolongwe!O212</f>
        <v>0</v>
      </c>
      <c r="K212" s="13">
        <f>Migowi!M212+Migowi!N212+Migowi!O212</f>
        <v>0</v>
      </c>
      <c r="L212" s="13">
        <f>Nkando!N212+Nkando!O212+Nkando!P212</f>
        <v>7250796</v>
      </c>
      <c r="M212" s="8">
        <f>SUM(D212:L212)</f>
        <v>7250796</v>
      </c>
    </row>
    <row r="213" spans="1:13" ht="15.75" x14ac:dyDescent="0.25">
      <c r="A213" s="445" t="s">
        <v>42</v>
      </c>
      <c r="B213" s="446"/>
      <c r="C213" s="4" t="s">
        <v>31</v>
      </c>
      <c r="D213" s="13">
        <f>Mulanje!M213+Mulanje!N213+Mulanje!O213</f>
        <v>0</v>
      </c>
      <c r="E213" s="13">
        <f>Luchenza!M213+Luchenza!N213+Luchenza!O213</f>
        <v>0</v>
      </c>
      <c r="F213" s="13">
        <f>Thyolo!M213+Thyolo!N213+Thyolo!O213</f>
        <v>0</v>
      </c>
      <c r="G213" s="13">
        <f>Muloza!M213+Muloza!N213+Muloza!O213</f>
        <v>0</v>
      </c>
      <c r="H213" s="13">
        <f>MUST!M213+MUST!N213+MUST!O213</f>
        <v>0</v>
      </c>
      <c r="I213" s="13">
        <f>Phalombe!M213+Phalombe!N213+Phalombe!O213</f>
        <v>0</v>
      </c>
      <c r="J213" s="13">
        <f>Mikolongwe!M213+Mikolongwe!N213+Mikolongwe!O213</f>
        <v>0</v>
      </c>
      <c r="K213" s="13">
        <f>Migowi!M213+Migowi!N213+Migowi!O213</f>
        <v>0</v>
      </c>
      <c r="L213" s="13">
        <f>Nkando!N213+Nkando!O213+Nkando!P213</f>
        <v>12700</v>
      </c>
      <c r="M213" s="8">
        <f>SUM(D213:L213)</f>
        <v>12700</v>
      </c>
    </row>
    <row r="214" spans="1:13" ht="15.75" x14ac:dyDescent="0.25">
      <c r="A214" s="460" t="s">
        <v>41</v>
      </c>
      <c r="B214" s="461"/>
      <c r="C214" s="4" t="s">
        <v>31</v>
      </c>
      <c r="D214" s="13">
        <f>Mulanje!M214+Mulanje!N214+Mulanje!O214</f>
        <v>0</v>
      </c>
      <c r="E214" s="13">
        <f>Luchenza!M214+Luchenza!N214+Luchenza!O214</f>
        <v>0</v>
      </c>
      <c r="F214" s="13">
        <f>Thyolo!M214+Thyolo!N214+Thyolo!O214</f>
        <v>0</v>
      </c>
      <c r="G214" s="13">
        <f>Muloza!M214+Muloza!N214+Muloza!O214</f>
        <v>0</v>
      </c>
      <c r="H214" s="13">
        <f>MUST!M214+MUST!N214+MUST!O214</f>
        <v>0</v>
      </c>
      <c r="I214" s="13">
        <f>Phalombe!M214+Phalombe!N214+Phalombe!O214</f>
        <v>0</v>
      </c>
      <c r="J214" s="13">
        <f>Mikolongwe!M214+Mikolongwe!N214+Mikolongwe!O214</f>
        <v>0</v>
      </c>
      <c r="K214" s="13">
        <f>Migowi!M214+Migowi!N214+Migowi!O214</f>
        <v>0</v>
      </c>
      <c r="L214" s="13">
        <f>Nkando!N214+Nkando!O214+Nkando!P214</f>
        <v>327200</v>
      </c>
      <c r="M214" s="8">
        <f>SUM(D214:L214)</f>
        <v>327200</v>
      </c>
    </row>
    <row r="215" spans="1:13" ht="15.75" x14ac:dyDescent="0.25">
      <c r="A215" s="445" t="s">
        <v>40</v>
      </c>
      <c r="B215" s="446"/>
      <c r="C215" s="4" t="s">
        <v>31</v>
      </c>
      <c r="D215" s="13">
        <f>Mulanje!M215+Mulanje!N215+Mulanje!O215</f>
        <v>0</v>
      </c>
      <c r="E215" s="13">
        <f>Luchenza!M215+Luchenza!N215+Luchenza!O215</f>
        <v>0</v>
      </c>
      <c r="F215" s="13">
        <f>Thyolo!M215+Thyolo!N215+Thyolo!O215</f>
        <v>0</v>
      </c>
      <c r="G215" s="13">
        <f>Muloza!M215+Muloza!N215+Muloza!O215</f>
        <v>0</v>
      </c>
      <c r="H215" s="13">
        <f>MUST!M215+MUST!N215+MUST!O215</f>
        <v>0</v>
      </c>
      <c r="I215" s="13">
        <f>Phalombe!M215+Phalombe!N215+Phalombe!O215</f>
        <v>0</v>
      </c>
      <c r="J215" s="13">
        <f>Mikolongwe!M215+Mikolongwe!N215+Mikolongwe!O215</f>
        <v>0</v>
      </c>
      <c r="K215" s="13">
        <f>Migowi!M215+Migowi!N215+Migowi!O215</f>
        <v>0</v>
      </c>
      <c r="L215" s="13">
        <f>Nkando!N215+Nkando!O215+Nkando!P215</f>
        <v>117600</v>
      </c>
      <c r="M215" s="8">
        <f>SUM(D215:L215)</f>
        <v>117600</v>
      </c>
    </row>
    <row r="216" spans="1:13" ht="15.75" x14ac:dyDescent="0.25">
      <c r="A216" s="449" t="s">
        <v>39</v>
      </c>
      <c r="B216" s="450"/>
      <c r="C216" s="4" t="s">
        <v>31</v>
      </c>
      <c r="D216" s="9">
        <f t="shared" ref="D216:K216" si="108">SUM(D212:D215)</f>
        <v>0</v>
      </c>
      <c r="E216" s="9">
        <f t="shared" si="108"/>
        <v>0</v>
      </c>
      <c r="F216" s="9">
        <f t="shared" si="108"/>
        <v>0</v>
      </c>
      <c r="G216" s="9">
        <f t="shared" si="108"/>
        <v>0</v>
      </c>
      <c r="H216" s="9">
        <f>SUM(H212:H215)</f>
        <v>0</v>
      </c>
      <c r="I216" s="9">
        <f t="shared" si="108"/>
        <v>0</v>
      </c>
      <c r="J216" s="9">
        <f t="shared" si="108"/>
        <v>0</v>
      </c>
      <c r="K216" s="9">
        <f t="shared" si="108"/>
        <v>0</v>
      </c>
      <c r="L216" s="9">
        <f t="shared" ref="L216" si="109">SUM(L212:L215)</f>
        <v>7708296</v>
      </c>
      <c r="M216" s="8">
        <f>SUM(D216:L216)</f>
        <v>7708296</v>
      </c>
    </row>
    <row r="217" spans="1:13" ht="15.75" x14ac:dyDescent="0.25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M217" si="110">E210+E216</f>
        <v>0</v>
      </c>
      <c r="F217" s="9">
        <f t="shared" si="110"/>
        <v>0</v>
      </c>
      <c r="G217" s="9">
        <f t="shared" si="110"/>
        <v>0</v>
      </c>
      <c r="H217" s="9">
        <f t="shared" si="110"/>
        <v>0</v>
      </c>
      <c r="I217" s="9">
        <f t="shared" si="110"/>
        <v>0</v>
      </c>
      <c r="J217" s="9">
        <f t="shared" si="110"/>
        <v>0</v>
      </c>
      <c r="K217" s="9">
        <f t="shared" si="110"/>
        <v>0</v>
      </c>
      <c r="L217" s="9">
        <f t="shared" ref="L217" si="111">L210+L216</f>
        <v>7708296</v>
      </c>
      <c r="M217" s="35">
        <f t="shared" si="110"/>
        <v>7708296</v>
      </c>
    </row>
    <row r="218" spans="1:13" x14ac:dyDescent="0.25">
      <c r="A218" s="442" t="s">
        <v>37</v>
      </c>
      <c r="B218" s="443"/>
      <c r="C218" s="443"/>
      <c r="D218" s="443"/>
      <c r="E218" s="443"/>
      <c r="F218" s="443"/>
      <c r="G218" s="443"/>
      <c r="H218" s="443"/>
      <c r="I218" s="443"/>
      <c r="J218" s="443"/>
      <c r="K218" s="443"/>
      <c r="L218" s="443"/>
      <c r="M218" s="444"/>
    </row>
    <row r="219" spans="1:13" ht="15.75" x14ac:dyDescent="0.25">
      <c r="A219" s="445" t="s">
        <v>35</v>
      </c>
      <c r="B219" s="446"/>
      <c r="C219" s="4" t="s">
        <v>31</v>
      </c>
      <c r="D219" s="13">
        <f>Mulanje!M219+Mulanje!N219+Mulanje!O219</f>
        <v>0</v>
      </c>
      <c r="E219" s="13">
        <f>Luchenza!M219+Luchenza!N219+Luchenza!O219</f>
        <v>0</v>
      </c>
      <c r="F219" s="13">
        <f>Thyolo!M219+Thyolo!N219+Thyolo!O219</f>
        <v>0</v>
      </c>
      <c r="G219" s="13">
        <f>Muloza!M219+Muloza!N219+Muloza!O219</f>
        <v>0</v>
      </c>
      <c r="H219" s="13">
        <f>MUST!M219+MUST!N219+MUST!O219</f>
        <v>0</v>
      </c>
      <c r="I219" s="13">
        <f>Phalombe!M219+Phalombe!N219+Phalombe!O219</f>
        <v>0</v>
      </c>
      <c r="J219" s="13">
        <f>Mikolongwe!M219+Mikolongwe!N219+Mikolongwe!O219</f>
        <v>0</v>
      </c>
      <c r="K219" s="13">
        <f>Migowi!M219+Migowi!N219+Migowi!O219</f>
        <v>0</v>
      </c>
      <c r="L219" s="13">
        <f>Nkando!N219+Nkando!O219+Nkando!P219</f>
        <v>0</v>
      </c>
      <c r="M219" s="8">
        <f>SUM(D219:L219)</f>
        <v>0</v>
      </c>
    </row>
    <row r="220" spans="1:13" ht="15.75" x14ac:dyDescent="0.25">
      <c r="A220" s="445" t="s">
        <v>34</v>
      </c>
      <c r="B220" s="446"/>
      <c r="C220" s="4" t="s">
        <v>31</v>
      </c>
      <c r="D220" s="13">
        <f>Mulanje!M220+Mulanje!N220+Mulanje!O220</f>
        <v>0</v>
      </c>
      <c r="E220" s="13">
        <f>Luchenza!M220+Luchenza!N220+Luchenza!O220</f>
        <v>0</v>
      </c>
      <c r="F220" s="13">
        <f>Thyolo!M220+Thyolo!N220+Thyolo!O220</f>
        <v>0</v>
      </c>
      <c r="G220" s="13">
        <f>Muloza!M220+Muloza!N220+Muloza!O220</f>
        <v>0</v>
      </c>
      <c r="H220" s="13">
        <f>MUST!M220+MUST!N220+MUST!O220</f>
        <v>0</v>
      </c>
      <c r="I220" s="13">
        <f>Phalombe!M220+Phalombe!N220+Phalombe!O220</f>
        <v>0</v>
      </c>
      <c r="J220" s="13">
        <f>Mikolongwe!M220+Mikolongwe!N220+Mikolongwe!O220</f>
        <v>0</v>
      </c>
      <c r="K220" s="13">
        <f>Migowi!M220+Migowi!N220+Migowi!O220</f>
        <v>0</v>
      </c>
      <c r="L220" s="13">
        <f>Nkando!N220+Nkando!O220+Nkando!P220</f>
        <v>0</v>
      </c>
      <c r="M220" s="8">
        <f>SUM(D220:L220)</f>
        <v>0</v>
      </c>
    </row>
    <row r="221" spans="1:13" ht="15.75" x14ac:dyDescent="0.25">
      <c r="A221" s="445" t="s">
        <v>33</v>
      </c>
      <c r="B221" s="446"/>
      <c r="C221" s="4" t="s">
        <v>31</v>
      </c>
      <c r="D221" s="13">
        <f>Mulanje!M221+Mulanje!N221+Mulanje!O221</f>
        <v>0</v>
      </c>
      <c r="E221" s="13">
        <f>Luchenza!M221+Luchenza!N221+Luchenza!O221</f>
        <v>0</v>
      </c>
      <c r="F221" s="13">
        <f>Thyolo!M221+Thyolo!N221+Thyolo!O221</f>
        <v>0</v>
      </c>
      <c r="G221" s="13">
        <f>Muloza!M221+Muloza!N221+Muloza!O221</f>
        <v>0</v>
      </c>
      <c r="H221" s="13">
        <f>MUST!M221+MUST!N221+MUST!O221</f>
        <v>0</v>
      </c>
      <c r="I221" s="13">
        <f>Phalombe!M221+Phalombe!N221+Phalombe!O221</f>
        <v>0</v>
      </c>
      <c r="J221" s="13">
        <f>Mikolongwe!M221+Mikolongwe!N221+Mikolongwe!O221</f>
        <v>0</v>
      </c>
      <c r="K221" s="13">
        <f>Migowi!M221+Migowi!N221+Migowi!O221</f>
        <v>0</v>
      </c>
      <c r="L221" s="13">
        <f>Nkando!N221+Nkando!O221+Nkando!P221</f>
        <v>0</v>
      </c>
      <c r="M221" s="8">
        <f>SUM(D221:L221)</f>
        <v>0</v>
      </c>
    </row>
    <row r="222" spans="1:13" ht="15.75" x14ac:dyDescent="0.25">
      <c r="A222" s="445" t="s">
        <v>32</v>
      </c>
      <c r="B222" s="446"/>
      <c r="C222" s="4" t="s">
        <v>31</v>
      </c>
      <c r="D222" s="13">
        <f>Mulanje!M222+Mulanje!N222+Mulanje!O222</f>
        <v>0</v>
      </c>
      <c r="E222" s="13">
        <f>Luchenza!M222+Luchenza!N222+Luchenza!O222</f>
        <v>0</v>
      </c>
      <c r="F222" s="13">
        <f>Thyolo!M222+Thyolo!N222+Thyolo!O222</f>
        <v>0</v>
      </c>
      <c r="G222" s="13">
        <f>Muloza!M222+Muloza!N222+Muloza!O222</f>
        <v>0</v>
      </c>
      <c r="H222" s="13">
        <f>MUST!M222+MUST!N222+MUST!O222</f>
        <v>0</v>
      </c>
      <c r="I222" s="13">
        <f>Phalombe!M222+Phalombe!N222+Phalombe!O222</f>
        <v>0</v>
      </c>
      <c r="J222" s="13">
        <f>Mikolongwe!M222+Mikolongwe!N222+Mikolongwe!O222</f>
        <v>0</v>
      </c>
      <c r="K222" s="13">
        <f>Migowi!M222+Migowi!N222+Migowi!O222</f>
        <v>0</v>
      </c>
      <c r="L222" s="13">
        <f>Nkando!N222+Nkando!O222+Nkando!P222</f>
        <v>0</v>
      </c>
      <c r="M222" s="8">
        <f>SUM(D222:L222)</f>
        <v>0</v>
      </c>
    </row>
    <row r="223" spans="1:13" ht="15.75" x14ac:dyDescent="0.25">
      <c r="A223" s="449" t="s">
        <v>36</v>
      </c>
      <c r="B223" s="450"/>
      <c r="C223" s="4" t="s">
        <v>31</v>
      </c>
      <c r="D223" s="10">
        <f t="shared" ref="D223:K223" si="112">SUM(D219:D222)</f>
        <v>0</v>
      </c>
      <c r="E223" s="9">
        <f t="shared" si="112"/>
        <v>0</v>
      </c>
      <c r="F223" s="9">
        <f t="shared" si="112"/>
        <v>0</v>
      </c>
      <c r="G223" s="9">
        <f t="shared" si="112"/>
        <v>0</v>
      </c>
      <c r="H223" s="9">
        <f t="shared" si="112"/>
        <v>0</v>
      </c>
      <c r="I223" s="9">
        <f t="shared" si="112"/>
        <v>0</v>
      </c>
      <c r="J223" s="12">
        <f t="shared" si="112"/>
        <v>0</v>
      </c>
      <c r="K223" s="12">
        <f t="shared" si="112"/>
        <v>0</v>
      </c>
      <c r="L223" s="12">
        <f t="shared" ref="L223" si="113">SUM(L219:L222)</f>
        <v>0</v>
      </c>
      <c r="M223" s="8">
        <f>SUM(D223:L223)</f>
        <v>0</v>
      </c>
    </row>
    <row r="224" spans="1:13" x14ac:dyDescent="0.25">
      <c r="A224" s="442" t="s">
        <v>213</v>
      </c>
      <c r="B224" s="443"/>
      <c r="C224" s="443"/>
      <c r="D224" s="443"/>
      <c r="E224" s="443"/>
      <c r="F224" s="443"/>
      <c r="G224" s="443"/>
      <c r="H224" s="443"/>
      <c r="I224" s="443"/>
      <c r="J224" s="443"/>
      <c r="K224" s="443"/>
      <c r="L224" s="443"/>
      <c r="M224" s="444"/>
    </row>
    <row r="225" spans="1:13" ht="15.75" x14ac:dyDescent="0.25">
      <c r="A225" s="445" t="s">
        <v>35</v>
      </c>
      <c r="B225" s="446"/>
      <c r="C225" s="4" t="s">
        <v>31</v>
      </c>
      <c r="D225" s="13">
        <f>Mulanje!M225+Mulanje!N225+Mulanje!O225</f>
        <v>0</v>
      </c>
      <c r="E225" s="13">
        <f>Luchenza!M225+Luchenza!N225+Luchenza!O225</f>
        <v>0</v>
      </c>
      <c r="F225" s="13">
        <f>Thyolo!M225+Thyolo!N225+Thyolo!O225</f>
        <v>0</v>
      </c>
      <c r="G225" s="13">
        <f>Muloza!M225+Muloza!N225+Muloza!O225</f>
        <v>0</v>
      </c>
      <c r="H225" s="13">
        <f>MUST!M225+MUST!N225+MUST!O225</f>
        <v>0</v>
      </c>
      <c r="I225" s="13">
        <f>Phalombe!M225+Phalombe!N225+Phalombe!O225</f>
        <v>0</v>
      </c>
      <c r="J225" s="13">
        <f>Mikolongwe!M225+Mikolongwe!N225+Mikolongwe!O225</f>
        <v>0</v>
      </c>
      <c r="K225" s="13">
        <f>Migowi!M225+Migowi!N225+Migowi!O225</f>
        <v>0</v>
      </c>
      <c r="L225" s="13">
        <f>Nkando!N225+Nkando!O225+Nkando!P225</f>
        <v>0</v>
      </c>
      <c r="M225" s="8">
        <f t="shared" ref="M225:M230" si="114">SUM(D225:L225)</f>
        <v>0</v>
      </c>
    </row>
    <row r="226" spans="1:13" ht="15.75" x14ac:dyDescent="0.25">
      <c r="A226" s="445" t="s">
        <v>34</v>
      </c>
      <c r="B226" s="446"/>
      <c r="C226" s="4" t="s">
        <v>31</v>
      </c>
      <c r="D226" s="13">
        <f>Mulanje!M226+Mulanje!N226+Mulanje!O226</f>
        <v>0</v>
      </c>
      <c r="E226" s="13">
        <f>Luchenza!M226+Luchenza!N226+Luchenza!O226</f>
        <v>0</v>
      </c>
      <c r="F226" s="13">
        <f>Thyolo!M226+Thyolo!N226+Thyolo!O226</f>
        <v>0</v>
      </c>
      <c r="G226" s="13">
        <f>Muloza!M226+Muloza!N226+Muloza!O226</f>
        <v>0</v>
      </c>
      <c r="H226" s="13">
        <f>MUST!M226+MUST!N226+MUST!O226</f>
        <v>0</v>
      </c>
      <c r="I226" s="13">
        <f>Phalombe!M226+Phalombe!N226+Phalombe!O226</f>
        <v>0</v>
      </c>
      <c r="J226" s="13">
        <f>Mikolongwe!M226+Mikolongwe!N226+Mikolongwe!O226</f>
        <v>0</v>
      </c>
      <c r="K226" s="13">
        <f>Migowi!M226+Migowi!N226+Migowi!O226</f>
        <v>0</v>
      </c>
      <c r="L226" s="13">
        <f>Nkando!N226+Nkando!O226+Nkando!P226</f>
        <v>0</v>
      </c>
      <c r="M226" s="8">
        <f t="shared" si="114"/>
        <v>0</v>
      </c>
    </row>
    <row r="227" spans="1:13" ht="15.75" x14ac:dyDescent="0.25">
      <c r="A227" s="445" t="s">
        <v>33</v>
      </c>
      <c r="B227" s="446"/>
      <c r="C227" s="4" t="s">
        <v>31</v>
      </c>
      <c r="D227" s="13">
        <f>Mulanje!M227+Mulanje!N227+Mulanje!O227</f>
        <v>0</v>
      </c>
      <c r="E227" s="13">
        <f>Luchenza!M227+Luchenza!N227+Luchenza!O227</f>
        <v>0</v>
      </c>
      <c r="F227" s="13">
        <f>Thyolo!M227+Thyolo!N227+Thyolo!O227</f>
        <v>0</v>
      </c>
      <c r="G227" s="13">
        <f>Muloza!M227+Muloza!N227+Muloza!O227</f>
        <v>0</v>
      </c>
      <c r="H227" s="13">
        <f>MUST!M227+MUST!N227+MUST!O227</f>
        <v>0</v>
      </c>
      <c r="I227" s="13">
        <f>Phalombe!M227+Phalombe!N227+Phalombe!O227</f>
        <v>0</v>
      </c>
      <c r="J227" s="13">
        <f>Mikolongwe!M227+Mikolongwe!N227+Mikolongwe!O227</f>
        <v>0</v>
      </c>
      <c r="K227" s="13">
        <f>Migowi!M227+Migowi!N227+Migowi!O227</f>
        <v>0</v>
      </c>
      <c r="L227" s="13">
        <f>Nkando!N227+Nkando!O227+Nkando!P227</f>
        <v>0</v>
      </c>
      <c r="M227" s="8">
        <f t="shared" si="114"/>
        <v>0</v>
      </c>
    </row>
    <row r="228" spans="1:13" ht="15.75" x14ac:dyDescent="0.25">
      <c r="A228" s="445" t="s">
        <v>32</v>
      </c>
      <c r="B228" s="446"/>
      <c r="C228" s="4" t="s">
        <v>31</v>
      </c>
      <c r="D228" s="13">
        <f>Mulanje!M228+Mulanje!N228+Mulanje!O228</f>
        <v>0</v>
      </c>
      <c r="E228" s="13">
        <f>Luchenza!M228+Luchenza!N228+Luchenza!O228</f>
        <v>0</v>
      </c>
      <c r="F228" s="13">
        <f>Thyolo!M228+Thyolo!N228+Thyolo!O228</f>
        <v>0</v>
      </c>
      <c r="G228" s="13">
        <f>Muloza!M228+Muloza!N228+Muloza!O228</f>
        <v>0</v>
      </c>
      <c r="H228" s="13">
        <f>MUST!M228+MUST!N228+MUST!O228</f>
        <v>0</v>
      </c>
      <c r="I228" s="13">
        <f>Phalombe!M228+Phalombe!N228+Phalombe!O228</f>
        <v>0</v>
      </c>
      <c r="J228" s="13">
        <f>Mikolongwe!M228+Mikolongwe!N228+Mikolongwe!O228</f>
        <v>0</v>
      </c>
      <c r="K228" s="13">
        <f>Migowi!M228+Migowi!N228+Migowi!O228</f>
        <v>0</v>
      </c>
      <c r="L228" s="13">
        <f>Nkando!N228+Nkando!O228+Nkando!P228</f>
        <v>0</v>
      </c>
      <c r="M228" s="8">
        <f t="shared" si="114"/>
        <v>0</v>
      </c>
    </row>
    <row r="229" spans="1:13" ht="15.75" x14ac:dyDescent="0.25">
      <c r="A229" s="449" t="s">
        <v>214</v>
      </c>
      <c r="B229" s="450"/>
      <c r="C229" s="4" t="s">
        <v>31</v>
      </c>
      <c r="D229" s="10">
        <f t="shared" ref="D229:K229" si="115">SUM(D225:D228)</f>
        <v>0</v>
      </c>
      <c r="E229" s="9">
        <f t="shared" si="115"/>
        <v>0</v>
      </c>
      <c r="F229" s="9">
        <f t="shared" si="115"/>
        <v>0</v>
      </c>
      <c r="G229" s="9">
        <f t="shared" si="115"/>
        <v>0</v>
      </c>
      <c r="H229" s="9">
        <f t="shared" si="115"/>
        <v>0</v>
      </c>
      <c r="I229" s="9">
        <f t="shared" si="115"/>
        <v>0</v>
      </c>
      <c r="J229" s="12">
        <f t="shared" si="115"/>
        <v>0</v>
      </c>
      <c r="K229" s="12">
        <f t="shared" si="115"/>
        <v>0</v>
      </c>
      <c r="L229" s="12">
        <f t="shared" ref="L229" si="116">SUM(L225:L228)</f>
        <v>0</v>
      </c>
      <c r="M229" s="8">
        <f t="shared" si="114"/>
        <v>0</v>
      </c>
    </row>
    <row r="230" spans="1:13" ht="15.75" x14ac:dyDescent="0.25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117">E223+E229</f>
        <v>0</v>
      </c>
      <c r="F230" s="10">
        <f t="shared" si="117"/>
        <v>0</v>
      </c>
      <c r="G230" s="10">
        <f t="shared" si="117"/>
        <v>0</v>
      </c>
      <c r="H230" s="10">
        <f t="shared" si="117"/>
        <v>0</v>
      </c>
      <c r="I230" s="10">
        <f t="shared" si="117"/>
        <v>0</v>
      </c>
      <c r="J230" s="10">
        <f t="shared" si="117"/>
        <v>0</v>
      </c>
      <c r="K230" s="10">
        <f t="shared" si="117"/>
        <v>0</v>
      </c>
      <c r="L230" s="10">
        <f t="shared" ref="L230" si="118">L223+L229</f>
        <v>0</v>
      </c>
      <c r="M230" s="8">
        <f t="shared" si="114"/>
        <v>0</v>
      </c>
    </row>
    <row r="231" spans="1:13" x14ac:dyDescent="0.25">
      <c r="A231" s="442" t="s">
        <v>30</v>
      </c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3"/>
      <c r="M231" s="444"/>
    </row>
    <row r="232" spans="1:13" ht="15.75" x14ac:dyDescent="0.25">
      <c r="A232" s="445" t="s">
        <v>29</v>
      </c>
      <c r="B232" s="446"/>
      <c r="C232" s="4" t="s">
        <v>18</v>
      </c>
      <c r="D232" s="13">
        <f>Mulanje!M232+Mulanje!N232+Mulanje!O232</f>
        <v>0</v>
      </c>
      <c r="E232" s="13">
        <f>Luchenza!M232+Luchenza!N232+Luchenza!O232</f>
        <v>0</v>
      </c>
      <c r="F232" s="13">
        <f>Thyolo!M232+Thyolo!N232+Thyolo!O232</f>
        <v>0</v>
      </c>
      <c r="G232" s="13">
        <f>Muloza!M232+Muloza!N232+Muloza!O232</f>
        <v>0</v>
      </c>
      <c r="H232" s="13">
        <f>MUST!M232+MUST!N232+MUST!O232</f>
        <v>0</v>
      </c>
      <c r="I232" s="13">
        <f>Phalombe!M232+Phalombe!N232+Phalombe!O232</f>
        <v>0</v>
      </c>
      <c r="J232" s="13">
        <f>Mikolongwe!M232+Mikolongwe!N232+Mikolongwe!O232</f>
        <v>0</v>
      </c>
      <c r="K232" s="13">
        <f>Migowi!M232+Migowi!N232+Migowi!O232</f>
        <v>0</v>
      </c>
      <c r="L232" s="13">
        <f>Nkando!N232+Nkando!O232+Nkando!P232</f>
        <v>0</v>
      </c>
      <c r="M232" s="8">
        <f>SUM(D232:L232)</f>
        <v>0</v>
      </c>
    </row>
    <row r="233" spans="1:13" ht="15.75" x14ac:dyDescent="0.25">
      <c r="A233" s="445" t="s">
        <v>28</v>
      </c>
      <c r="B233" s="446"/>
      <c r="C233" s="4" t="s">
        <v>18</v>
      </c>
      <c r="D233" s="13">
        <f>Mulanje!M233+Mulanje!N233+Mulanje!O233</f>
        <v>0</v>
      </c>
      <c r="E233" s="13">
        <f>Luchenza!M233+Luchenza!N233+Luchenza!O233</f>
        <v>0</v>
      </c>
      <c r="F233" s="13">
        <f>Thyolo!M233+Thyolo!N233+Thyolo!O233</f>
        <v>0</v>
      </c>
      <c r="G233" s="13">
        <f>Muloza!M233+Muloza!N233+Muloza!O233</f>
        <v>0</v>
      </c>
      <c r="H233" s="13">
        <f>MUST!M233+MUST!N233+MUST!O233</f>
        <v>0</v>
      </c>
      <c r="I233" s="13">
        <f>Phalombe!M233+Phalombe!N233+Phalombe!O233</f>
        <v>0</v>
      </c>
      <c r="J233" s="13">
        <f>Mikolongwe!M233+Mikolongwe!N233+Mikolongwe!O233</f>
        <v>0</v>
      </c>
      <c r="K233" s="13">
        <f>Migowi!M233+Migowi!N233+Migowi!O233</f>
        <v>0</v>
      </c>
      <c r="L233" s="13">
        <f>Nkando!N233+Nkando!O233+Nkando!P233</f>
        <v>0</v>
      </c>
      <c r="M233" s="8">
        <f>SUM(D233:L233)</f>
        <v>0</v>
      </c>
    </row>
    <row r="234" spans="1:13" ht="15.75" x14ac:dyDescent="0.25">
      <c r="A234" s="445" t="s">
        <v>27</v>
      </c>
      <c r="B234" s="446"/>
      <c r="C234" s="4" t="s">
        <v>18</v>
      </c>
      <c r="D234" s="13">
        <f>Mulanje!M234+Mulanje!N234+Mulanje!O234</f>
        <v>0</v>
      </c>
      <c r="E234" s="13">
        <f>Luchenza!M234+Luchenza!N234+Luchenza!O234</f>
        <v>0</v>
      </c>
      <c r="F234" s="13">
        <f>Thyolo!M234+Thyolo!N234+Thyolo!O234</f>
        <v>0</v>
      </c>
      <c r="G234" s="13">
        <f>Muloza!M234+Muloza!N234+Muloza!O234</f>
        <v>0</v>
      </c>
      <c r="H234" s="13">
        <f>MUST!M234+MUST!N234+MUST!O234</f>
        <v>0</v>
      </c>
      <c r="I234" s="13">
        <f>Phalombe!M234+Phalombe!N234+Phalombe!O234</f>
        <v>0</v>
      </c>
      <c r="J234" s="13">
        <f>Mikolongwe!M234+Mikolongwe!N234+Mikolongwe!O234</f>
        <v>0</v>
      </c>
      <c r="K234" s="13">
        <f>Migowi!M234+Migowi!N234+Migowi!O234</f>
        <v>0</v>
      </c>
      <c r="L234" s="13">
        <f>Nkando!N234+Nkando!O234+Nkando!P234</f>
        <v>0</v>
      </c>
      <c r="M234" s="8">
        <f>SUM(D234:L234)</f>
        <v>0</v>
      </c>
    </row>
    <row r="235" spans="1:13" ht="15.75" x14ac:dyDescent="0.25">
      <c r="A235" s="445" t="s">
        <v>26</v>
      </c>
      <c r="B235" s="446"/>
      <c r="C235" s="4" t="s">
        <v>18</v>
      </c>
      <c r="D235" s="13">
        <f>Mulanje!M235+Mulanje!N235+Mulanje!O235</f>
        <v>0</v>
      </c>
      <c r="E235" s="13">
        <f>Luchenza!M235+Luchenza!N235+Luchenza!O235</f>
        <v>0</v>
      </c>
      <c r="F235" s="13">
        <f>Thyolo!M235+Thyolo!N235+Thyolo!O235</f>
        <v>0</v>
      </c>
      <c r="G235" s="13">
        <f>Muloza!M235+Muloza!N235+Muloza!O235</f>
        <v>0</v>
      </c>
      <c r="H235" s="13">
        <f>MUST!M235+MUST!N235+MUST!O235</f>
        <v>0</v>
      </c>
      <c r="I235" s="13">
        <f>Phalombe!M235+Phalombe!N235+Phalombe!O235</f>
        <v>0</v>
      </c>
      <c r="J235" s="13">
        <f>Mikolongwe!M235+Mikolongwe!N235+Mikolongwe!O235</f>
        <v>0</v>
      </c>
      <c r="K235" s="13">
        <f>Migowi!M235+Migowi!N235+Migowi!O235</f>
        <v>0</v>
      </c>
      <c r="L235" s="13">
        <f>Nkando!N235+Nkando!O235+Nkando!P235</f>
        <v>0</v>
      </c>
      <c r="M235" s="8">
        <f>SUM(D235:L235)</f>
        <v>0</v>
      </c>
    </row>
    <row r="236" spans="1:13" ht="15.75" x14ac:dyDescent="0.25">
      <c r="A236" s="449" t="s">
        <v>25</v>
      </c>
      <c r="B236" s="450"/>
      <c r="C236" s="4" t="s">
        <v>18</v>
      </c>
      <c r="D236" s="10">
        <f>SUM(D232:D235)</f>
        <v>0</v>
      </c>
      <c r="E236" s="10">
        <f t="shared" ref="E236:K236" si="119">SUM(E232:E235)</f>
        <v>0</v>
      </c>
      <c r="F236" s="10">
        <f t="shared" si="119"/>
        <v>0</v>
      </c>
      <c r="G236" s="10">
        <f t="shared" si="119"/>
        <v>0</v>
      </c>
      <c r="H236" s="10">
        <f t="shared" si="119"/>
        <v>0</v>
      </c>
      <c r="I236" s="10">
        <f t="shared" si="119"/>
        <v>0</v>
      </c>
      <c r="J236" s="10">
        <f t="shared" si="119"/>
        <v>0</v>
      </c>
      <c r="K236" s="10">
        <f t="shared" si="119"/>
        <v>0</v>
      </c>
      <c r="L236" s="10">
        <f t="shared" ref="L236" si="120">SUM(L232:L235)</f>
        <v>0</v>
      </c>
      <c r="M236" s="35">
        <f>SUM(M232:M235)</f>
        <v>0</v>
      </c>
    </row>
    <row r="237" spans="1:13" x14ac:dyDescent="0.25">
      <c r="A237" s="442" t="s">
        <v>24</v>
      </c>
      <c r="B237" s="443"/>
      <c r="C237" s="443"/>
      <c r="D237" s="443"/>
      <c r="E237" s="443"/>
      <c r="F237" s="443"/>
      <c r="G237" s="443"/>
      <c r="H237" s="443"/>
      <c r="I237" s="443"/>
      <c r="J237" s="443"/>
      <c r="K237" s="443"/>
      <c r="L237" s="443"/>
      <c r="M237" s="444"/>
    </row>
    <row r="238" spans="1:13" ht="15.75" x14ac:dyDescent="0.25">
      <c r="A238" s="445" t="s">
        <v>23</v>
      </c>
      <c r="B238" s="446"/>
      <c r="C238" s="4" t="s">
        <v>18</v>
      </c>
      <c r="D238" s="13">
        <f>Mulanje!M238+Mulanje!N238+Mulanje!O238</f>
        <v>0</v>
      </c>
      <c r="E238" s="13">
        <f>Luchenza!M238+Luchenza!N238+Luchenza!O238</f>
        <v>0</v>
      </c>
      <c r="F238" s="13">
        <f>Thyolo!M238+Thyolo!N238+Thyolo!O238</f>
        <v>0</v>
      </c>
      <c r="G238" s="13">
        <f>Muloza!M238+Muloza!N238+Muloza!O238</f>
        <v>0</v>
      </c>
      <c r="H238" s="13">
        <f>MUST!M238+MUST!N238+MUST!O238</f>
        <v>0</v>
      </c>
      <c r="I238" s="13">
        <f>Phalombe!M238+Phalombe!N238+Phalombe!O238</f>
        <v>0</v>
      </c>
      <c r="J238" s="13">
        <f>Mikolongwe!M238+Mikolongwe!N238+Mikolongwe!O238</f>
        <v>0</v>
      </c>
      <c r="K238" s="13">
        <f>Migowi!M238+Migowi!N238+Migowi!O238</f>
        <v>0</v>
      </c>
      <c r="L238" s="13">
        <f>Nkando!N238+Nkando!O238+Nkando!P238</f>
        <v>0</v>
      </c>
      <c r="M238" s="8">
        <f>SUM(D238:L238)</f>
        <v>0</v>
      </c>
    </row>
    <row r="239" spans="1:13" ht="15.75" x14ac:dyDescent="0.25">
      <c r="A239" s="445" t="s">
        <v>22</v>
      </c>
      <c r="B239" s="446"/>
      <c r="C239" s="4" t="s">
        <v>18</v>
      </c>
      <c r="D239" s="13">
        <f>Mulanje!M239+Mulanje!N239+Mulanje!O239</f>
        <v>0</v>
      </c>
      <c r="E239" s="13">
        <f>Luchenza!M239+Luchenza!N239+Luchenza!O239</f>
        <v>0</v>
      </c>
      <c r="F239" s="13">
        <f>Thyolo!M239+Thyolo!N239+Thyolo!O239</f>
        <v>0</v>
      </c>
      <c r="G239" s="13">
        <f>Muloza!M239+Muloza!N239+Muloza!O239</f>
        <v>0</v>
      </c>
      <c r="H239" s="13">
        <f>MUST!M239+MUST!N239+MUST!O239</f>
        <v>0</v>
      </c>
      <c r="I239" s="13">
        <f>Phalombe!M239+Phalombe!N239+Phalombe!O239</f>
        <v>0</v>
      </c>
      <c r="J239" s="13">
        <f>Mikolongwe!M239+Mikolongwe!N239+Mikolongwe!O239</f>
        <v>0</v>
      </c>
      <c r="K239" s="13">
        <f>Migowi!M239+Migowi!N239+Migowi!O239</f>
        <v>0</v>
      </c>
      <c r="L239" s="13">
        <f>Nkando!N239+Nkando!O239+Nkando!P239</f>
        <v>0</v>
      </c>
      <c r="M239" s="8">
        <f>SUM(D239:L239)</f>
        <v>0</v>
      </c>
    </row>
    <row r="240" spans="1:13" ht="15.75" x14ac:dyDescent="0.25">
      <c r="A240" s="445" t="s">
        <v>21</v>
      </c>
      <c r="B240" s="446"/>
      <c r="C240" s="4" t="s">
        <v>18</v>
      </c>
      <c r="D240" s="13">
        <f>Mulanje!M240+Mulanje!N240+Mulanje!O240</f>
        <v>0</v>
      </c>
      <c r="E240" s="13">
        <f>Luchenza!M240+Luchenza!N240+Luchenza!O240</f>
        <v>0</v>
      </c>
      <c r="F240" s="13">
        <f>Thyolo!M240+Thyolo!N240+Thyolo!O240</f>
        <v>0</v>
      </c>
      <c r="G240" s="13">
        <f>Muloza!M240+Muloza!N240+Muloza!O240</f>
        <v>0</v>
      </c>
      <c r="H240" s="13">
        <f>MUST!M240+MUST!N240+MUST!O240</f>
        <v>0</v>
      </c>
      <c r="I240" s="13">
        <f>Phalombe!M240+Phalombe!N240+Phalombe!O240</f>
        <v>0</v>
      </c>
      <c r="J240" s="13">
        <f>Mikolongwe!M240+Mikolongwe!N240+Mikolongwe!O240</f>
        <v>0</v>
      </c>
      <c r="K240" s="13">
        <f>Migowi!M240+Migowi!N240+Migowi!O240</f>
        <v>0</v>
      </c>
      <c r="L240" s="13">
        <f>Nkando!N240+Nkando!O240+Nkando!P240</f>
        <v>0</v>
      </c>
      <c r="M240" s="8">
        <f>SUM(D240:L240)</f>
        <v>0</v>
      </c>
    </row>
    <row r="241" spans="1:13" ht="15.75" x14ac:dyDescent="0.25">
      <c r="A241" s="445" t="s">
        <v>20</v>
      </c>
      <c r="B241" s="446"/>
      <c r="C241" s="4" t="s">
        <v>18</v>
      </c>
      <c r="D241" s="13">
        <f>Mulanje!M241+Mulanje!N241+Mulanje!O241</f>
        <v>0</v>
      </c>
      <c r="E241" s="13">
        <f>Luchenza!M241+Luchenza!N241+Luchenza!O241</f>
        <v>0</v>
      </c>
      <c r="F241" s="13">
        <f>Thyolo!M241+Thyolo!N241+Thyolo!O241</f>
        <v>0</v>
      </c>
      <c r="G241" s="13">
        <f>Muloza!M241+Muloza!N241+Muloza!O241</f>
        <v>0</v>
      </c>
      <c r="H241" s="13">
        <f>MUST!M241+MUST!N241+MUST!O241</f>
        <v>0</v>
      </c>
      <c r="I241" s="13">
        <f>Phalombe!M241+Phalombe!N241+Phalombe!O241</f>
        <v>0</v>
      </c>
      <c r="J241" s="13">
        <f>Mikolongwe!M241+Mikolongwe!N241+Mikolongwe!O241</f>
        <v>0</v>
      </c>
      <c r="K241" s="13">
        <f>Migowi!M241+Migowi!N241+Migowi!O241</f>
        <v>0</v>
      </c>
      <c r="L241" s="13">
        <f>Nkando!N241+Nkando!O241+Nkando!P241</f>
        <v>0</v>
      </c>
      <c r="M241" s="8">
        <f>SUM(D241:L241)</f>
        <v>0</v>
      </c>
    </row>
    <row r="242" spans="1:13" ht="15.75" x14ac:dyDescent="0.25">
      <c r="A242" s="449" t="s">
        <v>19</v>
      </c>
      <c r="B242" s="450"/>
      <c r="C242" s="4" t="s">
        <v>18</v>
      </c>
      <c r="D242" s="10">
        <f t="shared" ref="D242:M242" si="121">SUM(D238:D241)</f>
        <v>0</v>
      </c>
      <c r="E242" s="10">
        <f t="shared" si="121"/>
        <v>0</v>
      </c>
      <c r="F242" s="10">
        <f t="shared" si="121"/>
        <v>0</v>
      </c>
      <c r="G242" s="10">
        <f t="shared" si="121"/>
        <v>0</v>
      </c>
      <c r="H242" s="10">
        <f t="shared" si="121"/>
        <v>0</v>
      </c>
      <c r="I242" s="10">
        <f t="shared" si="121"/>
        <v>0</v>
      </c>
      <c r="J242" s="10">
        <f t="shared" si="121"/>
        <v>0</v>
      </c>
      <c r="K242" s="10">
        <f t="shared" si="121"/>
        <v>0</v>
      </c>
      <c r="L242" s="10">
        <f t="shared" ref="L242" si="122">SUM(L238:L241)</f>
        <v>0</v>
      </c>
      <c r="M242" s="35">
        <f t="shared" si="121"/>
        <v>0</v>
      </c>
    </row>
    <row r="243" spans="1:13" ht="15.75" x14ac:dyDescent="0.25">
      <c r="A243" s="449" t="s">
        <v>216</v>
      </c>
      <c r="B243" s="450"/>
      <c r="C243" s="4" t="s">
        <v>18</v>
      </c>
      <c r="D243" s="9">
        <f>D230+D236+D242</f>
        <v>0</v>
      </c>
      <c r="E243" s="9">
        <f t="shared" ref="E243:K243" si="123">E230+E236+E242</f>
        <v>0</v>
      </c>
      <c r="F243" s="9">
        <f t="shared" si="123"/>
        <v>0</v>
      </c>
      <c r="G243" s="9">
        <f t="shared" si="123"/>
        <v>0</v>
      </c>
      <c r="H243" s="9">
        <f t="shared" si="123"/>
        <v>0</v>
      </c>
      <c r="I243" s="9">
        <f t="shared" si="123"/>
        <v>0</v>
      </c>
      <c r="J243" s="9">
        <f t="shared" si="123"/>
        <v>0</v>
      </c>
      <c r="K243" s="9">
        <f t="shared" si="123"/>
        <v>0</v>
      </c>
      <c r="L243" s="9">
        <f t="shared" ref="L243" si="124">L230+L236+L242</f>
        <v>0</v>
      </c>
      <c r="M243" s="35">
        <f t="shared" ref="M243" si="125">M216+M223+M236+M242</f>
        <v>7708296</v>
      </c>
    </row>
    <row r="244" spans="1:13" x14ac:dyDescent="0.25">
      <c r="A244" s="442" t="s">
        <v>206</v>
      </c>
      <c r="B244" s="443"/>
      <c r="C244" s="443"/>
      <c r="D244" s="443"/>
      <c r="E244" s="443"/>
      <c r="F244" s="443"/>
      <c r="G244" s="443"/>
      <c r="H244" s="443"/>
      <c r="I244" s="443"/>
      <c r="J244" s="443"/>
      <c r="K244" s="443"/>
      <c r="L244" s="443"/>
      <c r="M244" s="444"/>
    </row>
    <row r="245" spans="1:13" ht="15.75" x14ac:dyDescent="0.25">
      <c r="A245" s="456" t="s">
        <v>207</v>
      </c>
      <c r="B245" s="457"/>
      <c r="C245" s="4" t="s">
        <v>18</v>
      </c>
      <c r="D245" s="13">
        <f>Mulanje!O245</f>
        <v>0</v>
      </c>
      <c r="E245" s="13">
        <f>Luchenza!O245</f>
        <v>0</v>
      </c>
      <c r="F245" s="13">
        <f>Thyolo!O245</f>
        <v>0</v>
      </c>
      <c r="G245" s="13">
        <f>Muloza!O245</f>
        <v>0</v>
      </c>
      <c r="H245" s="13">
        <f>MUST!O245</f>
        <v>0</v>
      </c>
      <c r="I245" s="13">
        <f>Phalombe!O245</f>
        <v>0</v>
      </c>
      <c r="J245" s="13">
        <f>Mikolongwe!O245</f>
        <v>0</v>
      </c>
      <c r="K245" s="13">
        <f>Migowi!O245</f>
        <v>0</v>
      </c>
      <c r="L245" s="13">
        <f>Nkando!P245</f>
        <v>0</v>
      </c>
      <c r="M245" s="35">
        <f>SUM(D245:L245)</f>
        <v>0</v>
      </c>
    </row>
    <row r="246" spans="1:13" ht="15.75" x14ac:dyDescent="0.25">
      <c r="A246" s="456" t="s">
        <v>208</v>
      </c>
      <c r="B246" s="457"/>
      <c r="C246" s="4" t="s">
        <v>18</v>
      </c>
      <c r="D246" s="13">
        <f>Mulanje!O246</f>
        <v>0</v>
      </c>
      <c r="E246" s="13">
        <f>Luchenza!O246</f>
        <v>0</v>
      </c>
      <c r="F246" s="13">
        <f>Thyolo!O246</f>
        <v>0</v>
      </c>
      <c r="G246" s="13">
        <f>Muloza!O246</f>
        <v>0</v>
      </c>
      <c r="H246" s="13">
        <f>MUST!O246</f>
        <v>0</v>
      </c>
      <c r="I246" s="13">
        <f>Phalombe!O246</f>
        <v>0</v>
      </c>
      <c r="J246" s="13">
        <f>Mikolongwe!O246</f>
        <v>0</v>
      </c>
      <c r="K246" s="13">
        <f>Migowi!O246</f>
        <v>0</v>
      </c>
      <c r="L246" s="13">
        <f>Nkando!P246</f>
        <v>0</v>
      </c>
      <c r="M246" s="35">
        <f>SUM(D246:L246)</f>
        <v>0</v>
      </c>
    </row>
    <row r="247" spans="1:13" ht="15.75" x14ac:dyDescent="0.25">
      <c r="A247" s="458" t="s">
        <v>209</v>
      </c>
      <c r="B247" s="459"/>
      <c r="C247" s="4" t="s">
        <v>18</v>
      </c>
      <c r="D247" s="129">
        <f>D245+D246</f>
        <v>0</v>
      </c>
      <c r="E247" s="129">
        <f t="shared" ref="E247:M247" si="126">E245+E246</f>
        <v>0</v>
      </c>
      <c r="F247" s="129">
        <f t="shared" si="126"/>
        <v>0</v>
      </c>
      <c r="G247" s="129">
        <f t="shared" si="126"/>
        <v>0</v>
      </c>
      <c r="H247" s="129">
        <f t="shared" si="126"/>
        <v>0</v>
      </c>
      <c r="I247" s="129">
        <f t="shared" si="126"/>
        <v>0</v>
      </c>
      <c r="J247" s="129">
        <f t="shared" si="126"/>
        <v>0</v>
      </c>
      <c r="K247" s="129">
        <f t="shared" si="126"/>
        <v>0</v>
      </c>
      <c r="L247" s="129">
        <f t="shared" ref="L247" si="127">L245+L246</f>
        <v>0</v>
      </c>
      <c r="M247" s="147">
        <f t="shared" si="126"/>
        <v>0</v>
      </c>
    </row>
    <row r="248" spans="1:13" x14ac:dyDescent="0.25">
      <c r="A248" s="442" t="s">
        <v>17</v>
      </c>
      <c r="B248" s="443"/>
      <c r="C248" s="443"/>
      <c r="D248" s="443"/>
      <c r="E248" s="443"/>
      <c r="F248" s="443"/>
      <c r="G248" s="443"/>
      <c r="H248" s="443"/>
      <c r="I248" s="443"/>
      <c r="J248" s="443"/>
      <c r="K248" s="443"/>
      <c r="L248" s="443"/>
      <c r="M248" s="444"/>
    </row>
    <row r="249" spans="1:13" ht="15.75" x14ac:dyDescent="0.25">
      <c r="A249" s="445" t="s">
        <v>16</v>
      </c>
      <c r="B249" s="446"/>
      <c r="C249" s="4" t="s">
        <v>6</v>
      </c>
      <c r="D249" s="7" t="e">
        <f>D58/D243%</f>
        <v>#DIV/0!</v>
      </c>
      <c r="E249" s="7" t="e">
        <f t="shared" ref="E249:M249" si="128">E58/E243%</f>
        <v>#DIV/0!</v>
      </c>
      <c r="F249" s="7" t="e">
        <f t="shared" si="128"/>
        <v>#DIV/0!</v>
      </c>
      <c r="G249" s="7" t="e">
        <f t="shared" si="128"/>
        <v>#DIV/0!</v>
      </c>
      <c r="H249" s="7" t="e">
        <f t="shared" si="128"/>
        <v>#DIV/0!</v>
      </c>
      <c r="I249" s="7" t="e">
        <f t="shared" si="128"/>
        <v>#DIV/0!</v>
      </c>
      <c r="J249" s="7" t="e">
        <f t="shared" si="128"/>
        <v>#DIV/0!</v>
      </c>
      <c r="K249" s="7" t="e">
        <f t="shared" si="128"/>
        <v>#DIV/0!</v>
      </c>
      <c r="L249" s="7" t="e">
        <f t="shared" ref="L249" si="129">L58/L243%</f>
        <v>#DIV/0!</v>
      </c>
      <c r="M249" s="101">
        <f t="shared" si="128"/>
        <v>50.222179065256441</v>
      </c>
    </row>
    <row r="250" spans="1:13" ht="15.75" x14ac:dyDescent="0.25">
      <c r="A250" s="445" t="s">
        <v>210</v>
      </c>
      <c r="B250" s="446"/>
      <c r="C250" s="4" t="s">
        <v>6</v>
      </c>
      <c r="D250" s="25" t="e">
        <f>D210/(D223+D245)%</f>
        <v>#DIV/0!</v>
      </c>
      <c r="E250" s="25" t="e">
        <f t="shared" ref="E250:M250" si="130">E210/(E223+E245)%</f>
        <v>#DIV/0!</v>
      </c>
      <c r="F250" s="25" t="e">
        <f t="shared" si="130"/>
        <v>#DIV/0!</v>
      </c>
      <c r="G250" s="25" t="e">
        <f t="shared" si="130"/>
        <v>#DIV/0!</v>
      </c>
      <c r="H250" s="25" t="e">
        <f t="shared" si="130"/>
        <v>#DIV/0!</v>
      </c>
      <c r="I250" s="25" t="e">
        <f t="shared" si="130"/>
        <v>#DIV/0!</v>
      </c>
      <c r="J250" s="25" t="e">
        <f t="shared" si="130"/>
        <v>#DIV/0!</v>
      </c>
      <c r="K250" s="25" t="e">
        <f t="shared" si="130"/>
        <v>#DIV/0!</v>
      </c>
      <c r="L250" s="25" t="e">
        <f t="shared" ref="L250" si="131">L210/(L223+L245)%</f>
        <v>#DIV/0!</v>
      </c>
      <c r="M250" s="98" t="e">
        <f t="shared" si="130"/>
        <v>#DIV/0!</v>
      </c>
    </row>
    <row r="251" spans="1:13" ht="16.5" thickBot="1" x14ac:dyDescent="0.3">
      <c r="A251" s="451" t="s">
        <v>15</v>
      </c>
      <c r="B251" s="452"/>
      <c r="C251" s="4" t="s">
        <v>6</v>
      </c>
      <c r="D251" s="6" t="e">
        <f>D210/D223%</f>
        <v>#DIV/0!</v>
      </c>
      <c r="E251" s="6" t="e">
        <f t="shared" ref="E251:M251" si="132">E210/E223%</f>
        <v>#DIV/0!</v>
      </c>
      <c r="F251" s="6" t="e">
        <f t="shared" si="132"/>
        <v>#DIV/0!</v>
      </c>
      <c r="G251" s="6" t="e">
        <f t="shared" si="132"/>
        <v>#DIV/0!</v>
      </c>
      <c r="H251" s="6" t="e">
        <f t="shared" si="132"/>
        <v>#DIV/0!</v>
      </c>
      <c r="I251" s="6" t="e">
        <f t="shared" si="132"/>
        <v>#DIV/0!</v>
      </c>
      <c r="J251" s="6" t="e">
        <f t="shared" si="132"/>
        <v>#DIV/0!</v>
      </c>
      <c r="K251" s="6" t="e">
        <f t="shared" si="132"/>
        <v>#DIV/0!</v>
      </c>
      <c r="L251" s="6" t="e">
        <f t="shared" ref="L251" si="133">L210/L223%</f>
        <v>#DIV/0!</v>
      </c>
      <c r="M251" s="102" t="e">
        <f t="shared" si="132"/>
        <v>#DIV/0!</v>
      </c>
    </row>
    <row r="252" spans="1:13" x14ac:dyDescent="0.25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5"/>
    </row>
    <row r="253" spans="1:13" ht="15" customHeight="1" x14ac:dyDescent="0.25">
      <c r="A253" s="445" t="s">
        <v>13</v>
      </c>
      <c r="B253" s="446"/>
      <c r="C253" s="4" t="s">
        <v>3</v>
      </c>
      <c r="D253" s="22">
        <f>Mulanje!M253+Mulanje!N253+Mulanje!O253</f>
        <v>0</v>
      </c>
      <c r="E253" s="22">
        <f>Luchenza!M253+Luchenza!N253+Luchenza!O253</f>
        <v>0</v>
      </c>
      <c r="F253" s="22">
        <f>Thyolo!M253+Thyolo!N253+Thyolo!O253</f>
        <v>0</v>
      </c>
      <c r="G253" s="22">
        <f>Muloza!M253+Muloza!N253+Muloza!O253</f>
        <v>0</v>
      </c>
      <c r="H253" s="22">
        <f>MUST!M253+MUST!N253+MUST!O253</f>
        <v>0</v>
      </c>
      <c r="I253" s="22">
        <f>Phalombe!M253+Phalombe!N253+Phalombe!O253</f>
        <v>0</v>
      </c>
      <c r="J253" s="22">
        <f>Mikolongwe!M253+Mikolongwe!N253+Mikolongwe!O253</f>
        <v>0</v>
      </c>
      <c r="K253" s="22">
        <f>Migowi!M253+Migowi!N253+Migowi!O253</f>
        <v>0</v>
      </c>
      <c r="L253" s="22">
        <f>Nkando!N253+Nkando!O253+Nkando!P253</f>
        <v>7</v>
      </c>
      <c r="M253" s="103">
        <f>SUM(D253:L253)</f>
        <v>7</v>
      </c>
    </row>
    <row r="254" spans="1:13" ht="15.75" x14ac:dyDescent="0.25">
      <c r="A254" s="445" t="s">
        <v>12</v>
      </c>
      <c r="B254" s="446"/>
      <c r="C254" s="4" t="s">
        <v>3</v>
      </c>
      <c r="D254" s="22">
        <f>Mulanje!M254+Mulanje!N254+Mulanje!O254</f>
        <v>0</v>
      </c>
      <c r="E254" s="22">
        <f>Luchenza!M254+Luchenza!N254+Luchenza!O254</f>
        <v>0</v>
      </c>
      <c r="F254" s="22">
        <f>Thyolo!M254+Thyolo!N254+Thyolo!O254</f>
        <v>0</v>
      </c>
      <c r="G254" s="22">
        <f>Muloza!M254+Muloza!N254+Muloza!O254</f>
        <v>0</v>
      </c>
      <c r="H254" s="22">
        <f>MUST!M254+MUST!N254+MUST!O254</f>
        <v>0</v>
      </c>
      <c r="I254" s="22">
        <f>Phalombe!M254+Phalombe!N254+Phalombe!O254</f>
        <v>0</v>
      </c>
      <c r="J254" s="22">
        <f>Mikolongwe!M254+Mikolongwe!N254+Mikolongwe!O254</f>
        <v>0</v>
      </c>
      <c r="K254" s="22">
        <f>Migowi!M254+Migowi!N254+Migowi!O254</f>
        <v>0</v>
      </c>
      <c r="L254" s="22">
        <f>Nkando!N254+Nkando!O254+Nkando!P254</f>
        <v>7</v>
      </c>
      <c r="M254" s="103">
        <f>SUM(D254:L254)</f>
        <v>7</v>
      </c>
    </row>
    <row r="255" spans="1:13" ht="15.75" customHeight="1" x14ac:dyDescent="0.25">
      <c r="A255" s="445" t="s">
        <v>11</v>
      </c>
      <c r="B255" s="446"/>
      <c r="C255" s="4" t="s">
        <v>3</v>
      </c>
      <c r="D255" s="22">
        <f>Mulanje!M255+Mulanje!N255+Mulanje!O255</f>
        <v>40</v>
      </c>
      <c r="E255" s="22">
        <f>Luchenza!M255+Luchenza!N255+Luchenza!O255</f>
        <v>86</v>
      </c>
      <c r="F255" s="22">
        <f>Thyolo!M255+Thyolo!N255+Thyolo!O255</f>
        <v>32</v>
      </c>
      <c r="G255" s="22">
        <f>Muloza!M255+Muloza!N255+Muloza!O255</f>
        <v>130</v>
      </c>
      <c r="H255" s="22">
        <f>MUST!M255+MUST!N255+MUST!O255</f>
        <v>6</v>
      </c>
      <c r="I255" s="22">
        <f>Phalombe!M255+Phalombe!N255+Phalombe!O255</f>
        <v>80</v>
      </c>
      <c r="J255" s="22">
        <f>Mikolongwe!M255+Mikolongwe!N255+Mikolongwe!O255</f>
        <v>0</v>
      </c>
      <c r="K255" s="22">
        <f>Migowi!M255+Migowi!N255+Migowi!O255</f>
        <v>0</v>
      </c>
      <c r="L255" s="22">
        <f>Nkando!N255+Nkando!O255+Nkando!P255</f>
        <v>56</v>
      </c>
      <c r="M255" s="103">
        <f>SUM(D255:L255)</f>
        <v>430</v>
      </c>
    </row>
    <row r="256" spans="1:13" ht="15.75" x14ac:dyDescent="0.25">
      <c r="A256" s="445" t="s">
        <v>10</v>
      </c>
      <c r="B256" s="446"/>
      <c r="C256" s="4" t="s">
        <v>3</v>
      </c>
      <c r="D256" s="22">
        <f>Mulanje!M256+Mulanje!N256+Mulanje!O256</f>
        <v>0</v>
      </c>
      <c r="E256" s="22">
        <f>Luchenza!M256+Luchenza!N256+Luchenza!O256</f>
        <v>0</v>
      </c>
      <c r="F256" s="22">
        <f>Thyolo!M256+Thyolo!N256+Thyolo!O256</f>
        <v>0</v>
      </c>
      <c r="G256" s="22">
        <f>Muloza!M256+Muloza!N256+Muloza!O256</f>
        <v>0</v>
      </c>
      <c r="H256" s="22">
        <f>MUST!M256+MUST!N256+MUST!O256</f>
        <v>0</v>
      </c>
      <c r="I256" s="22">
        <f>Phalombe!M256+Phalombe!N256+Phalombe!O256</f>
        <v>0</v>
      </c>
      <c r="J256" s="22">
        <f>Mikolongwe!M256+Mikolongwe!N256+Mikolongwe!O256</f>
        <v>0</v>
      </c>
      <c r="K256" s="22">
        <f>Migowi!M256+Migowi!N256+Migowi!O256</f>
        <v>0</v>
      </c>
      <c r="L256" s="22">
        <f>Nkando!N256+Nkando!O256+Nkando!P256</f>
        <v>13</v>
      </c>
      <c r="M256" s="103">
        <f>SUM(D256:L256)</f>
        <v>13</v>
      </c>
    </row>
    <row r="257" spans="1:13" ht="15.6" customHeight="1" x14ac:dyDescent="0.25">
      <c r="A257" s="445" t="s">
        <v>9</v>
      </c>
      <c r="B257" s="446"/>
      <c r="C257" s="4" t="s">
        <v>3</v>
      </c>
      <c r="D257" s="22">
        <f>Mulanje!M257+Mulanje!N257+Mulanje!O257</f>
        <v>0</v>
      </c>
      <c r="E257" s="22">
        <f>Luchenza!M257+Luchenza!N257+Luchenza!O257</f>
        <v>0</v>
      </c>
      <c r="F257" s="22">
        <f>Thyolo!M257+Thyolo!N257+Thyolo!O257</f>
        <v>0</v>
      </c>
      <c r="G257" s="22">
        <f>Muloza!M257+Muloza!N257+Muloza!O257</f>
        <v>0</v>
      </c>
      <c r="H257" s="22">
        <f>MUST!M257+MUST!N257+MUST!O257</f>
        <v>0</v>
      </c>
      <c r="I257" s="22">
        <f>Phalombe!M257+Phalombe!N257+Phalombe!O257</f>
        <v>0</v>
      </c>
      <c r="J257" s="22">
        <f>Mikolongwe!M257+Mikolongwe!N257+Mikolongwe!O257</f>
        <v>0</v>
      </c>
      <c r="K257" s="22">
        <f>Migowi!M257+Migowi!N257+Migowi!O257</f>
        <v>0</v>
      </c>
      <c r="L257" s="22">
        <f>Nkando!N257+Nkando!O257+Nkando!P257</f>
        <v>90</v>
      </c>
      <c r="M257" s="103">
        <f>SUM(D257:L257)</f>
        <v>90</v>
      </c>
    </row>
    <row r="258" spans="1:13" ht="15.75" x14ac:dyDescent="0.25">
      <c r="A258" s="449" t="s">
        <v>8</v>
      </c>
      <c r="B258" s="450"/>
      <c r="C258" s="4" t="s">
        <v>3</v>
      </c>
      <c r="D258" s="1" t="e">
        <f t="shared" ref="D258:M258" si="134">D257/D256</f>
        <v>#DIV/0!</v>
      </c>
      <c r="E258" s="1" t="e">
        <f t="shared" si="134"/>
        <v>#DIV/0!</v>
      </c>
      <c r="F258" s="1" t="e">
        <f t="shared" si="134"/>
        <v>#DIV/0!</v>
      </c>
      <c r="G258" s="2" t="e">
        <f t="shared" si="134"/>
        <v>#DIV/0!</v>
      </c>
      <c r="H258" s="2" t="e">
        <f t="shared" si="134"/>
        <v>#DIV/0!</v>
      </c>
      <c r="I258" s="2" t="e">
        <f t="shared" si="134"/>
        <v>#DIV/0!</v>
      </c>
      <c r="J258" s="2" t="e">
        <f t="shared" si="134"/>
        <v>#DIV/0!</v>
      </c>
      <c r="K258" s="2" t="e">
        <f t="shared" si="134"/>
        <v>#DIV/0!</v>
      </c>
      <c r="L258" s="2">
        <f t="shared" ref="L258" si="135">L257/L256</f>
        <v>6.9230769230769234</v>
      </c>
      <c r="M258" s="103">
        <f t="shared" si="134"/>
        <v>6.9230769230769234</v>
      </c>
    </row>
    <row r="259" spans="1:13" ht="15.75" x14ac:dyDescent="0.25">
      <c r="A259" s="449" t="s">
        <v>7</v>
      </c>
      <c r="B259" s="450"/>
      <c r="C259" s="4" t="s">
        <v>6</v>
      </c>
      <c r="D259" s="1">
        <f t="shared" ref="D259:M259" si="136">D92/D255*100</f>
        <v>0</v>
      </c>
      <c r="E259" s="1">
        <f t="shared" si="136"/>
        <v>0</v>
      </c>
      <c r="F259" s="1">
        <f t="shared" si="136"/>
        <v>0</v>
      </c>
      <c r="G259" s="5">
        <f t="shared" si="136"/>
        <v>0</v>
      </c>
      <c r="H259" s="5">
        <f t="shared" si="136"/>
        <v>0</v>
      </c>
      <c r="I259" s="5">
        <f t="shared" si="136"/>
        <v>0</v>
      </c>
      <c r="J259" s="5" t="e">
        <f t="shared" si="136"/>
        <v>#DIV/0!</v>
      </c>
      <c r="K259" s="5" t="e">
        <f t="shared" si="136"/>
        <v>#DIV/0!</v>
      </c>
      <c r="L259" s="5">
        <f t="shared" ref="L259" si="137">L92/L255*100</f>
        <v>0</v>
      </c>
      <c r="M259" s="104">
        <f t="shared" si="136"/>
        <v>0</v>
      </c>
    </row>
    <row r="260" spans="1:13" x14ac:dyDescent="0.25">
      <c r="A260" s="442" t="s">
        <v>5</v>
      </c>
      <c r="B260" s="443"/>
      <c r="C260" s="443"/>
      <c r="D260" s="443"/>
      <c r="E260" s="443"/>
      <c r="F260" s="443"/>
      <c r="G260" s="443"/>
      <c r="H260" s="443"/>
      <c r="I260" s="443"/>
      <c r="J260" s="443"/>
      <c r="K260" s="443"/>
      <c r="L260" s="443"/>
      <c r="M260" s="444"/>
    </row>
    <row r="261" spans="1:13" ht="15" customHeight="1" x14ac:dyDescent="0.25">
      <c r="A261" s="445" t="s">
        <v>4</v>
      </c>
      <c r="B261" s="446"/>
      <c r="C261" s="4" t="s">
        <v>3</v>
      </c>
      <c r="D261" s="22">
        <f>Mulanje!M261+Mulanje!N261+Mulanje!O261</f>
        <v>0</v>
      </c>
      <c r="E261" s="22">
        <f>Luchenza!M261+Luchenza!N261+Luchenza!O261</f>
        <v>0</v>
      </c>
      <c r="F261" s="22">
        <f>Thyolo!M261+Thyolo!N261+Thyolo!O261</f>
        <v>0</v>
      </c>
      <c r="G261" s="22">
        <f>Muloza!M261+Muloza!N261+Muloza!O261</f>
        <v>0</v>
      </c>
      <c r="H261" s="22">
        <f>MUST!M261+MUST!N261+MUST!O261</f>
        <v>0</v>
      </c>
      <c r="I261" s="22">
        <f>Phalombe!M261+Phalombe!N261+Phalombe!O261</f>
        <v>0</v>
      </c>
      <c r="J261" s="22">
        <f>Mikolongwe!M261+Mikolongwe!N261+Mikolongwe!O261</f>
        <v>0</v>
      </c>
      <c r="K261" s="22">
        <f>Migowi!M261+Migowi!N261+Migowi!O261</f>
        <v>0</v>
      </c>
      <c r="L261" s="22">
        <f>Nkando!N261+Nkando!O261+Nkando!P261</f>
        <v>12</v>
      </c>
      <c r="M261" s="103"/>
    </row>
    <row r="262" spans="1:13" ht="15.75" customHeight="1" x14ac:dyDescent="0.25">
      <c r="A262" s="445" t="s">
        <v>2</v>
      </c>
      <c r="B262" s="446"/>
      <c r="C262" s="4" t="s">
        <v>0</v>
      </c>
      <c r="D262" s="22">
        <f>Mulanje!M262+Mulanje!N262+Mulanje!O262</f>
        <v>0</v>
      </c>
      <c r="E262" s="22">
        <f>Luchenza!M262+Luchenza!N262+Luchenza!O262</f>
        <v>0</v>
      </c>
      <c r="F262" s="22">
        <f>Thyolo!M262+Thyolo!N262+Thyolo!O262</f>
        <v>0</v>
      </c>
      <c r="G262" s="22">
        <f>Muloza!M262+Muloza!N262+Muloza!O262</f>
        <v>0</v>
      </c>
      <c r="H262" s="22">
        <f>MUST!M262+MUST!N262+MUST!O262</f>
        <v>0</v>
      </c>
      <c r="I262" s="22">
        <f>Phalombe!M262+Phalombe!N262+Phalombe!O262</f>
        <v>0</v>
      </c>
      <c r="J262" s="22">
        <f>Mikolongwe!M262+Mikolongwe!N262+Mikolongwe!O262</f>
        <v>0</v>
      </c>
      <c r="K262" s="22">
        <f>Migowi!M262+Migowi!N262+Migowi!O262</f>
        <v>0</v>
      </c>
      <c r="L262" s="22">
        <f>Nkando!N262+Nkando!O262+Nkando!P262</f>
        <v>7</v>
      </c>
      <c r="M262" s="103"/>
    </row>
    <row r="263" spans="1:13" ht="16.5" thickBot="1" x14ac:dyDescent="0.3">
      <c r="A263" s="447" t="s">
        <v>1</v>
      </c>
      <c r="B263" s="448"/>
      <c r="C263" s="105" t="s">
        <v>0</v>
      </c>
      <c r="D263" s="106" t="e">
        <f t="shared" ref="D263:M263" si="138">D261/D262</f>
        <v>#DIV/0!</v>
      </c>
      <c r="E263" s="106" t="e">
        <f t="shared" si="138"/>
        <v>#DIV/0!</v>
      </c>
      <c r="F263" s="106" t="e">
        <f t="shared" si="138"/>
        <v>#DIV/0!</v>
      </c>
      <c r="G263" s="106" t="e">
        <f t="shared" si="138"/>
        <v>#DIV/0!</v>
      </c>
      <c r="H263" s="106" t="e">
        <f t="shared" si="138"/>
        <v>#DIV/0!</v>
      </c>
      <c r="I263" s="106" t="e">
        <f t="shared" si="138"/>
        <v>#DIV/0!</v>
      </c>
      <c r="J263" s="106" t="e">
        <f t="shared" si="138"/>
        <v>#DIV/0!</v>
      </c>
      <c r="K263" s="106" t="e">
        <f t="shared" si="138"/>
        <v>#DIV/0!</v>
      </c>
      <c r="L263" s="106">
        <f t="shared" ref="L263" si="139">L261/L262</f>
        <v>1.7142857142857142</v>
      </c>
      <c r="M263" s="158" t="e">
        <f t="shared" si="138"/>
        <v>#DIV/0!</v>
      </c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265"/>
  <sheetViews>
    <sheetView zoomScale="68" zoomScaleNormal="68" workbookViewId="0">
      <pane xSplit="2" ySplit="8" topLeftCell="C243" activePane="bottomRight" state="frozen"/>
      <selection pane="topRight" activeCell="C1" sqref="C1"/>
      <selection pane="bottomLeft" activeCell="A9" sqref="A9"/>
      <selection pane="bottomRight" activeCell="D9" sqref="D9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10" width="19.140625" customWidth="1"/>
    <col min="11" max="12" width="23.140625" customWidth="1"/>
    <col min="13" max="13" width="21.140625" bestFit="1" customWidth="1"/>
  </cols>
  <sheetData>
    <row r="1" spans="1:13" ht="18.75" thickBot="1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.75" thickBot="1" x14ac:dyDescent="0.3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.75" thickBot="1" x14ac:dyDescent="0.3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thickBot="1" x14ac:dyDescent="0.3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5" customHeight="1" x14ac:dyDescent="0.25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5" thickBot="1" x14ac:dyDescent="0.3">
      <c r="A7" s="519" t="s">
        <v>176</v>
      </c>
      <c r="B7" s="520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.75" thickBot="1" x14ac:dyDescent="0.3">
      <c r="A8" s="521" t="s">
        <v>161</v>
      </c>
      <c r="B8" s="522"/>
      <c r="C8" s="522"/>
      <c r="D8" s="522"/>
      <c r="E8" s="522"/>
      <c r="F8" s="522"/>
      <c r="G8" s="522"/>
      <c r="H8" s="522"/>
      <c r="I8" s="522"/>
      <c r="J8" s="522"/>
      <c r="K8" s="522"/>
      <c r="L8" s="522"/>
      <c r="M8" s="523"/>
    </row>
    <row r="9" spans="1:13" ht="15.75" x14ac:dyDescent="0.25">
      <c r="A9" s="524" t="s">
        <v>178</v>
      </c>
      <c r="B9" s="525"/>
      <c r="C9" s="53" t="s">
        <v>154</v>
      </c>
      <c r="D9" s="52">
        <f>Mulanje!P9</f>
        <v>139772</v>
      </c>
      <c r="E9" s="52">
        <f>Luchenza!P9</f>
        <v>45715</v>
      </c>
      <c r="F9" s="52">
        <f>Thyolo!P9</f>
        <v>44510</v>
      </c>
      <c r="G9" s="52">
        <f>Muloza!P9</f>
        <v>29078</v>
      </c>
      <c r="H9" s="52">
        <f>MUST!P9</f>
        <v>60385</v>
      </c>
      <c r="I9" s="52">
        <f>Phalombe!P9</f>
        <v>26530</v>
      </c>
      <c r="J9" s="52">
        <f>Mikolongwe!P9</f>
        <v>2390</v>
      </c>
      <c r="K9" s="52">
        <f>Migowi!P9</f>
        <v>2976</v>
      </c>
      <c r="L9" s="52">
        <f>Nkando!P9</f>
        <v>6562</v>
      </c>
      <c r="M9" s="137">
        <f>SUM(D9:L9)</f>
        <v>357918</v>
      </c>
    </row>
    <row r="10" spans="1:13" x14ac:dyDescent="0.25">
      <c r="A10" s="442" t="s">
        <v>179</v>
      </c>
      <c r="B10" s="443"/>
      <c r="C10" s="443"/>
      <c r="D10" s="526"/>
      <c r="E10" s="526"/>
      <c r="F10" s="526"/>
      <c r="G10" s="526"/>
      <c r="H10" s="526"/>
      <c r="I10" s="526"/>
      <c r="J10" s="526"/>
      <c r="K10" s="526"/>
      <c r="L10" s="526"/>
      <c r="M10" s="444"/>
    </row>
    <row r="11" spans="1:13" ht="15.75" x14ac:dyDescent="0.25">
      <c r="A11" s="460" t="s">
        <v>159</v>
      </c>
      <c r="B11" s="461"/>
      <c r="C11" s="4" t="s">
        <v>154</v>
      </c>
      <c r="D11" s="22">
        <f>Mulanje!P11</f>
        <v>50455</v>
      </c>
      <c r="E11" s="22">
        <f>Luchenza!P11</f>
        <v>16229</v>
      </c>
      <c r="F11" s="22">
        <f>Thyolo!P11</f>
        <v>11925</v>
      </c>
      <c r="G11" s="22">
        <f>Muloza!P11</f>
        <v>8595</v>
      </c>
      <c r="H11" s="22">
        <f>MUST!P11</f>
        <v>2451</v>
      </c>
      <c r="I11" s="22">
        <f>Phalombe!P11</f>
        <v>7701</v>
      </c>
      <c r="J11" s="22">
        <f>Mikolongwe!P11</f>
        <v>0</v>
      </c>
      <c r="K11" s="22">
        <f>Migowi!P11</f>
        <v>0</v>
      </c>
      <c r="L11" s="22">
        <f>Nkando!P11</f>
        <v>0</v>
      </c>
      <c r="M11" s="50">
        <f>SUM(D11:L11)</f>
        <v>97356</v>
      </c>
    </row>
    <row r="12" spans="1:13" ht="15.75" x14ac:dyDescent="0.25">
      <c r="A12" s="460" t="s">
        <v>158</v>
      </c>
      <c r="B12" s="461"/>
      <c r="C12" s="4" t="s">
        <v>154</v>
      </c>
      <c r="D12" s="22">
        <f>Mulanje!P12</f>
        <v>2740</v>
      </c>
      <c r="E12" s="22">
        <f>Luchenza!P12</f>
        <v>66</v>
      </c>
      <c r="F12" s="22">
        <f>Thyolo!P12</f>
        <v>12</v>
      </c>
      <c r="G12" s="22">
        <f>Muloza!P12</f>
        <v>37</v>
      </c>
      <c r="H12" s="22">
        <f>MUST!P12</f>
        <v>0</v>
      </c>
      <c r="I12" s="22">
        <f>Phalombe!P12</f>
        <v>0</v>
      </c>
      <c r="J12" s="22">
        <f>Mikolongwe!P12</f>
        <v>0</v>
      </c>
      <c r="K12" s="22">
        <f>Migowi!P12</f>
        <v>0</v>
      </c>
      <c r="L12" s="22">
        <f>Nkando!P12</f>
        <v>0</v>
      </c>
      <c r="M12" s="50">
        <f>SUM(D12:L12)</f>
        <v>2855</v>
      </c>
    </row>
    <row r="13" spans="1:13" ht="15.75" x14ac:dyDescent="0.25">
      <c r="A13" s="460" t="s">
        <v>157</v>
      </c>
      <c r="B13" s="461"/>
      <c r="C13" s="4" t="s">
        <v>154</v>
      </c>
      <c r="D13" s="22">
        <f>Mulanje!P13</f>
        <v>363</v>
      </c>
      <c r="E13" s="22">
        <f>Luchenza!P13</f>
        <v>32</v>
      </c>
      <c r="F13" s="22">
        <f>Thyolo!P13</f>
        <v>0</v>
      </c>
      <c r="G13" s="22">
        <f>Muloza!P13</f>
        <v>0</v>
      </c>
      <c r="H13" s="22">
        <f>MUST!P13</f>
        <v>72</v>
      </c>
      <c r="I13" s="22">
        <f>Phalombe!P13</f>
        <v>0</v>
      </c>
      <c r="J13" s="22">
        <f>Mikolongwe!P13</f>
        <v>0</v>
      </c>
      <c r="K13" s="22">
        <f>Migowi!P13</f>
        <v>0</v>
      </c>
      <c r="L13" s="22">
        <f>Nkando!P13</f>
        <v>0</v>
      </c>
      <c r="M13" s="50">
        <f>SUM(D13:L13)</f>
        <v>467</v>
      </c>
    </row>
    <row r="14" spans="1:13" ht="15.75" x14ac:dyDescent="0.25">
      <c r="A14" s="445" t="s">
        <v>156</v>
      </c>
      <c r="B14" s="446"/>
      <c r="C14" s="4" t="s">
        <v>154</v>
      </c>
      <c r="D14" s="22">
        <f>Mulanje!P14</f>
        <v>572</v>
      </c>
      <c r="E14" s="22">
        <f>Luchenza!P14</f>
        <v>67</v>
      </c>
      <c r="F14" s="22">
        <f>Thyolo!P14</f>
        <v>93</v>
      </c>
      <c r="G14" s="22">
        <f>Muloza!P14</f>
        <v>34</v>
      </c>
      <c r="H14" s="22">
        <f>MUST!P14</f>
        <v>0</v>
      </c>
      <c r="I14" s="22">
        <f>Phalombe!P14</f>
        <v>13</v>
      </c>
      <c r="J14" s="22">
        <f>Mikolongwe!P14</f>
        <v>0</v>
      </c>
      <c r="K14" s="22">
        <f>Migowi!P14</f>
        <v>0</v>
      </c>
      <c r="L14" s="22">
        <f>Nkando!P14</f>
        <v>0</v>
      </c>
      <c r="M14" s="50">
        <f>SUM(D14:L14)</f>
        <v>779</v>
      </c>
    </row>
    <row r="15" spans="1:13" s="58" customFormat="1" ht="15.75" x14ac:dyDescent="0.25">
      <c r="A15" s="478" t="s">
        <v>160</v>
      </c>
      <c r="B15" s="479"/>
      <c r="C15" s="57" t="s">
        <v>154</v>
      </c>
      <c r="D15" s="30">
        <f t="shared" ref="D15:M15" si="0">SUM(D11:D14)</f>
        <v>54130</v>
      </c>
      <c r="E15" s="30">
        <f t="shared" si="0"/>
        <v>16394</v>
      </c>
      <c r="F15" s="30">
        <f t="shared" si="0"/>
        <v>12030</v>
      </c>
      <c r="G15" s="30">
        <f t="shared" si="0"/>
        <v>8666</v>
      </c>
      <c r="H15" s="30">
        <f t="shared" si="0"/>
        <v>2523</v>
      </c>
      <c r="I15" s="30">
        <f t="shared" si="0"/>
        <v>7714</v>
      </c>
      <c r="J15" s="30">
        <f t="shared" si="0"/>
        <v>0</v>
      </c>
      <c r="K15" s="30">
        <f t="shared" si="0"/>
        <v>0</v>
      </c>
      <c r="L15" s="30">
        <f t="shared" ref="L15" si="1">SUM(L11:L14)</f>
        <v>0</v>
      </c>
      <c r="M15" s="50">
        <f t="shared" si="0"/>
        <v>101457</v>
      </c>
    </row>
    <row r="16" spans="1:13" x14ac:dyDescent="0.25">
      <c r="A16" s="442" t="s">
        <v>180</v>
      </c>
      <c r="B16" s="443"/>
      <c r="C16" s="443"/>
      <c r="D16" s="443"/>
      <c r="E16" s="443"/>
      <c r="F16" s="443"/>
      <c r="G16" s="443"/>
      <c r="H16" s="443"/>
      <c r="I16" s="443"/>
      <c r="J16" s="443"/>
      <c r="K16" s="443"/>
      <c r="L16" s="443"/>
      <c r="M16" s="444"/>
    </row>
    <row r="17" spans="1:13" ht="15.75" x14ac:dyDescent="0.25">
      <c r="A17" s="460" t="s">
        <v>182</v>
      </c>
      <c r="B17" s="461"/>
      <c r="C17" s="4" t="s">
        <v>154</v>
      </c>
      <c r="D17" s="22">
        <f>Mulanje!P17</f>
        <v>25047.230000000018</v>
      </c>
      <c r="E17" s="22">
        <f>Luchenza!P17</f>
        <v>14129</v>
      </c>
      <c r="F17" s="22">
        <f>Thyolo!P17</f>
        <v>12798.8</v>
      </c>
      <c r="G17" s="22">
        <f>Muloza!P17</f>
        <v>9432</v>
      </c>
      <c r="H17" s="22">
        <f>MUST!P17</f>
        <v>6531</v>
      </c>
      <c r="I17" s="22">
        <f>Phalombe!P17</f>
        <v>9847.5</v>
      </c>
      <c r="J17" s="22">
        <f>Mikolongwe!P17</f>
        <v>684</v>
      </c>
      <c r="K17" s="22">
        <f>Migowi!P17</f>
        <v>2464</v>
      </c>
      <c r="L17" s="22">
        <f>Nkando!P17</f>
        <v>4867.8999999999996</v>
      </c>
      <c r="M17" s="50">
        <f>SUM(D17:L17)</f>
        <v>85801.430000000008</v>
      </c>
    </row>
    <row r="18" spans="1:13" ht="15.75" x14ac:dyDescent="0.25">
      <c r="A18" s="460" t="s">
        <v>183</v>
      </c>
      <c r="B18" s="461"/>
      <c r="C18" s="4" t="s">
        <v>154</v>
      </c>
      <c r="D18" s="22">
        <f>Mulanje!P18</f>
        <v>0</v>
      </c>
      <c r="E18" s="22">
        <f>Luchenza!P18</f>
        <v>641</v>
      </c>
      <c r="F18" s="22">
        <f>Thyolo!P18</f>
        <v>22</v>
      </c>
      <c r="G18" s="22">
        <f>Muloza!P18</f>
        <v>60</v>
      </c>
      <c r="H18" s="22">
        <f>MUST!P18</f>
        <v>0</v>
      </c>
      <c r="I18" s="22">
        <f>Phalombe!P18</f>
        <v>140.4</v>
      </c>
      <c r="J18" s="22">
        <f>Mikolongwe!P18</f>
        <v>0</v>
      </c>
      <c r="K18" s="22">
        <f>Migowi!P18</f>
        <v>0</v>
      </c>
      <c r="L18" s="22">
        <f>Nkando!Q18</f>
        <v>0</v>
      </c>
      <c r="M18" s="50">
        <f>SUM(D18:L18)</f>
        <v>863.4</v>
      </c>
    </row>
    <row r="19" spans="1:13" ht="15.75" x14ac:dyDescent="0.25">
      <c r="A19" s="460" t="s">
        <v>184</v>
      </c>
      <c r="B19" s="461"/>
      <c r="C19" s="4" t="s">
        <v>154</v>
      </c>
      <c r="D19" s="22">
        <f>Mulanje!P19</f>
        <v>17612.329999999998</v>
      </c>
      <c r="E19" s="22">
        <f>Luchenza!P19</f>
        <v>532</v>
      </c>
      <c r="F19" s="22">
        <f>Thyolo!P19</f>
        <v>2953</v>
      </c>
      <c r="G19" s="22">
        <f>Muloza!P19</f>
        <v>285</v>
      </c>
      <c r="H19" s="22">
        <f>MUST!P19</f>
        <v>36128</v>
      </c>
      <c r="I19" s="22">
        <f>Phalombe!P19</f>
        <v>967.9</v>
      </c>
      <c r="J19" s="22">
        <f>Mikolongwe!P19</f>
        <v>1252</v>
      </c>
      <c r="K19" s="22">
        <f>Migowi!P19</f>
        <v>0</v>
      </c>
      <c r="L19" s="22">
        <f>Nkando!Q19</f>
        <v>0</v>
      </c>
      <c r="M19" s="50">
        <f>SUM(D19:L19)</f>
        <v>59730.23</v>
      </c>
    </row>
    <row r="20" spans="1:13" ht="15.75" x14ac:dyDescent="0.25">
      <c r="A20" s="445" t="s">
        <v>185</v>
      </c>
      <c r="B20" s="446"/>
      <c r="C20" s="4" t="s">
        <v>154</v>
      </c>
      <c r="D20" s="22">
        <f>Mulanje!P20</f>
        <v>2619</v>
      </c>
      <c r="E20" s="22">
        <f>Luchenza!P20</f>
        <v>789</v>
      </c>
      <c r="F20" s="22">
        <f>Thyolo!P20</f>
        <v>975</v>
      </c>
      <c r="G20" s="22">
        <f>Muloza!P20</f>
        <v>523</v>
      </c>
      <c r="H20" s="22">
        <f>MUST!P20</f>
        <v>2588</v>
      </c>
      <c r="I20" s="22">
        <f>Phalombe!P20</f>
        <v>347.9</v>
      </c>
      <c r="J20" s="22">
        <f>Mikolongwe!P20</f>
        <v>15</v>
      </c>
      <c r="K20" s="22">
        <f>Migowi!P20</f>
        <v>0</v>
      </c>
      <c r="L20" s="22">
        <f>Nkando!Q20</f>
        <v>0</v>
      </c>
      <c r="M20" s="50">
        <f>SUM(D20:L20)</f>
        <v>7856.9</v>
      </c>
    </row>
    <row r="21" spans="1:13" s="58" customFormat="1" ht="15.75" x14ac:dyDescent="0.25">
      <c r="A21" s="478" t="s">
        <v>186</v>
      </c>
      <c r="B21" s="479"/>
      <c r="C21" s="57" t="s">
        <v>154</v>
      </c>
      <c r="D21" s="30">
        <f>SUM(D17:D20)</f>
        <v>45278.560000000012</v>
      </c>
      <c r="E21" s="30">
        <f t="shared" ref="E21:M21" si="2">SUM(E17:E20)</f>
        <v>16091</v>
      </c>
      <c r="F21" s="30">
        <f t="shared" si="2"/>
        <v>16748.8</v>
      </c>
      <c r="G21" s="30">
        <f t="shared" si="2"/>
        <v>10300</v>
      </c>
      <c r="H21" s="30">
        <f t="shared" si="2"/>
        <v>45247</v>
      </c>
      <c r="I21" s="30">
        <f t="shared" si="2"/>
        <v>11303.699999999999</v>
      </c>
      <c r="J21" s="30">
        <f t="shared" si="2"/>
        <v>1951</v>
      </c>
      <c r="K21" s="30">
        <f t="shared" si="2"/>
        <v>2464</v>
      </c>
      <c r="L21" s="30">
        <f t="shared" ref="L21" si="3">SUM(L17:L20)</f>
        <v>4867.8999999999996</v>
      </c>
      <c r="M21" s="50">
        <f t="shared" si="2"/>
        <v>154251.96</v>
      </c>
    </row>
    <row r="22" spans="1:13" ht="15.75" x14ac:dyDescent="0.25">
      <c r="A22" s="65" t="s">
        <v>187</v>
      </c>
      <c r="B22" s="69"/>
      <c r="C22" s="4" t="s">
        <v>154</v>
      </c>
      <c r="D22" s="30">
        <f>D21+D15</f>
        <v>99408.560000000012</v>
      </c>
      <c r="E22" s="30">
        <f t="shared" ref="E22:M22" si="4">E21+E15</f>
        <v>32485</v>
      </c>
      <c r="F22" s="30">
        <f t="shared" si="4"/>
        <v>28778.799999999999</v>
      </c>
      <c r="G22" s="30">
        <f t="shared" si="4"/>
        <v>18966</v>
      </c>
      <c r="H22" s="30">
        <f t="shared" si="4"/>
        <v>47770</v>
      </c>
      <c r="I22" s="30">
        <f t="shared" si="4"/>
        <v>19017.699999999997</v>
      </c>
      <c r="J22" s="30">
        <f t="shared" si="4"/>
        <v>1951</v>
      </c>
      <c r="K22" s="30">
        <f t="shared" si="4"/>
        <v>2464</v>
      </c>
      <c r="L22" s="30">
        <f t="shared" ref="L22" si="5">L21+L15</f>
        <v>4867.8999999999996</v>
      </c>
      <c r="M22" s="50">
        <f t="shared" si="4"/>
        <v>255708.96</v>
      </c>
    </row>
    <row r="23" spans="1:13" x14ac:dyDescent="0.25">
      <c r="A23" s="442" t="s">
        <v>217</v>
      </c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4"/>
    </row>
    <row r="24" spans="1:13" ht="15.75" x14ac:dyDescent="0.25">
      <c r="A24" s="517" t="s">
        <v>181</v>
      </c>
      <c r="B24" s="21" t="s">
        <v>155</v>
      </c>
      <c r="C24" s="4" t="s">
        <v>154</v>
      </c>
      <c r="D24" s="49">
        <f>D9-D22</f>
        <v>40363.439999999988</v>
      </c>
      <c r="E24" s="49">
        <f t="shared" ref="E24:M24" si="6">E9-E22</f>
        <v>13230</v>
      </c>
      <c r="F24" s="49">
        <f t="shared" si="6"/>
        <v>15731.2</v>
      </c>
      <c r="G24" s="49">
        <f t="shared" si="6"/>
        <v>10112</v>
      </c>
      <c r="H24" s="49">
        <f t="shared" si="6"/>
        <v>12615</v>
      </c>
      <c r="I24" s="49">
        <f t="shared" si="6"/>
        <v>7512.3000000000029</v>
      </c>
      <c r="J24" s="49">
        <f t="shared" si="6"/>
        <v>439</v>
      </c>
      <c r="K24" s="49">
        <f t="shared" si="6"/>
        <v>512</v>
      </c>
      <c r="L24" s="49">
        <f t="shared" ref="L24" si="7">L9-L22</f>
        <v>1694.1000000000004</v>
      </c>
      <c r="M24" s="89">
        <f t="shared" si="6"/>
        <v>102209.04000000001</v>
      </c>
    </row>
    <row r="25" spans="1:13" ht="15.75" x14ac:dyDescent="0.25">
      <c r="A25" s="518"/>
      <c r="B25" s="48" t="s">
        <v>153</v>
      </c>
      <c r="C25" s="47" t="s">
        <v>6</v>
      </c>
      <c r="D25" s="46">
        <f t="shared" ref="D25:M25" si="8">D24/D9</f>
        <v>0.28878058552499775</v>
      </c>
      <c r="E25" s="46">
        <f t="shared" si="8"/>
        <v>0.28940172809799847</v>
      </c>
      <c r="F25" s="46">
        <f t="shared" si="8"/>
        <v>0.35343068973264435</v>
      </c>
      <c r="G25" s="46">
        <f t="shared" si="8"/>
        <v>0.34775431597771511</v>
      </c>
      <c r="H25" s="46">
        <f t="shared" si="8"/>
        <v>0.20890949739173637</v>
      </c>
      <c r="I25" s="46">
        <f t="shared" si="8"/>
        <v>0.28316245759517539</v>
      </c>
      <c r="J25" s="46">
        <f t="shared" si="8"/>
        <v>0.18368200836820084</v>
      </c>
      <c r="K25" s="46">
        <f t="shared" si="8"/>
        <v>0.17204301075268819</v>
      </c>
      <c r="L25" s="46">
        <f t="shared" ref="L25" si="9">L24/L9</f>
        <v>0.25816824138982025</v>
      </c>
      <c r="M25" s="138">
        <f t="shared" si="8"/>
        <v>0.28556552059410256</v>
      </c>
    </row>
    <row r="26" spans="1:13" x14ac:dyDescent="0.25">
      <c r="A26" s="442" t="s">
        <v>152</v>
      </c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4"/>
    </row>
    <row r="27" spans="1:13" x14ac:dyDescent="0.25">
      <c r="A27" s="512" t="s">
        <v>151</v>
      </c>
      <c r="B27" s="513"/>
      <c r="C27" s="513"/>
      <c r="D27" s="513"/>
      <c r="E27" s="513"/>
      <c r="F27" s="513"/>
      <c r="G27" s="513"/>
      <c r="H27" s="513"/>
      <c r="I27" s="513"/>
      <c r="J27" s="513"/>
      <c r="K27" s="513"/>
      <c r="L27" s="513"/>
      <c r="M27" s="514"/>
    </row>
    <row r="28" spans="1:13" ht="15.75" x14ac:dyDescent="0.25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75" x14ac:dyDescent="0.25">
      <c r="A29" s="515" t="s">
        <v>148</v>
      </c>
      <c r="B29" s="441">
        <v>5111.67</v>
      </c>
      <c r="C29" s="4" t="s">
        <v>142</v>
      </c>
      <c r="D29" s="22">
        <f>Mulanje!P29</f>
        <v>281</v>
      </c>
      <c r="E29" s="22">
        <f>Luchenza!P29</f>
        <v>118</v>
      </c>
      <c r="F29" s="22">
        <f>Thyolo!P29</f>
        <v>220</v>
      </c>
      <c r="G29" s="22">
        <f>Muloza!P29</f>
        <v>45</v>
      </c>
      <c r="H29" s="22">
        <f>MUST!P29</f>
        <v>56</v>
      </c>
      <c r="I29" s="22">
        <f>Phalombe!P29</f>
        <v>72</v>
      </c>
      <c r="J29" s="22">
        <f>Mikolongwe!P29</f>
        <v>14</v>
      </c>
      <c r="K29" s="22">
        <f>Migowi!P29</f>
        <v>3</v>
      </c>
      <c r="L29" s="22">
        <f>Nkando!Q29</f>
        <v>0</v>
      </c>
      <c r="M29" s="40">
        <f>SUM(D29:L29)</f>
        <v>809</v>
      </c>
    </row>
    <row r="30" spans="1:13" ht="15.75" x14ac:dyDescent="0.25">
      <c r="A30" s="516"/>
      <c r="B30" s="441"/>
      <c r="C30" s="37" t="s">
        <v>141</v>
      </c>
      <c r="D30" s="13">
        <f t="shared" ref="D30:M30" si="10">D29/(D9/1000)</f>
        <v>2.0104169647711991</v>
      </c>
      <c r="E30" s="13">
        <f t="shared" si="10"/>
        <v>2.5812096685989281</v>
      </c>
      <c r="F30" s="13">
        <f t="shared" si="10"/>
        <v>4.942709503482364</v>
      </c>
      <c r="G30" s="13">
        <f t="shared" si="10"/>
        <v>1.5475617305179175</v>
      </c>
      <c r="H30" s="13">
        <f t="shared" si="10"/>
        <v>0.9273826281361266</v>
      </c>
      <c r="I30" s="13">
        <f t="shared" si="10"/>
        <v>2.7139087825103654</v>
      </c>
      <c r="J30" s="13">
        <f t="shared" si="10"/>
        <v>5.8577405857740583</v>
      </c>
      <c r="K30" s="13">
        <f t="shared" si="10"/>
        <v>1.0080645161290323</v>
      </c>
      <c r="L30" s="13">
        <f t="shared" ref="L30" si="11">L29/(L9/1000)</f>
        <v>0</v>
      </c>
      <c r="M30" s="92">
        <f t="shared" si="10"/>
        <v>2.2602942573438609</v>
      </c>
    </row>
    <row r="31" spans="1:13" ht="15.75" x14ac:dyDescent="0.25">
      <c r="A31" s="475" t="s">
        <v>147</v>
      </c>
      <c r="B31" s="441">
        <v>1537</v>
      </c>
      <c r="C31" s="4" t="s">
        <v>142</v>
      </c>
      <c r="D31" s="22">
        <f>Mulanje!P31</f>
        <v>0</v>
      </c>
      <c r="E31" s="22">
        <f>Luchenza!P31</f>
        <v>0</v>
      </c>
      <c r="F31" s="22">
        <f>Thyolo!P31</f>
        <v>0</v>
      </c>
      <c r="G31" s="22">
        <f>Muloza!P31</f>
        <v>0</v>
      </c>
      <c r="H31" s="22">
        <f>MUST!P31</f>
        <v>0</v>
      </c>
      <c r="I31" s="22">
        <f>Phalombe!P31</f>
        <v>0</v>
      </c>
      <c r="J31" s="22">
        <f>Mikolongwe!P31</f>
        <v>0</v>
      </c>
      <c r="K31" s="22">
        <f>Migowi!P31</f>
        <v>0</v>
      </c>
      <c r="L31" s="22">
        <f>Nkando!Q31</f>
        <v>0</v>
      </c>
      <c r="M31" s="40">
        <f>SUM(D31:L31)</f>
        <v>0</v>
      </c>
    </row>
    <row r="32" spans="1:13" ht="15.75" x14ac:dyDescent="0.25">
      <c r="A32" s="477"/>
      <c r="B32" s="441"/>
      <c r="C32" s="37" t="s">
        <v>141</v>
      </c>
      <c r="D32" s="13">
        <f t="shared" ref="D32:M32" si="12">D31/(D9/1000)</f>
        <v>0</v>
      </c>
      <c r="E32" s="13">
        <f t="shared" si="12"/>
        <v>0</v>
      </c>
      <c r="F32" s="13">
        <f t="shared" si="12"/>
        <v>0</v>
      </c>
      <c r="G32" s="13">
        <f t="shared" si="12"/>
        <v>0</v>
      </c>
      <c r="H32" s="13">
        <f t="shared" si="12"/>
        <v>0</v>
      </c>
      <c r="I32" s="13">
        <f t="shared" si="12"/>
        <v>0</v>
      </c>
      <c r="J32" s="13">
        <f t="shared" si="12"/>
        <v>0</v>
      </c>
      <c r="K32" s="13">
        <f t="shared" si="12"/>
        <v>0</v>
      </c>
      <c r="L32" s="13">
        <f t="shared" ref="L32" si="13">L31/(L9/1000)</f>
        <v>0</v>
      </c>
      <c r="M32" s="92">
        <f t="shared" si="12"/>
        <v>0</v>
      </c>
    </row>
    <row r="33" spans="1:13" ht="15.75" x14ac:dyDescent="0.25">
      <c r="A33" s="475" t="s">
        <v>146</v>
      </c>
      <c r="B33" s="441">
        <v>1781.02</v>
      </c>
      <c r="C33" s="4" t="s">
        <v>142</v>
      </c>
      <c r="D33" s="22">
        <f>Mulanje!P33</f>
        <v>0</v>
      </c>
      <c r="E33" s="22">
        <f>Luchenza!P33</f>
        <v>0</v>
      </c>
      <c r="F33" s="22">
        <f>Thyolo!P33</f>
        <v>0</v>
      </c>
      <c r="G33" s="22">
        <f>Muloza!P33</f>
        <v>0</v>
      </c>
      <c r="H33" s="22">
        <f>MUST!P33</f>
        <v>0</v>
      </c>
      <c r="I33" s="22">
        <f>Phalombe!P33</f>
        <v>0</v>
      </c>
      <c r="J33" s="22">
        <f>Mikolongwe!P33</f>
        <v>0</v>
      </c>
      <c r="K33" s="22">
        <f>Migowi!P33</f>
        <v>0</v>
      </c>
      <c r="L33" s="22">
        <f>Nkando!Q33</f>
        <v>0</v>
      </c>
      <c r="M33" s="40">
        <f>SUM(D33:L33)</f>
        <v>0</v>
      </c>
    </row>
    <row r="34" spans="1:13" ht="15.75" x14ac:dyDescent="0.25">
      <c r="A34" s="477"/>
      <c r="B34" s="441"/>
      <c r="C34" s="37" t="s">
        <v>141</v>
      </c>
      <c r="D34" s="13">
        <f t="shared" ref="D34:M34" si="14">D33/(D9/1000)</f>
        <v>0</v>
      </c>
      <c r="E34" s="13">
        <f t="shared" si="14"/>
        <v>0</v>
      </c>
      <c r="F34" s="13">
        <f t="shared" si="14"/>
        <v>0</v>
      </c>
      <c r="G34" s="13">
        <f t="shared" si="14"/>
        <v>0</v>
      </c>
      <c r="H34" s="13">
        <f t="shared" si="14"/>
        <v>0</v>
      </c>
      <c r="I34" s="13">
        <f t="shared" si="14"/>
        <v>0</v>
      </c>
      <c r="J34" s="13">
        <f t="shared" si="14"/>
        <v>0</v>
      </c>
      <c r="K34" s="13">
        <f t="shared" si="14"/>
        <v>0</v>
      </c>
      <c r="L34" s="13">
        <f t="shared" ref="L34" si="15">L33/(L9/1000)</f>
        <v>0</v>
      </c>
      <c r="M34" s="92">
        <f t="shared" si="14"/>
        <v>0</v>
      </c>
    </row>
    <row r="35" spans="1:13" ht="15.75" x14ac:dyDescent="0.25">
      <c r="A35" s="475" t="s">
        <v>145</v>
      </c>
      <c r="B35" s="441">
        <v>5979.95</v>
      </c>
      <c r="C35" s="4" t="s">
        <v>128</v>
      </c>
      <c r="D35" s="22">
        <f>Mulanje!P35</f>
        <v>0</v>
      </c>
      <c r="E35" s="22">
        <f>Luchenza!P35</f>
        <v>0</v>
      </c>
      <c r="F35" s="22">
        <f>Thyolo!P35</f>
        <v>0</v>
      </c>
      <c r="G35" s="22">
        <f>Muloza!P35</f>
        <v>0</v>
      </c>
      <c r="H35" s="22">
        <f>MUST!P35</f>
        <v>0</v>
      </c>
      <c r="I35" s="22">
        <f>Phalombe!P35</f>
        <v>0</v>
      </c>
      <c r="J35" s="22">
        <f>Mikolongwe!P35</f>
        <v>0</v>
      </c>
      <c r="K35" s="22">
        <f>Migowi!P35</f>
        <v>0</v>
      </c>
      <c r="L35" s="22">
        <f>Nkando!Q35</f>
        <v>0</v>
      </c>
      <c r="M35" s="92"/>
    </row>
    <row r="36" spans="1:13" ht="15.75" x14ac:dyDescent="0.25">
      <c r="A36" s="477"/>
      <c r="B36" s="441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75" x14ac:dyDescent="0.25">
      <c r="A37" s="475" t="s">
        <v>188</v>
      </c>
      <c r="B37" s="441">
        <v>5403.75</v>
      </c>
      <c r="C37" s="4" t="s">
        <v>128</v>
      </c>
      <c r="D37" s="22">
        <f>Mulanje!P37</f>
        <v>0</v>
      </c>
      <c r="E37" s="22">
        <f>Luchenza!P37</f>
        <v>0</v>
      </c>
      <c r="F37" s="22">
        <f>Thyolo!P37</f>
        <v>0</v>
      </c>
      <c r="G37" s="22">
        <f>Muloza!P37</f>
        <v>0</v>
      </c>
      <c r="H37" s="22">
        <f>MUST!P37</f>
        <v>0</v>
      </c>
      <c r="I37" s="22">
        <f>Phalombe!P37</f>
        <v>0</v>
      </c>
      <c r="J37" s="22">
        <f>Mikolongwe!P37</f>
        <v>0</v>
      </c>
      <c r="K37" s="22">
        <f>Migowi!P37</f>
        <v>0</v>
      </c>
      <c r="L37" s="22">
        <f>Nkando!Q37</f>
        <v>0</v>
      </c>
      <c r="M37" s="40">
        <f>SUM(D37:L37)</f>
        <v>0</v>
      </c>
    </row>
    <row r="38" spans="1:13" ht="15.75" x14ac:dyDescent="0.25">
      <c r="A38" s="477"/>
      <c r="B38" s="441"/>
      <c r="C38" s="4" t="s">
        <v>144</v>
      </c>
      <c r="D38" s="13">
        <f t="shared" ref="D38:M38" si="16">D37/(D9/1000)</f>
        <v>0</v>
      </c>
      <c r="E38" s="13">
        <f t="shared" si="16"/>
        <v>0</v>
      </c>
      <c r="F38" s="13">
        <f t="shared" si="16"/>
        <v>0</v>
      </c>
      <c r="G38" s="13">
        <f t="shared" si="16"/>
        <v>0</v>
      </c>
      <c r="H38" s="13">
        <f t="shared" si="16"/>
        <v>0</v>
      </c>
      <c r="I38" s="13">
        <f t="shared" si="16"/>
        <v>0</v>
      </c>
      <c r="J38" s="13">
        <f t="shared" si="16"/>
        <v>0</v>
      </c>
      <c r="K38" s="13">
        <f t="shared" si="16"/>
        <v>0</v>
      </c>
      <c r="L38" s="13">
        <f t="shared" ref="L38" si="17">L37/(L9/1000)</f>
        <v>0</v>
      </c>
      <c r="M38" s="92">
        <f t="shared" si="16"/>
        <v>0</v>
      </c>
    </row>
    <row r="39" spans="1:13" ht="15.75" x14ac:dyDescent="0.25">
      <c r="A39" s="475" t="s">
        <v>143</v>
      </c>
      <c r="B39" s="441">
        <v>1950</v>
      </c>
      <c r="C39" s="4" t="s">
        <v>142</v>
      </c>
      <c r="D39" s="22">
        <f>Mulanje!P39</f>
        <v>0</v>
      </c>
      <c r="E39" s="22">
        <f>Luchenza!P39</f>
        <v>0</v>
      </c>
      <c r="F39" s="22">
        <f>Thyolo!P39</f>
        <v>0</v>
      </c>
      <c r="G39" s="22">
        <f>Muloza!P39</f>
        <v>0</v>
      </c>
      <c r="H39" s="22">
        <f>MUST!P39</f>
        <v>0</v>
      </c>
      <c r="I39" s="22">
        <f>Phalombe!P39</f>
        <v>0</v>
      </c>
      <c r="J39" s="22">
        <f>Mikolongwe!P39</f>
        <v>0</v>
      </c>
      <c r="K39" s="22">
        <f>Migowi!P39</f>
        <v>0</v>
      </c>
      <c r="L39" s="22">
        <f>Nkando!Q39</f>
        <v>0</v>
      </c>
      <c r="M39" s="40">
        <f>SUM(D39:L39)</f>
        <v>0</v>
      </c>
    </row>
    <row r="40" spans="1:13" ht="15.75" x14ac:dyDescent="0.25">
      <c r="A40" s="477"/>
      <c r="B40" s="441"/>
      <c r="C40" s="37" t="s">
        <v>141</v>
      </c>
      <c r="D40" s="13">
        <f t="shared" ref="D40:M40" si="18">D39/(D9/1000)</f>
        <v>0</v>
      </c>
      <c r="E40" s="13">
        <f t="shared" si="18"/>
        <v>0</v>
      </c>
      <c r="F40" s="13">
        <f t="shared" si="18"/>
        <v>0</v>
      </c>
      <c r="G40" s="13">
        <f t="shared" si="18"/>
        <v>0</v>
      </c>
      <c r="H40" s="13">
        <f t="shared" si="18"/>
        <v>0</v>
      </c>
      <c r="I40" s="13">
        <f t="shared" si="18"/>
        <v>0</v>
      </c>
      <c r="J40" s="13">
        <f t="shared" si="18"/>
        <v>0</v>
      </c>
      <c r="K40" s="13">
        <f t="shared" si="18"/>
        <v>0</v>
      </c>
      <c r="L40" s="13">
        <f t="shared" ref="L40" si="19">L39/(L9/1000)</f>
        <v>0</v>
      </c>
      <c r="M40" s="92">
        <f t="shared" si="18"/>
        <v>0</v>
      </c>
    </row>
    <row r="41" spans="1:13" ht="15.75" x14ac:dyDescent="0.25">
      <c r="A41" s="445" t="s">
        <v>140</v>
      </c>
      <c r="B41" s="446"/>
      <c r="C41" s="4" t="s">
        <v>31</v>
      </c>
      <c r="D41" s="36">
        <f>(D29*$B29)+(D31*$B31)+(D33*$B33)+(D35*$B35)+(D37*$B37)+(D39*$B39)</f>
        <v>1436379.27</v>
      </c>
      <c r="E41" s="36">
        <f t="shared" ref="E41:K41" si="20">(E29*$B29)+(E31*$B31)+(E33*$B33)+(E35*$B35)+(E37*$B37)+(E39*$B39)</f>
        <v>603177.06000000006</v>
      </c>
      <c r="F41" s="36">
        <f t="shared" si="20"/>
        <v>1124567.3999999999</v>
      </c>
      <c r="G41" s="36">
        <f t="shared" si="20"/>
        <v>230025.15</v>
      </c>
      <c r="H41" s="36">
        <f t="shared" si="20"/>
        <v>286253.52</v>
      </c>
      <c r="I41" s="36">
        <f t="shared" si="20"/>
        <v>368040.24</v>
      </c>
      <c r="J41" s="36">
        <f t="shared" si="20"/>
        <v>71563.38</v>
      </c>
      <c r="K41" s="36">
        <f t="shared" si="20"/>
        <v>15335.01</v>
      </c>
      <c r="L41" s="36">
        <f t="shared" ref="L41" si="21">(L29*$B29)+(L31*$B31)+(L33*$B33)+(L35*$B35)+(L37*$B37)+(L39*$B39)</f>
        <v>0</v>
      </c>
      <c r="M41" s="34">
        <f>SUM(D41:L41)</f>
        <v>4135341.0299999993</v>
      </c>
    </row>
    <row r="42" spans="1:13" ht="15.75" x14ac:dyDescent="0.25">
      <c r="A42" s="510" t="s">
        <v>139</v>
      </c>
      <c r="B42" s="511"/>
      <c r="C42" s="37" t="s">
        <v>117</v>
      </c>
      <c r="D42" s="13">
        <f t="shared" ref="D42:M42" si="22">D41/D9</f>
        <v>10.276588086311994</v>
      </c>
      <c r="E42" s="13">
        <f t="shared" si="22"/>
        <v>13.194292026687084</v>
      </c>
      <c r="F42" s="13">
        <f t="shared" si="22"/>
        <v>25.26549988766569</v>
      </c>
      <c r="G42" s="13">
        <f t="shared" si="22"/>
        <v>7.9106248710365223</v>
      </c>
      <c r="H42" s="13">
        <f t="shared" si="22"/>
        <v>4.7404739587645945</v>
      </c>
      <c r="I42" s="13">
        <f t="shared" si="22"/>
        <v>13.872606106294761</v>
      </c>
      <c r="J42" s="13">
        <f t="shared" si="22"/>
        <v>29.942836820083684</v>
      </c>
      <c r="K42" s="13">
        <f t="shared" si="22"/>
        <v>5.1528931451612907</v>
      </c>
      <c r="L42" s="13">
        <f t="shared" ref="L42" si="23">L41/L9</f>
        <v>0</v>
      </c>
      <c r="M42" s="39">
        <f t="shared" si="22"/>
        <v>11.553878346436891</v>
      </c>
    </row>
    <row r="43" spans="1:13" x14ac:dyDescent="0.25">
      <c r="A43" s="507" t="s">
        <v>138</v>
      </c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</row>
    <row r="44" spans="1:13" ht="15.75" x14ac:dyDescent="0.25">
      <c r="A44" s="445" t="s">
        <v>137</v>
      </c>
      <c r="B44" s="446"/>
      <c r="C44" s="4" t="s">
        <v>136</v>
      </c>
      <c r="D44" s="22">
        <f>Mulanje!P44</f>
        <v>181</v>
      </c>
      <c r="E44" s="22">
        <f>Luchenza!P44</f>
        <v>24406.98</v>
      </c>
      <c r="F44" s="22">
        <f>Thyolo!P44</f>
        <v>96000</v>
      </c>
      <c r="G44" s="22">
        <f>Muloza!P44</f>
        <v>35279</v>
      </c>
      <c r="H44" s="22">
        <f>MUST!P44</f>
        <v>34850</v>
      </c>
      <c r="I44" s="22">
        <f>Phalombe!P44</f>
        <v>165</v>
      </c>
      <c r="J44" s="22">
        <f>Mikolongwe!P44</f>
        <v>1493</v>
      </c>
      <c r="K44" s="22">
        <f>Migowi!P44</f>
        <v>1933</v>
      </c>
      <c r="L44" s="22">
        <f>Nkando!P44</f>
        <v>4043</v>
      </c>
      <c r="M44" s="34">
        <f>SUM(D44:L44)</f>
        <v>198350.97999999998</v>
      </c>
    </row>
    <row r="45" spans="1:13" ht="15.75" x14ac:dyDescent="0.25">
      <c r="A45" s="510" t="s">
        <v>135</v>
      </c>
      <c r="B45" s="511"/>
      <c r="C45" s="37" t="s">
        <v>134</v>
      </c>
      <c r="D45" s="13">
        <f t="shared" ref="D45:M45" si="24">D44/D9</f>
        <v>1.2949660876284234E-3</v>
      </c>
      <c r="E45" s="13">
        <f t="shared" si="24"/>
        <v>0.53389434540085312</v>
      </c>
      <c r="F45" s="13">
        <f t="shared" si="24"/>
        <v>2.1568186924286676</v>
      </c>
      <c r="G45" s="13">
        <f t="shared" si="24"/>
        <v>1.213254006465369</v>
      </c>
      <c r="H45" s="13">
        <f t="shared" si="24"/>
        <v>0.57713008197400018</v>
      </c>
      <c r="I45" s="13">
        <f t="shared" si="24"/>
        <v>6.2193742932529208E-3</v>
      </c>
      <c r="J45" s="13">
        <f t="shared" si="24"/>
        <v>0.62468619246861923</v>
      </c>
      <c r="K45" s="13">
        <f t="shared" si="24"/>
        <v>0.64952956989247312</v>
      </c>
      <c r="L45" s="13">
        <f t="shared" ref="L45" si="25">L44/L9</f>
        <v>0.61612313319110024</v>
      </c>
      <c r="M45" s="92">
        <f t="shared" si="24"/>
        <v>0.55417995183254265</v>
      </c>
    </row>
    <row r="46" spans="1:13" ht="15.75" x14ac:dyDescent="0.25">
      <c r="A46" s="445" t="s">
        <v>133</v>
      </c>
      <c r="B46" s="446"/>
      <c r="C46" s="4" t="s">
        <v>31</v>
      </c>
      <c r="D46" s="22">
        <f>Mulanje!P46</f>
        <v>60430.47</v>
      </c>
      <c r="E46" s="22">
        <f>Luchenza!P46</f>
        <v>8148758.4125999995</v>
      </c>
      <c r="F46" s="22">
        <f>Thyolo!P46</f>
        <v>19728201</v>
      </c>
      <c r="G46" s="22">
        <f>Muloza!P46</f>
        <v>11778599.73</v>
      </c>
      <c r="H46" s="22">
        <f>MUST!P46</f>
        <v>11635369.5</v>
      </c>
      <c r="I46" s="22">
        <f>Phalombe!P46</f>
        <v>48767.399999999994</v>
      </c>
      <c r="J46" s="22">
        <f>Mikolongwe!P46</f>
        <v>498467.91000000003</v>
      </c>
      <c r="K46" s="22">
        <f>Migowi!P46</f>
        <v>645370.71</v>
      </c>
      <c r="L46" s="22">
        <f>Nkando!P46</f>
        <v>1349836.4100000001</v>
      </c>
      <c r="M46" s="34">
        <f>SUM(D46:L46)</f>
        <v>53893801.542599991</v>
      </c>
    </row>
    <row r="47" spans="1:13" ht="15.75" x14ac:dyDescent="0.25">
      <c r="A47" s="445" t="s">
        <v>132</v>
      </c>
      <c r="B47" s="446"/>
      <c r="C47" s="4" t="s">
        <v>117</v>
      </c>
      <c r="D47" s="13">
        <f t="shared" ref="D47:M47" si="26">D46/D9</f>
        <v>0.43235032767650172</v>
      </c>
      <c r="E47" s="13">
        <f t="shared" si="26"/>
        <v>178.25130509898281</v>
      </c>
      <c r="F47" s="13">
        <f t="shared" si="26"/>
        <v>443.23075713322851</v>
      </c>
      <c r="G47" s="13">
        <f t="shared" si="26"/>
        <v>405.06911513859279</v>
      </c>
      <c r="H47" s="13">
        <f t="shared" si="26"/>
        <v>192.68642046865943</v>
      </c>
      <c r="I47" s="13">
        <f t="shared" si="26"/>
        <v>1.8381982661138332</v>
      </c>
      <c r="J47" s="13">
        <f t="shared" si="26"/>
        <v>208.56397907949793</v>
      </c>
      <c r="K47" s="13">
        <f t="shared" si="26"/>
        <v>216.85843749999998</v>
      </c>
      <c r="L47" s="13">
        <f t="shared" ref="L47" si="27">L46/L9</f>
        <v>205.70503047851267</v>
      </c>
      <c r="M47" s="92">
        <f t="shared" si="26"/>
        <v>150.57583452802035</v>
      </c>
    </row>
    <row r="48" spans="1:13" x14ac:dyDescent="0.25">
      <c r="A48" s="507" t="s">
        <v>131</v>
      </c>
      <c r="B48" s="508"/>
      <c r="C48" s="508"/>
      <c r="D48" s="508"/>
      <c r="E48" s="508"/>
      <c r="F48" s="508"/>
      <c r="G48" s="508"/>
      <c r="H48" s="508"/>
      <c r="I48" s="508"/>
      <c r="J48" s="508"/>
      <c r="K48" s="508"/>
      <c r="L48" s="508"/>
      <c r="M48" s="509"/>
    </row>
    <row r="49" spans="1:13" ht="15.75" x14ac:dyDescent="0.25">
      <c r="A49" s="445" t="s">
        <v>130</v>
      </c>
      <c r="B49" s="446"/>
      <c r="C49" s="4" t="s">
        <v>129</v>
      </c>
      <c r="D49" s="22">
        <f>Mulanje!P49</f>
        <v>2614</v>
      </c>
      <c r="E49" s="22">
        <f>Luchenza!P49</f>
        <v>0</v>
      </c>
      <c r="F49" s="22">
        <f>Thyolo!P49</f>
        <v>0</v>
      </c>
      <c r="G49" s="22">
        <f>Muloza!P49</f>
        <v>0</v>
      </c>
      <c r="H49" s="22">
        <f>MUST!P49</f>
        <v>0</v>
      </c>
      <c r="I49" s="22">
        <f>Phalombe!P49</f>
        <v>0</v>
      </c>
      <c r="J49" s="22">
        <f>Mikolongwe!P49</f>
        <v>0</v>
      </c>
      <c r="K49" s="22">
        <f>Migowi!P49</f>
        <v>0</v>
      </c>
      <c r="L49" s="22">
        <f>Nkando!P49</f>
        <v>0</v>
      </c>
      <c r="M49" s="34">
        <f>SUM(D49:L49)</f>
        <v>2614</v>
      </c>
    </row>
    <row r="50" spans="1:13" ht="15.75" x14ac:dyDescent="0.25">
      <c r="A50" s="445" t="s">
        <v>189</v>
      </c>
      <c r="B50" s="446"/>
      <c r="C50" s="4" t="s">
        <v>128</v>
      </c>
      <c r="D50" s="22">
        <f>Mulanje!P50</f>
        <v>261</v>
      </c>
      <c r="E50" s="22">
        <f>Luchenza!P50</f>
        <v>271</v>
      </c>
      <c r="F50" s="22">
        <f>Thyolo!P50</f>
        <v>0</v>
      </c>
      <c r="G50" s="22">
        <f>Muloza!P50</f>
        <v>0</v>
      </c>
      <c r="H50" s="22">
        <f>MUST!P50</f>
        <v>0</v>
      </c>
      <c r="I50" s="22">
        <f>Phalombe!P50</f>
        <v>0</v>
      </c>
      <c r="J50" s="22">
        <f>Mikolongwe!P50</f>
        <v>0</v>
      </c>
      <c r="K50" s="22">
        <f>Migowi!P50</f>
        <v>0</v>
      </c>
      <c r="L50" s="22">
        <f>Nkando!P50</f>
        <v>0</v>
      </c>
      <c r="M50" s="34">
        <f>SUM(D50:L50)</f>
        <v>532</v>
      </c>
    </row>
    <row r="51" spans="1:13" ht="15.75" x14ac:dyDescent="0.25">
      <c r="A51" s="445" t="s">
        <v>127</v>
      </c>
      <c r="B51" s="446"/>
      <c r="C51" s="4" t="s">
        <v>31</v>
      </c>
      <c r="D51" s="22">
        <f>Mulanje!P51</f>
        <v>1745307</v>
      </c>
      <c r="E51" s="22">
        <f>Luchenza!P51</f>
        <v>1812177</v>
      </c>
      <c r="F51" s="22">
        <f>Thyolo!P51</f>
        <v>0</v>
      </c>
      <c r="G51" s="22">
        <f>Muloza!P51</f>
        <v>0</v>
      </c>
      <c r="H51" s="22">
        <f>MUST!P51</f>
        <v>0</v>
      </c>
      <c r="I51" s="22">
        <f>Phalombe!P51</f>
        <v>0</v>
      </c>
      <c r="J51" s="22">
        <f>Mikolongwe!P51</f>
        <v>0</v>
      </c>
      <c r="K51" s="22">
        <f>Migowi!P51</f>
        <v>0</v>
      </c>
      <c r="L51" s="22">
        <f>Nkando!P51</f>
        <v>0</v>
      </c>
      <c r="M51" s="35">
        <f>SUM(D51:L51)</f>
        <v>3557484</v>
      </c>
    </row>
    <row r="52" spans="1:13" ht="15.75" x14ac:dyDescent="0.25">
      <c r="A52" s="445" t="s">
        <v>126</v>
      </c>
      <c r="B52" s="446"/>
      <c r="C52" s="4" t="s">
        <v>31</v>
      </c>
      <c r="D52" s="22">
        <f>Mulanje!P52</f>
        <v>0</v>
      </c>
      <c r="E52" s="22">
        <f>Luchenza!P52</f>
        <v>0</v>
      </c>
      <c r="F52" s="22">
        <f>Thyolo!P52</f>
        <v>0</v>
      </c>
      <c r="G52" s="22">
        <f>Muloza!P52</f>
        <v>0</v>
      </c>
      <c r="H52" s="22">
        <f>MUST!P52</f>
        <v>0</v>
      </c>
      <c r="I52" s="22">
        <f>Phalombe!P52</f>
        <v>0</v>
      </c>
      <c r="J52" s="22">
        <f>Mikolongwe!P52</f>
        <v>0</v>
      </c>
      <c r="K52" s="22">
        <f>Migowi!P52</f>
        <v>0</v>
      </c>
      <c r="L52" s="22">
        <f>Nkando!P52</f>
        <v>0</v>
      </c>
      <c r="M52" s="35">
        <f>SUM(D52:L52)</f>
        <v>0</v>
      </c>
    </row>
    <row r="53" spans="1:13" x14ac:dyDescent="0.25">
      <c r="A53" s="507" t="s">
        <v>125</v>
      </c>
      <c r="B53" s="508"/>
      <c r="C53" s="508"/>
      <c r="D53" s="508"/>
      <c r="E53" s="508"/>
      <c r="F53" s="508"/>
      <c r="G53" s="508"/>
      <c r="H53" s="508"/>
      <c r="I53" s="508"/>
      <c r="J53" s="508"/>
      <c r="K53" s="508"/>
      <c r="L53" s="508"/>
      <c r="M53" s="509"/>
    </row>
    <row r="54" spans="1:13" ht="15.75" x14ac:dyDescent="0.25">
      <c r="A54" s="445" t="s">
        <v>124</v>
      </c>
      <c r="B54" s="446"/>
      <c r="C54" s="4" t="s">
        <v>18</v>
      </c>
      <c r="D54" s="22">
        <f>Mulanje!P54</f>
        <v>57014853.320000008</v>
      </c>
      <c r="E54" s="22">
        <f>Luchenza!P54</f>
        <v>26634969.889999997</v>
      </c>
      <c r="F54" s="22">
        <f>Thyolo!P54</f>
        <v>38481071</v>
      </c>
      <c r="G54" s="22">
        <f>Muloza!P54</f>
        <v>16825000.289999999</v>
      </c>
      <c r="H54" s="22">
        <f>MUST!P54</f>
        <v>28295131.860000003</v>
      </c>
      <c r="I54" s="22">
        <f>Phalombe!P54</f>
        <v>15235047.120000001</v>
      </c>
      <c r="J54" s="22">
        <f>Mikolongwe!P54</f>
        <v>3158546.63</v>
      </c>
      <c r="K54" s="22">
        <f>Migowi!P54</f>
        <v>0</v>
      </c>
      <c r="L54" s="22">
        <f>Nkando!P54</f>
        <v>0</v>
      </c>
      <c r="M54" s="34">
        <f>SUM(D54:L54)</f>
        <v>185644620.11000001</v>
      </c>
    </row>
    <row r="55" spans="1:13" ht="15.75" x14ac:dyDescent="0.25">
      <c r="A55" s="68" t="s">
        <v>123</v>
      </c>
      <c r="B55" s="69"/>
      <c r="C55" s="4" t="s">
        <v>18</v>
      </c>
      <c r="D55" s="22">
        <f>Mulanje!P55</f>
        <v>8932287.1259999983</v>
      </c>
      <c r="E55" s="22">
        <f>Luchenza!P55</f>
        <v>7465428.7510000002</v>
      </c>
      <c r="F55" s="22">
        <f>Thyolo!P55</f>
        <v>8965006.9010000005</v>
      </c>
      <c r="G55" s="22">
        <f>Muloza!P55</f>
        <v>3844445.2525000004</v>
      </c>
      <c r="H55" s="22">
        <f>MUST!P55</f>
        <v>3158418.64</v>
      </c>
      <c r="I55" s="22">
        <f>Phalombe!P55</f>
        <v>4376015.1404999997</v>
      </c>
      <c r="J55" s="22">
        <f>Mikolongwe!P55</f>
        <v>877962.04</v>
      </c>
      <c r="K55" s="22">
        <f>Migowi!P55</f>
        <v>1285672.5</v>
      </c>
      <c r="L55" s="22">
        <f>Nkando!P55</f>
        <v>2401686.42</v>
      </c>
      <c r="M55" s="34">
        <f>SUM(D55:L55)</f>
        <v>41306922.770999998</v>
      </c>
    </row>
    <row r="56" spans="1:13" ht="15.75" x14ac:dyDescent="0.25">
      <c r="A56" s="445" t="s">
        <v>122</v>
      </c>
      <c r="B56" s="446"/>
      <c r="C56" s="4" t="s">
        <v>18</v>
      </c>
      <c r="D56" s="22">
        <f>Mulanje!P56</f>
        <v>16219993.630000001</v>
      </c>
      <c r="E56" s="22">
        <f>Luchenza!P56</f>
        <v>8423542.1799999997</v>
      </c>
      <c r="F56" s="22">
        <f>Thyolo!P56</f>
        <v>9620382</v>
      </c>
      <c r="G56" s="22">
        <f>Muloza!P56</f>
        <v>6758344.8399999999</v>
      </c>
      <c r="H56" s="22">
        <f>MUST!P56</f>
        <v>19961199.09</v>
      </c>
      <c r="I56" s="22">
        <f>Phalombe!P56</f>
        <v>5903701.0800000001</v>
      </c>
      <c r="J56" s="22">
        <f>Mikolongwe!P56</f>
        <v>250000</v>
      </c>
      <c r="K56" s="22">
        <f>Migowi!P56</f>
        <v>0</v>
      </c>
      <c r="L56" s="22">
        <f>Nkando!Q56</f>
        <v>0</v>
      </c>
      <c r="M56" s="34">
        <f>SUM(D56:L56)</f>
        <v>67137162.820000008</v>
      </c>
    </row>
    <row r="57" spans="1:13" x14ac:dyDescent="0.25">
      <c r="A57" s="507" t="s">
        <v>121</v>
      </c>
      <c r="B57" s="508"/>
      <c r="C57" s="508"/>
      <c r="D57" s="508"/>
      <c r="E57" s="508"/>
      <c r="F57" s="508"/>
      <c r="G57" s="508"/>
      <c r="H57" s="508"/>
      <c r="I57" s="508"/>
      <c r="J57" s="508"/>
      <c r="K57" s="508"/>
      <c r="L57" s="508"/>
      <c r="M57" s="509"/>
    </row>
    <row r="58" spans="1:13" ht="15.75" x14ac:dyDescent="0.25">
      <c r="A58" s="445" t="s">
        <v>120</v>
      </c>
      <c r="B58" s="446"/>
      <c r="C58" s="4" t="s">
        <v>18</v>
      </c>
      <c r="D58" s="11">
        <f>D41+D46+D51+D52+D54+D55+D56</f>
        <v>85409250.816</v>
      </c>
      <c r="E58" s="11">
        <f t="shared" ref="E58:K58" si="28">E41+E46+E51+E52+E54+E55+E56</f>
        <v>53088053.2936</v>
      </c>
      <c r="F58" s="11">
        <f t="shared" si="28"/>
        <v>77919228.300999999</v>
      </c>
      <c r="G58" s="11">
        <f t="shared" si="28"/>
        <v>39436415.262500003</v>
      </c>
      <c r="H58" s="11">
        <f t="shared" si="28"/>
        <v>63336372.609999999</v>
      </c>
      <c r="I58" s="11">
        <f t="shared" si="28"/>
        <v>25931570.980499998</v>
      </c>
      <c r="J58" s="11">
        <f t="shared" si="28"/>
        <v>4856539.96</v>
      </c>
      <c r="K58" s="11">
        <f t="shared" si="28"/>
        <v>1946378.22</v>
      </c>
      <c r="L58" s="11">
        <f t="shared" ref="L58" si="29">L41+L46+L51+L52+L54+L55+L56</f>
        <v>3751522.83</v>
      </c>
      <c r="M58" s="59">
        <f>SUM(D58:L58)</f>
        <v>355675332.27359998</v>
      </c>
    </row>
    <row r="59" spans="1:13" ht="15.75" x14ac:dyDescent="0.25">
      <c r="A59" s="445" t="s">
        <v>119</v>
      </c>
      <c r="B59" s="446"/>
      <c r="C59" s="4" t="s">
        <v>117</v>
      </c>
      <c r="D59" s="13">
        <f t="shared" ref="D59:M59" si="30">D58/D9</f>
        <v>611.06123412414502</v>
      </c>
      <c r="E59" s="13">
        <f t="shared" si="30"/>
        <v>1161.2830207503007</v>
      </c>
      <c r="F59" s="13">
        <f t="shared" si="30"/>
        <v>1750.6005010334757</v>
      </c>
      <c r="G59" s="13">
        <f t="shared" si="30"/>
        <v>1356.2286010901714</v>
      </c>
      <c r="H59" s="13">
        <f t="shared" si="30"/>
        <v>1048.8759229941211</v>
      </c>
      <c r="I59" s="13">
        <f t="shared" si="30"/>
        <v>977.4433087259705</v>
      </c>
      <c r="J59" s="13">
        <f t="shared" si="30"/>
        <v>2032.0250878661088</v>
      </c>
      <c r="K59" s="13">
        <f t="shared" si="30"/>
        <v>654.02493951612905</v>
      </c>
      <c r="L59" s="13">
        <f t="shared" ref="L59" si="31">L58/L9</f>
        <v>571.70418012800974</v>
      </c>
      <c r="M59" s="92">
        <f t="shared" si="30"/>
        <v>993.73412981073875</v>
      </c>
    </row>
    <row r="60" spans="1:13" ht="15.75" x14ac:dyDescent="0.25">
      <c r="A60" s="445" t="s">
        <v>118</v>
      </c>
      <c r="B60" s="446"/>
      <c r="C60" s="4" t="s">
        <v>117</v>
      </c>
      <c r="D60" s="13">
        <f>D58/D22</f>
        <v>859.1740069064474</v>
      </c>
      <c r="E60" s="13">
        <f t="shared" ref="E60:K60" si="32">E58/E22</f>
        <v>1634.2328241834693</v>
      </c>
      <c r="F60" s="13">
        <f t="shared" si="32"/>
        <v>2707.5217973299791</v>
      </c>
      <c r="G60" s="13">
        <f t="shared" si="32"/>
        <v>2079.3216947432247</v>
      </c>
      <c r="H60" s="13">
        <f t="shared" si="32"/>
        <v>1325.8608459284069</v>
      </c>
      <c r="I60" s="13">
        <f t="shared" si="32"/>
        <v>1363.5492714944501</v>
      </c>
      <c r="J60" s="13">
        <f t="shared" si="32"/>
        <v>2489.2567708867246</v>
      </c>
      <c r="K60" s="13">
        <f t="shared" si="32"/>
        <v>789.92622564935061</v>
      </c>
      <c r="L60" s="13">
        <f t="shared" ref="L60" si="33">L58/L22</f>
        <v>770.66554982641389</v>
      </c>
      <c r="M60" s="93">
        <f>M58/M22</f>
        <v>1390.9380894341755</v>
      </c>
    </row>
    <row r="61" spans="1:13" ht="15.75" x14ac:dyDescent="0.25">
      <c r="A61" s="445" t="s">
        <v>116</v>
      </c>
      <c r="B61" s="446"/>
      <c r="C61" s="4" t="s">
        <v>3</v>
      </c>
      <c r="D61" s="22">
        <f>Mulanje!P61</f>
        <v>0</v>
      </c>
      <c r="E61" s="22">
        <f>Luchenza!P61</f>
        <v>0</v>
      </c>
      <c r="F61" s="22">
        <f>Thyolo!P61</f>
        <v>0</v>
      </c>
      <c r="G61" s="22">
        <f>Muloza!P61</f>
        <v>0</v>
      </c>
      <c r="H61" s="22">
        <f>MUST!P61</f>
        <v>0</v>
      </c>
      <c r="I61" s="22">
        <f>Phalombe!P61</f>
        <v>0</v>
      </c>
      <c r="J61" s="22">
        <f>Mikolongwe!P61</f>
        <v>0</v>
      </c>
      <c r="K61" s="22">
        <f>Migowi!P61</f>
        <v>0</v>
      </c>
      <c r="L61" s="22">
        <f>Nkando!Q61</f>
        <v>0</v>
      </c>
      <c r="M61" s="22">
        <f>Migowi!Q61</f>
        <v>0</v>
      </c>
    </row>
    <row r="62" spans="1:13" ht="15.6" customHeight="1" x14ac:dyDescent="0.25">
      <c r="A62" s="445" t="s">
        <v>115</v>
      </c>
      <c r="B62" s="446"/>
      <c r="C62" s="4" t="s">
        <v>114</v>
      </c>
      <c r="D62" s="13">
        <f t="shared" ref="D62:M62" si="34">(D61*1000*31)/D9</f>
        <v>0</v>
      </c>
      <c r="E62" s="13">
        <f t="shared" si="34"/>
        <v>0</v>
      </c>
      <c r="F62" s="13">
        <f t="shared" si="34"/>
        <v>0</v>
      </c>
      <c r="G62" s="13">
        <f t="shared" si="34"/>
        <v>0</v>
      </c>
      <c r="H62" s="13">
        <f t="shared" si="34"/>
        <v>0</v>
      </c>
      <c r="I62" s="13">
        <f t="shared" si="34"/>
        <v>0</v>
      </c>
      <c r="J62" s="13">
        <f t="shared" si="34"/>
        <v>0</v>
      </c>
      <c r="K62" s="13">
        <f t="shared" si="34"/>
        <v>0</v>
      </c>
      <c r="L62" s="13">
        <f t="shared" ref="L62" si="35">(L61*1000*31)/L9</f>
        <v>0</v>
      </c>
      <c r="M62" s="92">
        <f t="shared" si="34"/>
        <v>0</v>
      </c>
    </row>
    <row r="63" spans="1:13" ht="15.75" x14ac:dyDescent="0.25">
      <c r="A63" s="502" t="s">
        <v>113</v>
      </c>
      <c r="B63" s="503"/>
      <c r="C63" s="33" t="s">
        <v>3</v>
      </c>
      <c r="D63" s="22">
        <f>Mulanje!P63</f>
        <v>66</v>
      </c>
      <c r="E63" s="22">
        <f>Luchenza!P63</f>
        <v>51</v>
      </c>
      <c r="F63" s="22">
        <f>Thyolo!P63</f>
        <v>57</v>
      </c>
      <c r="G63" s="22">
        <f>Muloza!P63</f>
        <v>38</v>
      </c>
      <c r="H63" s="22">
        <f>MUST!P63</f>
        <v>42</v>
      </c>
      <c r="I63" s="22">
        <f>Phalombe!P63</f>
        <v>36</v>
      </c>
      <c r="J63" s="22">
        <f>Mikolongwe!P63</f>
        <v>12</v>
      </c>
      <c r="K63" s="22">
        <f>Migowi!P63</f>
        <v>6</v>
      </c>
      <c r="L63" s="22">
        <f>Nkando!P63</f>
        <v>6</v>
      </c>
      <c r="M63" s="8">
        <f>SUM(D63:L63)</f>
        <v>314</v>
      </c>
    </row>
    <row r="64" spans="1:13" x14ac:dyDescent="0.25">
      <c r="A64" s="504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6"/>
    </row>
    <row r="65" spans="1:13" ht="14.45" customHeight="1" x14ac:dyDescent="0.25">
      <c r="A65" s="507" t="s">
        <v>112</v>
      </c>
      <c r="B65" s="508"/>
      <c r="C65" s="508"/>
      <c r="D65" s="508"/>
      <c r="E65" s="508"/>
      <c r="F65" s="508"/>
      <c r="G65" s="508"/>
      <c r="H65" s="508"/>
      <c r="I65" s="508"/>
      <c r="J65" s="508"/>
      <c r="K65" s="508"/>
      <c r="L65" s="508"/>
      <c r="M65" s="509"/>
    </row>
    <row r="66" spans="1:13" ht="15.75" x14ac:dyDescent="0.25">
      <c r="A66" s="493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Thyolo!P66</f>
        <v>8</v>
      </c>
      <c r="G66" s="22">
        <f>Muloza!D66</f>
        <v>52</v>
      </c>
      <c r="H66" s="22">
        <f>MUST!P66</f>
        <v>1</v>
      </c>
      <c r="I66" s="22">
        <f>Phalombe!P66</f>
        <v>38</v>
      </c>
      <c r="J66" s="22">
        <f>Mikolongwe!D66</f>
        <v>0</v>
      </c>
      <c r="K66" s="22">
        <f>Migowi!D66</f>
        <v>0</v>
      </c>
      <c r="L66" s="22">
        <f>Nkando!E66</f>
        <v>6</v>
      </c>
      <c r="M66" s="31">
        <f>D66</f>
        <v>10</v>
      </c>
    </row>
    <row r="67" spans="1:13" ht="15.75" x14ac:dyDescent="0.25">
      <c r="A67" s="494"/>
      <c r="B67" s="21" t="s">
        <v>106</v>
      </c>
      <c r="C67" s="4" t="s">
        <v>3</v>
      </c>
      <c r="D67" s="22">
        <f>Mulanje!P67</f>
        <v>70</v>
      </c>
      <c r="E67" s="22">
        <f>Luchenza!P67</f>
        <v>54</v>
      </c>
      <c r="F67" s="22">
        <f>Thyolo!P67</f>
        <v>44</v>
      </c>
      <c r="G67" s="22">
        <f>Muloza!P67</f>
        <v>29</v>
      </c>
      <c r="H67" s="22">
        <f>MUST!P67</f>
        <v>17</v>
      </c>
      <c r="I67" s="22">
        <f>Phalombe!P67</f>
        <v>16</v>
      </c>
      <c r="J67" s="22">
        <f>Mikolongwe!P67</f>
        <v>0</v>
      </c>
      <c r="K67" s="22">
        <f>Migowi!P67</f>
        <v>0</v>
      </c>
      <c r="L67" s="22">
        <f>Nkando!Q67</f>
        <v>0</v>
      </c>
      <c r="M67" s="31">
        <f>SUM(D67:L67)</f>
        <v>230</v>
      </c>
    </row>
    <row r="68" spans="1:13" ht="26.25" x14ac:dyDescent="0.25">
      <c r="A68" s="494"/>
      <c r="B68" s="21" t="s">
        <v>105</v>
      </c>
      <c r="C68" s="4" t="s">
        <v>3</v>
      </c>
      <c r="D68" s="22">
        <f>Mulanje!P68</f>
        <v>0</v>
      </c>
      <c r="E68" s="22">
        <f>Luchenza!P68</f>
        <v>5</v>
      </c>
      <c r="F68" s="22">
        <f>Thyolo!P68</f>
        <v>2</v>
      </c>
      <c r="G68" s="22">
        <f>Muloza!P68</f>
        <v>1</v>
      </c>
      <c r="H68" s="22">
        <f>MUST!P68</f>
        <v>11</v>
      </c>
      <c r="I68" s="22">
        <f>Phalombe!P68</f>
        <v>0</v>
      </c>
      <c r="J68" s="22">
        <f>Mikolongwe!P68</f>
        <v>0</v>
      </c>
      <c r="K68" s="22">
        <f>Migowi!P68</f>
        <v>0</v>
      </c>
      <c r="L68" s="22">
        <f>Nkando!Q68</f>
        <v>0</v>
      </c>
      <c r="M68" s="31">
        <f>SUM(D68:L68)</f>
        <v>19</v>
      </c>
    </row>
    <row r="69" spans="1:13" ht="26.25" x14ac:dyDescent="0.25">
      <c r="A69" s="494"/>
      <c r="B69" s="21" t="s">
        <v>104</v>
      </c>
      <c r="C69" s="4" t="s">
        <v>3</v>
      </c>
      <c r="D69" s="22">
        <f>Mulanje!P69</f>
        <v>60</v>
      </c>
      <c r="E69" s="22">
        <f>Luchenza!P69</f>
        <v>44</v>
      </c>
      <c r="F69" s="22">
        <f>Thyolo!P69</f>
        <v>34</v>
      </c>
      <c r="G69" s="22">
        <f>Muloza!P69</f>
        <v>15</v>
      </c>
      <c r="H69" s="22">
        <f>MUST!P69</f>
        <v>4</v>
      </c>
      <c r="I69" s="22">
        <f>Phalombe!P69</f>
        <v>14</v>
      </c>
      <c r="J69" s="22">
        <f>Mikolongwe!P69</f>
        <v>0</v>
      </c>
      <c r="K69" s="22">
        <f>Migowi!P69</f>
        <v>0</v>
      </c>
      <c r="L69" s="22">
        <f>Nkando!Q69</f>
        <v>0</v>
      </c>
      <c r="M69" s="31">
        <f>SUM(D69:L69)</f>
        <v>171</v>
      </c>
    </row>
    <row r="70" spans="1:13" ht="15.75" x14ac:dyDescent="0.25">
      <c r="A70" s="494"/>
      <c r="B70" s="21" t="s">
        <v>190</v>
      </c>
      <c r="C70" s="4" t="s">
        <v>3</v>
      </c>
      <c r="D70" s="3">
        <f>D68+D69</f>
        <v>60</v>
      </c>
      <c r="E70" s="3">
        <f t="shared" ref="E70:M70" si="36">E68+E69</f>
        <v>49</v>
      </c>
      <c r="F70" s="3">
        <f t="shared" si="36"/>
        <v>36</v>
      </c>
      <c r="G70" s="3">
        <f t="shared" si="36"/>
        <v>16</v>
      </c>
      <c r="H70" s="3">
        <f t="shared" si="36"/>
        <v>15</v>
      </c>
      <c r="I70" s="3">
        <f t="shared" si="36"/>
        <v>14</v>
      </c>
      <c r="J70" s="3">
        <f t="shared" si="36"/>
        <v>0</v>
      </c>
      <c r="K70" s="3">
        <f t="shared" si="36"/>
        <v>0</v>
      </c>
      <c r="L70" s="3">
        <f t="shared" ref="L70" si="37">L68+L69</f>
        <v>0</v>
      </c>
      <c r="M70" s="94">
        <f t="shared" si="36"/>
        <v>190</v>
      </c>
    </row>
    <row r="71" spans="1:13" ht="15.75" x14ac:dyDescent="0.25">
      <c r="A71" s="495"/>
      <c r="B71" s="21" t="s">
        <v>81</v>
      </c>
      <c r="C71" s="4" t="s">
        <v>3</v>
      </c>
      <c r="D71" s="22">
        <f>D66+D67-D70</f>
        <v>20</v>
      </c>
      <c r="E71" s="22">
        <f t="shared" ref="E71:K71" si="38">E66+E67-E70</f>
        <v>43</v>
      </c>
      <c r="F71" s="22">
        <f t="shared" si="38"/>
        <v>16</v>
      </c>
      <c r="G71" s="22">
        <f t="shared" si="38"/>
        <v>65</v>
      </c>
      <c r="H71" s="22">
        <f t="shared" si="38"/>
        <v>3</v>
      </c>
      <c r="I71" s="22">
        <f t="shared" si="38"/>
        <v>40</v>
      </c>
      <c r="J71" s="22">
        <f t="shared" si="38"/>
        <v>0</v>
      </c>
      <c r="K71" s="22">
        <f t="shared" si="38"/>
        <v>0</v>
      </c>
      <c r="L71" s="22">
        <f t="shared" ref="L71" si="39">L66+L67-L70</f>
        <v>6</v>
      </c>
      <c r="M71" s="95">
        <f>M66+M67-M70</f>
        <v>50</v>
      </c>
    </row>
    <row r="72" spans="1:13" ht="15.75" x14ac:dyDescent="0.25">
      <c r="A72" s="493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Thyolo!P72</f>
        <v>0</v>
      </c>
      <c r="G72" s="22">
        <f>Muloza!D72</f>
        <v>0</v>
      </c>
      <c r="H72" s="22">
        <f>MUST!P72</f>
        <v>0</v>
      </c>
      <c r="I72" s="22">
        <f>Phalombe!P72</f>
        <v>0</v>
      </c>
      <c r="J72" s="22">
        <f>Mikolongwe!D72</f>
        <v>0</v>
      </c>
      <c r="K72" s="22">
        <f>Migowi!D72</f>
        <v>0</v>
      </c>
      <c r="L72" s="22">
        <f>Nkando!E72</f>
        <v>0</v>
      </c>
      <c r="M72" s="31">
        <f>D72</f>
        <v>0</v>
      </c>
    </row>
    <row r="73" spans="1:13" ht="15.75" x14ac:dyDescent="0.25">
      <c r="A73" s="494"/>
      <c r="B73" s="21" t="s">
        <v>106</v>
      </c>
      <c r="C73" s="4" t="s">
        <v>3</v>
      </c>
      <c r="D73" s="22">
        <f>Mulanje!P73</f>
        <v>0</v>
      </c>
      <c r="E73" s="22">
        <f>Luchenza!P73</f>
        <v>0</v>
      </c>
      <c r="F73" s="22">
        <f>Thyolo!P73</f>
        <v>0</v>
      </c>
      <c r="G73" s="22">
        <f>Muloza!P73</f>
        <v>1</v>
      </c>
      <c r="H73" s="22">
        <f>MUST!P73</f>
        <v>1</v>
      </c>
      <c r="I73" s="22">
        <f>Phalombe!P73</f>
        <v>0</v>
      </c>
      <c r="J73" s="22">
        <f>Mikolongwe!P73</f>
        <v>0</v>
      </c>
      <c r="K73" s="22">
        <f>Migowi!P73</f>
        <v>0</v>
      </c>
      <c r="L73" s="22">
        <f>Nkando!Q73</f>
        <v>0</v>
      </c>
      <c r="M73" s="31">
        <f>SUM(D73:L73)</f>
        <v>2</v>
      </c>
    </row>
    <row r="74" spans="1:13" ht="26.25" x14ac:dyDescent="0.25">
      <c r="A74" s="494"/>
      <c r="B74" s="21" t="s">
        <v>105</v>
      </c>
      <c r="C74" s="4" t="s">
        <v>3</v>
      </c>
      <c r="D74" s="22">
        <f>Mulanje!P74</f>
        <v>0</v>
      </c>
      <c r="E74" s="22">
        <f>Luchenza!P74</f>
        <v>0</v>
      </c>
      <c r="F74" s="22">
        <f>Thyolo!P74</f>
        <v>0</v>
      </c>
      <c r="G74" s="22">
        <f>Muloza!P74</f>
        <v>0</v>
      </c>
      <c r="H74" s="22">
        <f>MUST!P74</f>
        <v>1</v>
      </c>
      <c r="I74" s="22">
        <f>Phalombe!P74</f>
        <v>0</v>
      </c>
      <c r="J74" s="22">
        <f>Mikolongwe!P74</f>
        <v>0</v>
      </c>
      <c r="K74" s="22">
        <f>Migowi!P74</f>
        <v>0</v>
      </c>
      <c r="L74" s="22">
        <f>Nkando!Q74</f>
        <v>0</v>
      </c>
      <c r="M74" s="31">
        <f>SUM(D74:L74)</f>
        <v>1</v>
      </c>
    </row>
    <row r="75" spans="1:13" ht="26.25" x14ac:dyDescent="0.25">
      <c r="A75" s="494"/>
      <c r="B75" s="21" t="s">
        <v>104</v>
      </c>
      <c r="C75" s="4" t="s">
        <v>3</v>
      </c>
      <c r="D75" s="22">
        <f>Mulanje!P75</f>
        <v>0</v>
      </c>
      <c r="E75" s="22">
        <f>Luchenza!P75</f>
        <v>0</v>
      </c>
      <c r="F75" s="22">
        <f>Thyolo!P75</f>
        <v>0</v>
      </c>
      <c r="G75" s="22">
        <f>Muloza!P75</f>
        <v>1</v>
      </c>
      <c r="H75" s="22">
        <f>MUST!P75</f>
        <v>0</v>
      </c>
      <c r="I75" s="22">
        <f>Phalombe!P75</f>
        <v>0</v>
      </c>
      <c r="J75" s="22">
        <f>Mikolongwe!P75</f>
        <v>0</v>
      </c>
      <c r="K75" s="22">
        <f>Migowi!P75</f>
        <v>0</v>
      </c>
      <c r="L75" s="22">
        <f>Nkando!Q75</f>
        <v>0</v>
      </c>
      <c r="M75" s="31"/>
    </row>
    <row r="76" spans="1:13" ht="15.75" x14ac:dyDescent="0.25">
      <c r="A76" s="494"/>
      <c r="B76" s="21" t="s">
        <v>190</v>
      </c>
      <c r="C76" s="4" t="s">
        <v>3</v>
      </c>
      <c r="D76" s="3">
        <f>D74+D75</f>
        <v>0</v>
      </c>
      <c r="E76" s="3">
        <f t="shared" ref="E76:K76" si="40">E74+E75</f>
        <v>0</v>
      </c>
      <c r="F76" s="3">
        <f t="shared" si="40"/>
        <v>0</v>
      </c>
      <c r="G76" s="3">
        <f t="shared" si="40"/>
        <v>1</v>
      </c>
      <c r="H76" s="3">
        <f t="shared" si="40"/>
        <v>1</v>
      </c>
      <c r="I76" s="3">
        <f t="shared" si="40"/>
        <v>0</v>
      </c>
      <c r="J76" s="3">
        <f t="shared" si="40"/>
        <v>0</v>
      </c>
      <c r="K76" s="3">
        <f t="shared" si="40"/>
        <v>0</v>
      </c>
      <c r="L76" s="3">
        <f t="shared" ref="L76" si="41">L74+L75</f>
        <v>0</v>
      </c>
      <c r="M76" s="94">
        <f t="shared" ref="M76" si="42">M74+M75</f>
        <v>1</v>
      </c>
    </row>
    <row r="77" spans="1:13" ht="15.75" x14ac:dyDescent="0.25">
      <c r="A77" s="495"/>
      <c r="B77" s="21" t="s">
        <v>81</v>
      </c>
      <c r="C77" s="4" t="s">
        <v>3</v>
      </c>
      <c r="D77" s="22">
        <f>D73+D74-D76</f>
        <v>0</v>
      </c>
      <c r="E77" s="22">
        <f t="shared" ref="E77:M77" si="43">E73+E74-E76</f>
        <v>0</v>
      </c>
      <c r="F77" s="22">
        <f t="shared" si="43"/>
        <v>0</v>
      </c>
      <c r="G77" s="22">
        <f t="shared" si="43"/>
        <v>0</v>
      </c>
      <c r="H77" s="22">
        <f t="shared" si="43"/>
        <v>1</v>
      </c>
      <c r="I77" s="22">
        <f t="shared" si="43"/>
        <v>0</v>
      </c>
      <c r="J77" s="22">
        <f t="shared" si="43"/>
        <v>0</v>
      </c>
      <c r="K77" s="22">
        <f t="shared" si="43"/>
        <v>0</v>
      </c>
      <c r="L77" s="22">
        <f t="shared" ref="L77" si="44">L73+L74-L76</f>
        <v>0</v>
      </c>
      <c r="M77" s="95">
        <f t="shared" si="43"/>
        <v>2</v>
      </c>
    </row>
    <row r="78" spans="1:13" ht="15.6" customHeight="1" x14ac:dyDescent="0.25">
      <c r="A78" s="493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Thyolo!P78</f>
        <v>0</v>
      </c>
      <c r="G78" s="22">
        <f>Muloza!D78</f>
        <v>6</v>
      </c>
      <c r="H78" s="22">
        <f>MUST!P78</f>
        <v>0</v>
      </c>
      <c r="I78" s="22">
        <f>Phalombe!P78</f>
        <v>0</v>
      </c>
      <c r="J78" s="22">
        <f>Mikolongwe!D78</f>
        <v>0</v>
      </c>
      <c r="K78" s="22">
        <f>Migowi!D78</f>
        <v>0</v>
      </c>
      <c r="L78" s="22">
        <f>Nkando!E78</f>
        <v>0</v>
      </c>
      <c r="M78" s="31">
        <f>D78</f>
        <v>0</v>
      </c>
    </row>
    <row r="79" spans="1:13" ht="15.75" x14ac:dyDescent="0.25">
      <c r="A79" s="494"/>
      <c r="B79" s="21" t="s">
        <v>106</v>
      </c>
      <c r="C79" s="4" t="s">
        <v>3</v>
      </c>
      <c r="D79" s="22">
        <f>Mulanje!P79</f>
        <v>0</v>
      </c>
      <c r="E79" s="22">
        <f>Luchenza!P79</f>
        <v>0</v>
      </c>
      <c r="F79" s="22">
        <f>Thyolo!P79</f>
        <v>0</v>
      </c>
      <c r="G79" s="22">
        <f>Muloza!P79</f>
        <v>1</v>
      </c>
      <c r="H79" s="22">
        <f>MUST!P79</f>
        <v>0</v>
      </c>
      <c r="I79" s="22">
        <f>Phalombe!P79</f>
        <v>0</v>
      </c>
      <c r="J79" s="22">
        <f>Mikolongwe!P79</f>
        <v>0</v>
      </c>
      <c r="K79" s="22">
        <f>Migowi!P79</f>
        <v>0</v>
      </c>
      <c r="L79" s="22">
        <f>Nkando!Q79</f>
        <v>0</v>
      </c>
      <c r="M79" s="31">
        <f>SUM(D79:L79)</f>
        <v>1</v>
      </c>
    </row>
    <row r="80" spans="1:13" ht="26.25" x14ac:dyDescent="0.25">
      <c r="A80" s="494"/>
      <c r="B80" s="21" t="s">
        <v>105</v>
      </c>
      <c r="C80" s="4" t="s">
        <v>3</v>
      </c>
      <c r="D80" s="22">
        <f>Mulanje!P80</f>
        <v>0</v>
      </c>
      <c r="E80" s="22">
        <f>Luchenza!P80</f>
        <v>0</v>
      </c>
      <c r="F80" s="22">
        <f>Thyolo!P80</f>
        <v>0</v>
      </c>
      <c r="G80" s="22">
        <f>Muloza!P80</f>
        <v>0</v>
      </c>
      <c r="H80" s="22">
        <f>MUST!P80</f>
        <v>0</v>
      </c>
      <c r="I80" s="22">
        <f>Phalombe!P80</f>
        <v>0</v>
      </c>
      <c r="J80" s="22">
        <f>Mikolongwe!P80</f>
        <v>0</v>
      </c>
      <c r="K80" s="22">
        <f>Migowi!P80</f>
        <v>0</v>
      </c>
      <c r="L80" s="22">
        <f>Nkando!Q80</f>
        <v>0</v>
      </c>
      <c r="M80" s="31">
        <f>SUM(D80:L80)</f>
        <v>0</v>
      </c>
    </row>
    <row r="81" spans="1:13" ht="26.25" x14ac:dyDescent="0.25">
      <c r="A81" s="494"/>
      <c r="B81" s="21" t="s">
        <v>104</v>
      </c>
      <c r="C81" s="4" t="s">
        <v>3</v>
      </c>
      <c r="D81" s="22">
        <f>Mulanje!P81</f>
        <v>0</v>
      </c>
      <c r="E81" s="22">
        <f>Luchenza!P81</f>
        <v>0</v>
      </c>
      <c r="F81" s="22">
        <f>Thyolo!P81</f>
        <v>0</v>
      </c>
      <c r="G81" s="22">
        <f>Muloza!P81</f>
        <v>0</v>
      </c>
      <c r="H81" s="22">
        <f>MUST!P81</f>
        <v>0</v>
      </c>
      <c r="I81" s="22">
        <f>Phalombe!P81</f>
        <v>0</v>
      </c>
      <c r="J81" s="22">
        <f>Mikolongwe!P81</f>
        <v>0</v>
      </c>
      <c r="K81" s="22">
        <f>Migowi!P81</f>
        <v>0</v>
      </c>
      <c r="L81" s="22">
        <f>Nkando!Q81</f>
        <v>0</v>
      </c>
      <c r="M81" s="31">
        <f>SUM(D81:L81)</f>
        <v>0</v>
      </c>
    </row>
    <row r="82" spans="1:13" ht="15.75" x14ac:dyDescent="0.25">
      <c r="A82" s="494"/>
      <c r="B82" s="21" t="s">
        <v>190</v>
      </c>
      <c r="C82" s="4" t="s">
        <v>3</v>
      </c>
      <c r="D82" s="3">
        <f>D80+D81</f>
        <v>0</v>
      </c>
      <c r="E82" s="3">
        <f t="shared" ref="E82:K82" si="45">E80+E81</f>
        <v>0</v>
      </c>
      <c r="F82" s="3">
        <f t="shared" si="45"/>
        <v>0</v>
      </c>
      <c r="G82" s="3">
        <f t="shared" si="45"/>
        <v>0</v>
      </c>
      <c r="H82" s="3">
        <f t="shared" si="45"/>
        <v>0</v>
      </c>
      <c r="I82" s="3">
        <f t="shared" si="45"/>
        <v>0</v>
      </c>
      <c r="J82" s="3">
        <f t="shared" si="45"/>
        <v>0</v>
      </c>
      <c r="K82" s="3">
        <f t="shared" si="45"/>
        <v>0</v>
      </c>
      <c r="L82" s="3">
        <f t="shared" ref="L82" si="46">L80+L81</f>
        <v>0</v>
      </c>
      <c r="M82" s="94">
        <f t="shared" ref="M82" si="47">M81+M80</f>
        <v>0</v>
      </c>
    </row>
    <row r="83" spans="1:13" ht="15.75" x14ac:dyDescent="0.25">
      <c r="A83" s="495"/>
      <c r="B83" s="21" t="s">
        <v>81</v>
      </c>
      <c r="C83" s="4" t="s">
        <v>3</v>
      </c>
      <c r="D83" s="22">
        <f>D78+D79-D82</f>
        <v>0</v>
      </c>
      <c r="E83" s="22">
        <f t="shared" ref="E83:M83" si="48">E78+E79-E82</f>
        <v>0</v>
      </c>
      <c r="F83" s="22">
        <f t="shared" si="48"/>
        <v>0</v>
      </c>
      <c r="G83" s="22">
        <f t="shared" si="48"/>
        <v>7</v>
      </c>
      <c r="H83" s="22">
        <f t="shared" si="48"/>
        <v>0</v>
      </c>
      <c r="I83" s="22">
        <f t="shared" si="48"/>
        <v>0</v>
      </c>
      <c r="J83" s="22">
        <f t="shared" si="48"/>
        <v>0</v>
      </c>
      <c r="K83" s="22">
        <f t="shared" si="48"/>
        <v>0</v>
      </c>
      <c r="L83" s="22">
        <f t="shared" ref="L83" si="49">L78+L79-L82</f>
        <v>0</v>
      </c>
      <c r="M83" s="95">
        <f t="shared" si="48"/>
        <v>1</v>
      </c>
    </row>
    <row r="84" spans="1:13" ht="15.75" x14ac:dyDescent="0.25">
      <c r="A84" s="496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Thyolo!P84</f>
        <v>0</v>
      </c>
      <c r="G84" s="22">
        <f>Muloza!D84</f>
        <v>0</v>
      </c>
      <c r="H84" s="22">
        <f>MUST!P84</f>
        <v>0</v>
      </c>
      <c r="I84" s="22">
        <f>Phalombe!P84</f>
        <v>0</v>
      </c>
      <c r="J84" s="22">
        <f>Mikolongwe!D84</f>
        <v>0</v>
      </c>
      <c r="K84" s="22">
        <f>Migowi!D84</f>
        <v>0</v>
      </c>
      <c r="L84" s="22">
        <f>Nkando!E84</f>
        <v>0</v>
      </c>
      <c r="M84" s="31">
        <f>D84</f>
        <v>0</v>
      </c>
    </row>
    <row r="85" spans="1:13" ht="15.75" x14ac:dyDescent="0.25">
      <c r="A85" s="497"/>
      <c r="B85" s="21" t="s">
        <v>106</v>
      </c>
      <c r="C85" s="4" t="s">
        <v>3</v>
      </c>
      <c r="D85" s="22">
        <f>Mulanje!P85</f>
        <v>0</v>
      </c>
      <c r="E85" s="22">
        <f>Luchenza!P85</f>
        <v>0</v>
      </c>
      <c r="F85" s="22">
        <f>Thyolo!P85</f>
        <v>0</v>
      </c>
      <c r="G85" s="22">
        <f>Muloza!P85</f>
        <v>0</v>
      </c>
      <c r="H85" s="22">
        <f>MUST!P85</f>
        <v>0</v>
      </c>
      <c r="I85" s="22">
        <f>Phalombe!P85</f>
        <v>0</v>
      </c>
      <c r="J85" s="22">
        <f>Mikolongwe!P85</f>
        <v>0</v>
      </c>
      <c r="K85" s="22">
        <f>Migowi!P85</f>
        <v>0</v>
      </c>
      <c r="L85" s="22">
        <f>Nkando!Q85</f>
        <v>0</v>
      </c>
      <c r="M85" s="31">
        <f>SUM(D85:L85)</f>
        <v>0</v>
      </c>
    </row>
    <row r="86" spans="1:13" ht="26.25" x14ac:dyDescent="0.25">
      <c r="A86" s="497"/>
      <c r="B86" s="21" t="s">
        <v>105</v>
      </c>
      <c r="C86" s="4" t="s">
        <v>3</v>
      </c>
      <c r="D86" s="22">
        <f>Mulanje!P86</f>
        <v>0</v>
      </c>
      <c r="E86" s="22">
        <f>Luchenza!P86</f>
        <v>0</v>
      </c>
      <c r="F86" s="22">
        <f>Thyolo!P86</f>
        <v>0</v>
      </c>
      <c r="G86" s="22">
        <f>Muloza!P86</f>
        <v>0</v>
      </c>
      <c r="H86" s="22">
        <f>MUST!P86</f>
        <v>0</v>
      </c>
      <c r="I86" s="22">
        <f>Phalombe!P86</f>
        <v>0</v>
      </c>
      <c r="J86" s="22">
        <f>Mikolongwe!P86</f>
        <v>0</v>
      </c>
      <c r="K86" s="22">
        <f>Migowi!P86</f>
        <v>0</v>
      </c>
      <c r="L86" s="22">
        <f>Nkando!Q86</f>
        <v>0</v>
      </c>
      <c r="M86" s="31">
        <f>SUM(D86:L86)</f>
        <v>0</v>
      </c>
    </row>
    <row r="87" spans="1:13" ht="26.25" x14ac:dyDescent="0.25">
      <c r="A87" s="497"/>
      <c r="B87" s="21" t="s">
        <v>104</v>
      </c>
      <c r="C87" s="4" t="s">
        <v>3</v>
      </c>
      <c r="D87" s="22">
        <f>Mulanje!P87</f>
        <v>0</v>
      </c>
      <c r="E87" s="22">
        <f>Luchenza!P87</f>
        <v>0</v>
      </c>
      <c r="F87" s="22">
        <f>Thyolo!P87</f>
        <v>0</v>
      </c>
      <c r="G87" s="22">
        <f>Muloza!P87</f>
        <v>0</v>
      </c>
      <c r="H87" s="22">
        <f>MUST!P87</f>
        <v>0</v>
      </c>
      <c r="I87" s="22">
        <f>Phalombe!P87</f>
        <v>0</v>
      </c>
      <c r="J87" s="22">
        <f>Mikolongwe!P87</f>
        <v>0</v>
      </c>
      <c r="K87" s="22">
        <f>Migowi!P87</f>
        <v>0</v>
      </c>
      <c r="L87" s="22">
        <f>Nkando!Q87</f>
        <v>0</v>
      </c>
      <c r="M87" s="31">
        <f>SUM(D87:L87)</f>
        <v>0</v>
      </c>
    </row>
    <row r="88" spans="1:13" ht="15.75" x14ac:dyDescent="0.25">
      <c r="A88" s="497"/>
      <c r="B88" s="21" t="s">
        <v>190</v>
      </c>
      <c r="C88" s="4" t="s">
        <v>3</v>
      </c>
      <c r="D88" s="3">
        <f>D86+D87</f>
        <v>0</v>
      </c>
      <c r="E88" s="3">
        <f t="shared" ref="E88:K88" si="50">E86+E87</f>
        <v>0</v>
      </c>
      <c r="F88" s="3">
        <f t="shared" si="50"/>
        <v>0</v>
      </c>
      <c r="G88" s="3">
        <f t="shared" si="50"/>
        <v>0</v>
      </c>
      <c r="H88" s="3">
        <f t="shared" si="50"/>
        <v>0</v>
      </c>
      <c r="I88" s="3">
        <f t="shared" si="50"/>
        <v>0</v>
      </c>
      <c r="J88" s="3">
        <f t="shared" si="50"/>
        <v>0</v>
      </c>
      <c r="K88" s="3">
        <f t="shared" si="50"/>
        <v>0</v>
      </c>
      <c r="L88" s="3">
        <f t="shared" ref="L88" si="51">L86+L87</f>
        <v>0</v>
      </c>
      <c r="M88" s="31">
        <f>SUM(D88:L88)</f>
        <v>0</v>
      </c>
    </row>
    <row r="89" spans="1:13" ht="15.75" x14ac:dyDescent="0.25">
      <c r="A89" s="498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22"/>
      <c r="I89" s="22"/>
      <c r="J89" s="22"/>
      <c r="K89" s="22"/>
      <c r="L89" s="22"/>
      <c r="M89" s="95">
        <f t="shared" ref="M89" si="52">M84+M85-M86-M87</f>
        <v>0</v>
      </c>
    </row>
    <row r="90" spans="1:13" ht="15.75" x14ac:dyDescent="0.25">
      <c r="A90" s="496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K90" si="53">E66+E72+E78+E84</f>
        <v>38</v>
      </c>
      <c r="F90" s="122">
        <f t="shared" si="53"/>
        <v>8</v>
      </c>
      <c r="G90" s="122">
        <f t="shared" si="53"/>
        <v>58</v>
      </c>
      <c r="H90" s="122">
        <f t="shared" si="53"/>
        <v>1</v>
      </c>
      <c r="I90" s="122">
        <f t="shared" si="53"/>
        <v>38</v>
      </c>
      <c r="J90" s="122">
        <f t="shared" si="53"/>
        <v>0</v>
      </c>
      <c r="K90" s="122">
        <f t="shared" si="53"/>
        <v>0</v>
      </c>
      <c r="L90" s="122">
        <f t="shared" ref="L90" si="54">L66+L72+L78+L84</f>
        <v>6</v>
      </c>
      <c r="M90" s="31">
        <f>SUM(D90:L90)</f>
        <v>159</v>
      </c>
    </row>
    <row r="91" spans="1:13" ht="15.75" x14ac:dyDescent="0.25">
      <c r="A91" s="497"/>
      <c r="B91" s="21" t="s">
        <v>106</v>
      </c>
      <c r="C91" s="4" t="s">
        <v>3</v>
      </c>
      <c r="D91" s="122">
        <f t="shared" ref="D91:K93" si="55">D67+D73+D79+D85</f>
        <v>70</v>
      </c>
      <c r="E91" s="122">
        <f t="shared" si="55"/>
        <v>54</v>
      </c>
      <c r="F91" s="122">
        <f t="shared" si="55"/>
        <v>44</v>
      </c>
      <c r="G91" s="122">
        <f t="shared" si="55"/>
        <v>31</v>
      </c>
      <c r="H91" s="122">
        <f t="shared" si="55"/>
        <v>18</v>
      </c>
      <c r="I91" s="122">
        <f t="shared" si="55"/>
        <v>16</v>
      </c>
      <c r="J91" s="122">
        <f t="shared" si="55"/>
        <v>0</v>
      </c>
      <c r="K91" s="122">
        <f t="shared" si="55"/>
        <v>0</v>
      </c>
      <c r="L91" s="122">
        <f t="shared" ref="L91" si="56">L67+L73+L79+L85</f>
        <v>0</v>
      </c>
      <c r="M91" s="31">
        <f>SUM(D91:L91)</f>
        <v>233</v>
      </c>
    </row>
    <row r="92" spans="1:13" ht="26.25" x14ac:dyDescent="0.25">
      <c r="A92" s="497"/>
      <c r="B92" s="21" t="s">
        <v>105</v>
      </c>
      <c r="C92" s="4" t="s">
        <v>3</v>
      </c>
      <c r="D92" s="122">
        <f t="shared" si="55"/>
        <v>0</v>
      </c>
      <c r="E92" s="122">
        <f t="shared" si="55"/>
        <v>5</v>
      </c>
      <c r="F92" s="122">
        <f t="shared" si="55"/>
        <v>2</v>
      </c>
      <c r="G92" s="122">
        <f t="shared" si="55"/>
        <v>1</v>
      </c>
      <c r="H92" s="122">
        <f t="shared" si="55"/>
        <v>12</v>
      </c>
      <c r="I92" s="122">
        <f t="shared" si="55"/>
        <v>0</v>
      </c>
      <c r="J92" s="122">
        <f t="shared" si="55"/>
        <v>0</v>
      </c>
      <c r="K92" s="122">
        <f t="shared" si="55"/>
        <v>0</v>
      </c>
      <c r="L92" s="122">
        <f t="shared" ref="L92" si="57">L68+L74+L80+L86</f>
        <v>0</v>
      </c>
      <c r="M92" s="31">
        <f>SUM(D92:L92)</f>
        <v>20</v>
      </c>
    </row>
    <row r="93" spans="1:13" ht="26.25" x14ac:dyDescent="0.25">
      <c r="A93" s="497"/>
      <c r="B93" s="21" t="s">
        <v>104</v>
      </c>
      <c r="C93" s="4"/>
      <c r="D93" s="122">
        <f t="shared" si="55"/>
        <v>60</v>
      </c>
      <c r="E93" s="122">
        <f t="shared" si="55"/>
        <v>44</v>
      </c>
      <c r="F93" s="122">
        <f t="shared" si="55"/>
        <v>34</v>
      </c>
      <c r="G93" s="122">
        <f t="shared" si="55"/>
        <v>16</v>
      </c>
      <c r="H93" s="122">
        <f t="shared" si="55"/>
        <v>4</v>
      </c>
      <c r="I93" s="122">
        <f t="shared" si="55"/>
        <v>14</v>
      </c>
      <c r="J93" s="122">
        <f t="shared" si="55"/>
        <v>0</v>
      </c>
      <c r="K93" s="122">
        <f t="shared" si="55"/>
        <v>0</v>
      </c>
      <c r="L93" s="122">
        <f t="shared" ref="L93" si="58">L69+L75+L81+L87</f>
        <v>0</v>
      </c>
      <c r="M93" s="31">
        <f>SUM(D93:L93)</f>
        <v>172</v>
      </c>
    </row>
    <row r="94" spans="1:13" ht="15.75" x14ac:dyDescent="0.25">
      <c r="A94" s="497"/>
      <c r="B94" s="21" t="s">
        <v>190</v>
      </c>
      <c r="C94" s="4" t="s">
        <v>3</v>
      </c>
      <c r="D94" s="123">
        <f>D93+D92</f>
        <v>60</v>
      </c>
      <c r="E94" s="123">
        <f t="shared" ref="E94:K94" si="59">E93+E92</f>
        <v>49</v>
      </c>
      <c r="F94" s="123">
        <f t="shared" si="59"/>
        <v>36</v>
      </c>
      <c r="G94" s="123">
        <f t="shared" si="59"/>
        <v>17</v>
      </c>
      <c r="H94" s="123">
        <f t="shared" si="59"/>
        <v>16</v>
      </c>
      <c r="I94" s="123">
        <f t="shared" si="59"/>
        <v>14</v>
      </c>
      <c r="J94" s="123">
        <f t="shared" si="59"/>
        <v>0</v>
      </c>
      <c r="K94" s="123">
        <f t="shared" si="59"/>
        <v>0</v>
      </c>
      <c r="L94" s="123">
        <f t="shared" ref="L94" si="60">L93+L92</f>
        <v>0</v>
      </c>
      <c r="M94" s="130">
        <f t="shared" ref="M94" si="61">M93+M92</f>
        <v>192</v>
      </c>
    </row>
    <row r="95" spans="1:13" ht="16.5" thickBot="1" x14ac:dyDescent="0.3">
      <c r="A95" s="498"/>
      <c r="B95" s="21" t="s">
        <v>81</v>
      </c>
      <c r="C95" s="4" t="s">
        <v>3</v>
      </c>
      <c r="D95" s="124">
        <f>D90+D91-D94</f>
        <v>20</v>
      </c>
      <c r="E95" s="124">
        <f t="shared" ref="E95:K95" si="62">E90+E91-E94</f>
        <v>43</v>
      </c>
      <c r="F95" s="124">
        <f t="shared" si="62"/>
        <v>16</v>
      </c>
      <c r="G95" s="124">
        <f t="shared" si="62"/>
        <v>72</v>
      </c>
      <c r="H95" s="124">
        <f t="shared" si="62"/>
        <v>3</v>
      </c>
      <c r="I95" s="124">
        <f t="shared" si="62"/>
        <v>40</v>
      </c>
      <c r="J95" s="124">
        <f t="shared" si="62"/>
        <v>0</v>
      </c>
      <c r="K95" s="124">
        <f t="shared" si="62"/>
        <v>0</v>
      </c>
      <c r="L95" s="124">
        <f t="shared" ref="L95" si="63">L90+L91-L94</f>
        <v>6</v>
      </c>
      <c r="M95" s="131">
        <f t="shared" ref="M95" si="64">M90+M91-M94</f>
        <v>200</v>
      </c>
    </row>
    <row r="96" spans="1:13" ht="16.149999999999999" customHeight="1" thickBot="1" x14ac:dyDescent="0.3">
      <c r="A96" s="499"/>
      <c r="B96" s="500"/>
      <c r="C96" s="500"/>
      <c r="D96" s="500"/>
      <c r="E96" s="500"/>
      <c r="F96" s="500"/>
      <c r="G96" s="500"/>
      <c r="H96" s="500"/>
      <c r="I96" s="500"/>
      <c r="J96" s="500"/>
      <c r="K96" s="500"/>
      <c r="L96" s="500"/>
      <c r="M96" s="501"/>
    </row>
    <row r="97" spans="1:13" ht="15.75" customHeight="1" thickBot="1" x14ac:dyDescent="0.3">
      <c r="A97" s="490" t="s">
        <v>191</v>
      </c>
      <c r="B97" s="491"/>
      <c r="C97" s="491"/>
      <c r="D97" s="491"/>
      <c r="E97" s="491"/>
      <c r="F97" s="491"/>
      <c r="G97" s="491"/>
      <c r="H97" s="491"/>
      <c r="I97" s="491"/>
      <c r="J97" s="491"/>
      <c r="K97" s="491"/>
      <c r="L97" s="491"/>
      <c r="M97" s="492"/>
    </row>
    <row r="98" spans="1:13" ht="15.75" x14ac:dyDescent="0.25">
      <c r="A98" s="73" t="s">
        <v>192</v>
      </c>
      <c r="B98" s="63"/>
      <c r="C98" s="4" t="s">
        <v>3</v>
      </c>
      <c r="D98" s="22">
        <f>Mulanje!P98</f>
        <v>80</v>
      </c>
      <c r="E98" s="22">
        <f>Luchenza!P98</f>
        <v>51</v>
      </c>
      <c r="F98" s="22">
        <f>Thyolo!P98</f>
        <v>45</v>
      </c>
      <c r="G98" s="22">
        <f>Muloza!P98</f>
        <v>0</v>
      </c>
      <c r="H98" s="22">
        <f>MUST!P98</f>
        <v>4</v>
      </c>
      <c r="I98" s="22">
        <f>Phalombe!P98</f>
        <v>0</v>
      </c>
      <c r="J98" s="22">
        <f>Mikolongwe!P98</f>
        <v>0</v>
      </c>
      <c r="K98" s="22">
        <f>Migowi!P98</f>
        <v>0</v>
      </c>
      <c r="L98" s="22">
        <f>Nkando!Q98</f>
        <v>0</v>
      </c>
      <c r="M98" s="97">
        <f>SUM(D98:K98)</f>
        <v>180</v>
      </c>
    </row>
    <row r="99" spans="1:13" ht="15.75" x14ac:dyDescent="0.25">
      <c r="A99" s="73"/>
      <c r="B99" s="21"/>
      <c r="C99" s="4"/>
      <c r="D99" s="60">
        <f>D94/3269*400</f>
        <v>7.3416947078617314</v>
      </c>
      <c r="E99" s="60">
        <f t="shared" ref="E99:K99" si="65">E94/3269*400</f>
        <v>5.9957173447537473</v>
      </c>
      <c r="F99" s="60">
        <f t="shared" si="65"/>
        <v>4.4050168247170385</v>
      </c>
      <c r="G99" s="60">
        <f t="shared" si="65"/>
        <v>2.0801468338941573</v>
      </c>
      <c r="H99" s="60">
        <f t="shared" si="65"/>
        <v>1.9577852554297952</v>
      </c>
      <c r="I99" s="60">
        <f t="shared" si="65"/>
        <v>1.7130620985010707</v>
      </c>
      <c r="J99" s="60">
        <f t="shared" si="65"/>
        <v>0</v>
      </c>
      <c r="K99" s="60">
        <f t="shared" si="65"/>
        <v>0</v>
      </c>
      <c r="L99" s="60">
        <f t="shared" ref="L99" si="66">L94/3269*400</f>
        <v>0</v>
      </c>
      <c r="M99" s="96"/>
    </row>
    <row r="100" spans="1:13" x14ac:dyDescent="0.25">
      <c r="A100" s="482" t="s">
        <v>103</v>
      </c>
      <c r="B100" s="483"/>
      <c r="C100" s="483"/>
      <c r="D100" s="483"/>
      <c r="E100" s="483"/>
      <c r="F100" s="483"/>
      <c r="G100" s="483"/>
      <c r="H100" s="483"/>
      <c r="I100" s="483"/>
      <c r="J100" s="483"/>
      <c r="K100" s="483"/>
      <c r="L100" s="483"/>
      <c r="M100" s="484"/>
    </row>
    <row r="101" spans="1:13" ht="15.75" x14ac:dyDescent="0.25">
      <c r="A101" s="445" t="s">
        <v>102</v>
      </c>
      <c r="B101" s="446"/>
      <c r="C101" s="4" t="s">
        <v>3</v>
      </c>
      <c r="D101" s="22">
        <f>Mulanje!P101</f>
        <v>0</v>
      </c>
      <c r="E101" s="22">
        <f>Luchenza!P101</f>
        <v>0</v>
      </c>
      <c r="F101" s="22">
        <f>Thyolo!P101</f>
        <v>0</v>
      </c>
      <c r="G101" s="22">
        <f>Muloza!P101</f>
        <v>0</v>
      </c>
      <c r="H101" s="22">
        <f>MUST!P101</f>
        <v>0</v>
      </c>
      <c r="I101" s="22">
        <f>Phalombe!P101</f>
        <v>0</v>
      </c>
      <c r="J101" s="22">
        <f>Mikolongwe!P101</f>
        <v>0</v>
      </c>
      <c r="K101" s="22">
        <f>Migowi!P101</f>
        <v>0</v>
      </c>
      <c r="L101" s="22">
        <f>Nkando!Q101</f>
        <v>0</v>
      </c>
      <c r="M101" s="152">
        <f>SUM(D101:L101)</f>
        <v>0</v>
      </c>
    </row>
    <row r="102" spans="1:13" ht="15.75" x14ac:dyDescent="0.25">
      <c r="A102" s="445" t="s">
        <v>101</v>
      </c>
      <c r="B102" s="446"/>
      <c r="C102" s="4" t="s">
        <v>3</v>
      </c>
      <c r="D102" s="22">
        <f>Mulanje!P102</f>
        <v>0</v>
      </c>
      <c r="E102" s="22">
        <f>Luchenza!P102</f>
        <v>0</v>
      </c>
      <c r="F102" s="22">
        <f>Thyolo!P102</f>
        <v>0</v>
      </c>
      <c r="G102" s="22">
        <f>Muloza!P102</f>
        <v>0</v>
      </c>
      <c r="H102" s="22">
        <f>MUST!P102</f>
        <v>0</v>
      </c>
      <c r="I102" s="22">
        <f>Phalombe!P102</f>
        <v>0</v>
      </c>
      <c r="J102" s="22">
        <f>Mikolongwe!P102</f>
        <v>0</v>
      </c>
      <c r="K102" s="22">
        <f>Migowi!P102</f>
        <v>0</v>
      </c>
      <c r="L102" s="22">
        <f>Nkando!Q102</f>
        <v>0</v>
      </c>
      <c r="M102" s="152">
        <f>SUM(D102:L102)</f>
        <v>0</v>
      </c>
    </row>
    <row r="103" spans="1:13" ht="15.6" customHeight="1" x14ac:dyDescent="0.25">
      <c r="A103" s="460" t="s">
        <v>100</v>
      </c>
      <c r="B103" s="461"/>
      <c r="C103" s="4" t="s">
        <v>3</v>
      </c>
      <c r="D103" s="22">
        <f>Mulanje!P103</f>
        <v>0</v>
      </c>
      <c r="E103" s="22">
        <f>Luchenza!P103</f>
        <v>0</v>
      </c>
      <c r="F103" s="22">
        <f>Thyolo!P103</f>
        <v>0</v>
      </c>
      <c r="G103" s="22">
        <f>Muloza!P103</f>
        <v>0</v>
      </c>
      <c r="H103" s="22">
        <f>MUST!P103</f>
        <v>0</v>
      </c>
      <c r="I103" s="22">
        <f>Phalombe!P103</f>
        <v>0</v>
      </c>
      <c r="J103" s="22">
        <f>Mikolongwe!P103</f>
        <v>0</v>
      </c>
      <c r="K103" s="22">
        <f>Migowi!P103</f>
        <v>0</v>
      </c>
      <c r="L103" s="22">
        <f>Nkando!Q103</f>
        <v>0</v>
      </c>
      <c r="M103" s="152">
        <f>SUM(D103:L103)</f>
        <v>0</v>
      </c>
    </row>
    <row r="104" spans="1:13" ht="15.75" x14ac:dyDescent="0.25">
      <c r="A104" s="460" t="s">
        <v>99</v>
      </c>
      <c r="B104" s="461"/>
      <c r="C104" s="4" t="s">
        <v>3</v>
      </c>
      <c r="D104" s="22">
        <f>Mulanje!P104</f>
        <v>0</v>
      </c>
      <c r="E104" s="22">
        <f>Luchenza!P104</f>
        <v>0</v>
      </c>
      <c r="F104" s="22">
        <f>Thyolo!P104</f>
        <v>0</v>
      </c>
      <c r="G104" s="22">
        <f>Muloza!P104</f>
        <v>0</v>
      </c>
      <c r="H104" s="22">
        <f>MUST!P104</f>
        <v>0</v>
      </c>
      <c r="I104" s="22">
        <f>Phalombe!P104</f>
        <v>0</v>
      </c>
      <c r="J104" s="22">
        <f>Mikolongwe!P104</f>
        <v>0</v>
      </c>
      <c r="K104" s="22">
        <f>Migowi!P104</f>
        <v>0</v>
      </c>
      <c r="L104" s="22">
        <f>Nkando!Q104</f>
        <v>0</v>
      </c>
      <c r="M104" s="152">
        <f>SUM(D104:L104)</f>
        <v>0</v>
      </c>
    </row>
    <row r="105" spans="1:13" ht="15.75" x14ac:dyDescent="0.25">
      <c r="A105" s="485" t="s">
        <v>98</v>
      </c>
      <c r="B105" s="486"/>
      <c r="C105" s="4" t="s">
        <v>3</v>
      </c>
      <c r="D105" s="29">
        <f>SUM(D101:D104)</f>
        <v>0</v>
      </c>
      <c r="E105" s="29">
        <f t="shared" ref="E105:M105" si="67">SUM(E101:E104)</f>
        <v>0</v>
      </c>
      <c r="F105" s="29">
        <f t="shared" si="67"/>
        <v>0</v>
      </c>
      <c r="G105" s="29">
        <f t="shared" si="67"/>
        <v>0</v>
      </c>
      <c r="H105" s="29">
        <f t="shared" si="67"/>
        <v>0</v>
      </c>
      <c r="I105" s="29">
        <f t="shared" si="67"/>
        <v>0</v>
      </c>
      <c r="J105" s="29">
        <f t="shared" si="67"/>
        <v>0</v>
      </c>
      <c r="K105" s="29">
        <f t="shared" si="67"/>
        <v>0</v>
      </c>
      <c r="L105" s="29">
        <f t="shared" ref="L105" si="68">SUM(L101:L104)</f>
        <v>0</v>
      </c>
      <c r="M105" s="50">
        <f t="shared" si="67"/>
        <v>0</v>
      </c>
    </row>
    <row r="106" spans="1:13" ht="15.6" customHeight="1" x14ac:dyDescent="0.25">
      <c r="A106" s="487" t="s">
        <v>212</v>
      </c>
      <c r="B106" s="488"/>
      <c r="C106" s="488"/>
      <c r="D106" s="488"/>
      <c r="E106" s="488"/>
      <c r="F106" s="488"/>
      <c r="G106" s="488"/>
      <c r="H106" s="488"/>
      <c r="I106" s="488"/>
      <c r="J106" s="488"/>
      <c r="K106" s="488"/>
      <c r="L106" s="488"/>
      <c r="M106" s="489"/>
    </row>
    <row r="107" spans="1:13" ht="15.75" x14ac:dyDescent="0.25">
      <c r="A107" s="445" t="s">
        <v>195</v>
      </c>
      <c r="B107" s="446"/>
      <c r="C107" s="4" t="s">
        <v>3</v>
      </c>
      <c r="D107" s="22">
        <f>Mulanje!P107</f>
        <v>0</v>
      </c>
      <c r="E107" s="22">
        <f>Luchenza!P107</f>
        <v>0</v>
      </c>
      <c r="F107" s="22">
        <f>Thyolo!P107</f>
        <v>0</v>
      </c>
      <c r="G107" s="22">
        <f>Muloza!P107</f>
        <v>0</v>
      </c>
      <c r="H107" s="22">
        <f>MUST!P107</f>
        <v>0</v>
      </c>
      <c r="I107" s="22">
        <f>Phalombe!P107</f>
        <v>0</v>
      </c>
      <c r="J107" s="22">
        <f>Mikolongwe!P107</f>
        <v>0</v>
      </c>
      <c r="K107" s="22">
        <f>Migowi!P107</f>
        <v>0</v>
      </c>
      <c r="L107" s="22">
        <f>Nkando!Q107</f>
        <v>0</v>
      </c>
      <c r="M107" s="152">
        <f>SUM(D107:L107)</f>
        <v>0</v>
      </c>
    </row>
    <row r="108" spans="1:13" ht="15.75" x14ac:dyDescent="0.25">
      <c r="A108" s="445" t="s">
        <v>196</v>
      </c>
      <c r="B108" s="446"/>
      <c r="C108" s="4" t="s">
        <v>3</v>
      </c>
      <c r="D108" s="22">
        <f>Mulanje!P108</f>
        <v>0</v>
      </c>
      <c r="E108" s="22">
        <f>Luchenza!P108</f>
        <v>0</v>
      </c>
      <c r="F108" s="22">
        <f>Thyolo!P108</f>
        <v>0</v>
      </c>
      <c r="G108" s="22">
        <f>Muloza!P108</f>
        <v>0</v>
      </c>
      <c r="H108" s="22">
        <f>MUST!P108</f>
        <v>0</v>
      </c>
      <c r="I108" s="22">
        <f>Phalombe!P108</f>
        <v>0</v>
      </c>
      <c r="J108" s="22">
        <f>Mikolongwe!P108</f>
        <v>0</v>
      </c>
      <c r="K108" s="22">
        <f>Migowi!P108</f>
        <v>0</v>
      </c>
      <c r="L108" s="22">
        <f>Nkando!Q108</f>
        <v>0</v>
      </c>
      <c r="M108" s="152">
        <f>SUM(D108:L108)</f>
        <v>0</v>
      </c>
    </row>
    <row r="109" spans="1:13" ht="15.75" x14ac:dyDescent="0.25">
      <c r="A109" s="445" t="s">
        <v>197</v>
      </c>
      <c r="B109" s="446"/>
      <c r="C109" s="4" t="s">
        <v>3</v>
      </c>
      <c r="D109" s="22">
        <f>Mulanje!P109</f>
        <v>0</v>
      </c>
      <c r="E109" s="22">
        <f>Luchenza!P109</f>
        <v>0</v>
      </c>
      <c r="F109" s="22">
        <f>Thyolo!P109</f>
        <v>0</v>
      </c>
      <c r="G109" s="22">
        <f>Muloza!P109</f>
        <v>0</v>
      </c>
      <c r="H109" s="22">
        <f>MUST!P109</f>
        <v>0</v>
      </c>
      <c r="I109" s="22">
        <f>Phalombe!P109</f>
        <v>0</v>
      </c>
      <c r="J109" s="22">
        <f>Mikolongwe!P109</f>
        <v>0</v>
      </c>
      <c r="K109" s="22">
        <f>Migowi!P109</f>
        <v>0</v>
      </c>
      <c r="L109" s="22">
        <f>Nkando!Q109</f>
        <v>0</v>
      </c>
      <c r="M109" s="152">
        <f>SUM(D109:L109)</f>
        <v>0</v>
      </c>
    </row>
    <row r="110" spans="1:13" ht="15.75" x14ac:dyDescent="0.25">
      <c r="A110" s="445" t="s">
        <v>198</v>
      </c>
      <c r="B110" s="446"/>
      <c r="C110" s="4" t="s">
        <v>3</v>
      </c>
      <c r="D110" s="22">
        <f>Mulanje!P110</f>
        <v>0</v>
      </c>
      <c r="E110" s="22">
        <f>Luchenza!P110</f>
        <v>0</v>
      </c>
      <c r="F110" s="22">
        <f>Thyolo!P110</f>
        <v>0</v>
      </c>
      <c r="G110" s="22">
        <f>Muloza!P110</f>
        <v>0</v>
      </c>
      <c r="H110" s="22">
        <f>MUST!P110</f>
        <v>0</v>
      </c>
      <c r="I110" s="22">
        <f>Phalombe!P110</f>
        <v>0</v>
      </c>
      <c r="J110" s="22">
        <f>Mikolongwe!P110</f>
        <v>0</v>
      </c>
      <c r="K110" s="22">
        <f>Migowi!P110</f>
        <v>0</v>
      </c>
      <c r="L110" s="22">
        <f>Nkando!Q110</f>
        <v>0</v>
      </c>
      <c r="M110" s="152">
        <f>SUM(D110:L110)</f>
        <v>0</v>
      </c>
    </row>
    <row r="111" spans="1:13" ht="15.75" x14ac:dyDescent="0.25">
      <c r="A111" s="478" t="s">
        <v>97</v>
      </c>
      <c r="B111" s="479"/>
      <c r="C111" s="4" t="s">
        <v>3</v>
      </c>
      <c r="D111" s="29">
        <f>SUM(D107:D110)</f>
        <v>0</v>
      </c>
      <c r="E111" s="29">
        <f t="shared" ref="E111:M111" si="69">SUM(E107:E110)</f>
        <v>0</v>
      </c>
      <c r="F111" s="29">
        <f t="shared" si="69"/>
        <v>0</v>
      </c>
      <c r="G111" s="29">
        <f t="shared" si="69"/>
        <v>0</v>
      </c>
      <c r="H111" s="29">
        <f t="shared" si="69"/>
        <v>0</v>
      </c>
      <c r="I111" s="29">
        <f t="shared" si="69"/>
        <v>0</v>
      </c>
      <c r="J111" s="29">
        <f t="shared" si="69"/>
        <v>0</v>
      </c>
      <c r="K111" s="29">
        <f t="shared" si="69"/>
        <v>0</v>
      </c>
      <c r="L111" s="29">
        <f t="shared" ref="L111" si="70">SUM(L107:L110)</f>
        <v>0</v>
      </c>
      <c r="M111" s="50">
        <f t="shared" si="69"/>
        <v>0</v>
      </c>
    </row>
    <row r="112" spans="1:13" ht="15.6" customHeight="1" x14ac:dyDescent="0.25">
      <c r="A112" s="482" t="s">
        <v>212</v>
      </c>
      <c r="B112" s="483"/>
      <c r="C112" s="483"/>
      <c r="D112" s="483"/>
      <c r="E112" s="483"/>
      <c r="F112" s="483"/>
      <c r="G112" s="483"/>
      <c r="H112" s="483"/>
      <c r="I112" s="483"/>
      <c r="J112" s="483"/>
      <c r="K112" s="483"/>
      <c r="L112" s="483"/>
      <c r="M112" s="484"/>
    </row>
    <row r="113" spans="1:13" ht="15.75" x14ac:dyDescent="0.25">
      <c r="A113" s="445" t="s">
        <v>199</v>
      </c>
      <c r="B113" s="446"/>
      <c r="C113" s="4" t="s">
        <v>3</v>
      </c>
      <c r="D113" s="22">
        <f>Mulanje!P113</f>
        <v>0</v>
      </c>
      <c r="E113" s="22">
        <f>Luchenza!P113</f>
        <v>0</v>
      </c>
      <c r="F113" s="22">
        <f>Thyolo!P113</f>
        <v>0</v>
      </c>
      <c r="G113" s="22">
        <f>Muloza!P113</f>
        <v>0</v>
      </c>
      <c r="H113" s="22">
        <f>MUST!P113</f>
        <v>0</v>
      </c>
      <c r="I113" s="22">
        <f>Phalombe!P113</f>
        <v>0</v>
      </c>
      <c r="J113" s="22">
        <f>Mikolongwe!P113</f>
        <v>0</v>
      </c>
      <c r="K113" s="22">
        <f>Migowi!P113</f>
        <v>0</v>
      </c>
      <c r="L113" s="22">
        <f>Nkando!Q113</f>
        <v>0</v>
      </c>
      <c r="M113" s="152">
        <f>SUM(D113:L113)</f>
        <v>0</v>
      </c>
    </row>
    <row r="114" spans="1:13" ht="15.75" x14ac:dyDescent="0.25">
      <c r="A114" s="445" t="s">
        <v>200</v>
      </c>
      <c r="B114" s="446"/>
      <c r="C114" s="4" t="s">
        <v>3</v>
      </c>
      <c r="D114" s="22">
        <f>Mulanje!P114</f>
        <v>0</v>
      </c>
      <c r="E114" s="22">
        <f>Luchenza!P114</f>
        <v>0</v>
      </c>
      <c r="F114" s="22">
        <f>Thyolo!P114</f>
        <v>0</v>
      </c>
      <c r="G114" s="22">
        <f>Muloza!P114</f>
        <v>0</v>
      </c>
      <c r="H114" s="22">
        <f>MUST!P114</f>
        <v>0</v>
      </c>
      <c r="I114" s="22">
        <f>Phalombe!P114</f>
        <v>0</v>
      </c>
      <c r="J114" s="22">
        <f>Mikolongwe!P114</f>
        <v>0</v>
      </c>
      <c r="K114" s="22">
        <f>Migowi!P114</f>
        <v>0</v>
      </c>
      <c r="L114" s="22">
        <f>Nkando!Q114</f>
        <v>0</v>
      </c>
      <c r="M114" s="152">
        <f>SUM(D114:L114)</f>
        <v>0</v>
      </c>
    </row>
    <row r="115" spans="1:13" ht="15.75" x14ac:dyDescent="0.25">
      <c r="A115" s="445" t="s">
        <v>201</v>
      </c>
      <c r="B115" s="446"/>
      <c r="C115" s="4" t="s">
        <v>3</v>
      </c>
      <c r="D115" s="22">
        <f>Mulanje!P115</f>
        <v>0</v>
      </c>
      <c r="E115" s="22">
        <f>Luchenza!P115</f>
        <v>0</v>
      </c>
      <c r="F115" s="22">
        <f>Thyolo!P115</f>
        <v>0</v>
      </c>
      <c r="G115" s="22">
        <f>Muloza!P115</f>
        <v>0</v>
      </c>
      <c r="H115" s="22">
        <f>MUST!P115</f>
        <v>0</v>
      </c>
      <c r="I115" s="22">
        <f>Phalombe!P115</f>
        <v>0</v>
      </c>
      <c r="J115" s="22">
        <f>Mikolongwe!P115</f>
        <v>0</v>
      </c>
      <c r="K115" s="22">
        <f>Migowi!P115</f>
        <v>0</v>
      </c>
      <c r="L115" s="22">
        <f>Nkando!Q115</f>
        <v>0</v>
      </c>
      <c r="M115" s="152">
        <f>SUM(D115:L115)</f>
        <v>0</v>
      </c>
    </row>
    <row r="116" spans="1:13" ht="15.75" x14ac:dyDescent="0.25">
      <c r="A116" s="445" t="s">
        <v>202</v>
      </c>
      <c r="B116" s="446"/>
      <c r="C116" s="4" t="s">
        <v>3</v>
      </c>
      <c r="D116" s="22">
        <f>Mulanje!P116</f>
        <v>0</v>
      </c>
      <c r="E116" s="22">
        <f>Luchenza!P116</f>
        <v>0</v>
      </c>
      <c r="F116" s="22">
        <f>Thyolo!P116</f>
        <v>0</v>
      </c>
      <c r="G116" s="22">
        <f>Muloza!P116</f>
        <v>0</v>
      </c>
      <c r="H116" s="22">
        <f>MUST!P116</f>
        <v>0</v>
      </c>
      <c r="I116" s="22">
        <f>Phalombe!P116</f>
        <v>0</v>
      </c>
      <c r="J116" s="22">
        <f>Mikolongwe!P116</f>
        <v>0</v>
      </c>
      <c r="K116" s="22">
        <f>Migowi!P116</f>
        <v>0</v>
      </c>
      <c r="L116" s="22">
        <f>Nkando!Q116</f>
        <v>0</v>
      </c>
      <c r="M116" s="152">
        <f>SUM(D116:L116)</f>
        <v>0</v>
      </c>
    </row>
    <row r="117" spans="1:13" ht="15.75" x14ac:dyDescent="0.25">
      <c r="A117" s="478" t="s">
        <v>96</v>
      </c>
      <c r="B117" s="479"/>
      <c r="C117" s="4" t="s">
        <v>3</v>
      </c>
      <c r="D117" s="29">
        <f>SUM(D113:D116)</f>
        <v>0</v>
      </c>
      <c r="E117" s="29">
        <f t="shared" ref="E117:M117" si="71">SUM(E113:E116)</f>
        <v>0</v>
      </c>
      <c r="F117" s="29">
        <f t="shared" si="71"/>
        <v>0</v>
      </c>
      <c r="G117" s="29">
        <f t="shared" si="71"/>
        <v>0</v>
      </c>
      <c r="H117" s="29">
        <f t="shared" si="71"/>
        <v>0</v>
      </c>
      <c r="I117" s="29">
        <f t="shared" si="71"/>
        <v>0</v>
      </c>
      <c r="J117" s="29">
        <f t="shared" si="71"/>
        <v>0</v>
      </c>
      <c r="K117" s="29">
        <f t="shared" si="71"/>
        <v>0</v>
      </c>
      <c r="L117" s="29">
        <f t="shared" ref="L117" si="72">SUM(L113:L116)</f>
        <v>0</v>
      </c>
      <c r="M117" s="50">
        <f t="shared" si="71"/>
        <v>0</v>
      </c>
    </row>
    <row r="118" spans="1:13" ht="15.75" x14ac:dyDescent="0.25">
      <c r="A118" s="70" t="s">
        <v>193</v>
      </c>
      <c r="B118" s="71"/>
      <c r="C118" s="4" t="s">
        <v>3</v>
      </c>
      <c r="D118" s="29">
        <f>D111+D117</f>
        <v>0</v>
      </c>
      <c r="E118" s="29">
        <f t="shared" ref="E118:M118" si="73">E111+E117</f>
        <v>0</v>
      </c>
      <c r="F118" s="29">
        <f t="shared" si="73"/>
        <v>0</v>
      </c>
      <c r="G118" s="29">
        <f t="shared" si="73"/>
        <v>0</v>
      </c>
      <c r="H118" s="29">
        <f t="shared" si="73"/>
        <v>0</v>
      </c>
      <c r="I118" s="29">
        <f t="shared" si="73"/>
        <v>0</v>
      </c>
      <c r="J118" s="29">
        <f t="shared" si="73"/>
        <v>0</v>
      </c>
      <c r="K118" s="29">
        <f t="shared" si="73"/>
        <v>0</v>
      </c>
      <c r="L118" s="29">
        <f t="shared" ref="L118" si="74">L111+L117</f>
        <v>0</v>
      </c>
      <c r="M118" s="50">
        <f t="shared" si="73"/>
        <v>0</v>
      </c>
    </row>
    <row r="119" spans="1:13" ht="15.75" x14ac:dyDescent="0.25">
      <c r="A119" s="478" t="s">
        <v>194</v>
      </c>
      <c r="B119" s="479"/>
      <c r="C119" s="4" t="s">
        <v>3</v>
      </c>
      <c r="D119" s="29">
        <f>D118+D105</f>
        <v>0</v>
      </c>
      <c r="E119" s="29">
        <f t="shared" ref="E119:M119" si="75">E118+E105</f>
        <v>0</v>
      </c>
      <c r="F119" s="29">
        <f t="shared" si="75"/>
        <v>0</v>
      </c>
      <c r="G119" s="29">
        <f t="shared" si="75"/>
        <v>0</v>
      </c>
      <c r="H119" s="29">
        <f t="shared" si="75"/>
        <v>0</v>
      </c>
      <c r="I119" s="29">
        <f t="shared" si="75"/>
        <v>0</v>
      </c>
      <c r="J119" s="29">
        <f t="shared" si="75"/>
        <v>0</v>
      </c>
      <c r="K119" s="29">
        <f t="shared" si="75"/>
        <v>0</v>
      </c>
      <c r="L119" s="29">
        <f t="shared" ref="L119" si="76">L118+L105</f>
        <v>0</v>
      </c>
      <c r="M119" s="50">
        <f t="shared" si="75"/>
        <v>0</v>
      </c>
    </row>
    <row r="120" spans="1:13" x14ac:dyDescent="0.25">
      <c r="A120" s="442" t="s">
        <v>203</v>
      </c>
      <c r="B120" s="443"/>
      <c r="C120" s="443"/>
      <c r="D120" s="443"/>
      <c r="E120" s="443"/>
      <c r="F120" s="443"/>
      <c r="G120" s="443"/>
      <c r="H120" s="443"/>
      <c r="I120" s="443"/>
      <c r="J120" s="443"/>
      <c r="K120" s="443"/>
      <c r="L120" s="443"/>
      <c r="M120" s="444"/>
    </row>
    <row r="121" spans="1:13" ht="15.75" x14ac:dyDescent="0.25">
      <c r="A121" s="445" t="s">
        <v>95</v>
      </c>
      <c r="B121" s="446"/>
      <c r="C121" s="4" t="s">
        <v>3</v>
      </c>
      <c r="D121" s="22">
        <f>Mulanje!P121</f>
        <v>0</v>
      </c>
      <c r="E121" s="22">
        <f>Luchenza!P121</f>
        <v>0</v>
      </c>
      <c r="F121" s="22">
        <f>Thyolo!P121</f>
        <v>0</v>
      </c>
      <c r="G121" s="22">
        <f>Muloza!P121</f>
        <v>0</v>
      </c>
      <c r="H121" s="22">
        <f>MUST!P121</f>
        <v>0</v>
      </c>
      <c r="I121" s="22">
        <f>Phalombe!P121</f>
        <v>0</v>
      </c>
      <c r="J121" s="22">
        <f>Mikolongwe!P121</f>
        <v>0</v>
      </c>
      <c r="K121" s="22">
        <f>Migowi!P121</f>
        <v>0</v>
      </c>
      <c r="L121" s="22">
        <f>Nkando!Q121</f>
        <v>0</v>
      </c>
      <c r="M121" s="22">
        <f>L121</f>
        <v>0</v>
      </c>
    </row>
    <row r="122" spans="1:13" ht="15.75" x14ac:dyDescent="0.25">
      <c r="A122" s="445" t="s">
        <v>94</v>
      </c>
      <c r="B122" s="446"/>
      <c r="C122" s="4" t="s">
        <v>3</v>
      </c>
      <c r="D122" s="22">
        <f>Mulanje!P122</f>
        <v>0</v>
      </c>
      <c r="E122" s="22">
        <f>Luchenza!P122</f>
        <v>0</v>
      </c>
      <c r="F122" s="22">
        <f>Thyolo!P122</f>
        <v>0</v>
      </c>
      <c r="G122" s="22">
        <f>Muloza!P122</f>
        <v>0</v>
      </c>
      <c r="H122" s="22">
        <f>MUST!P122</f>
        <v>0</v>
      </c>
      <c r="I122" s="22">
        <f>Phalombe!P122</f>
        <v>0</v>
      </c>
      <c r="J122" s="22">
        <f>Mikolongwe!P122</f>
        <v>0</v>
      </c>
      <c r="K122" s="22">
        <f>Migowi!P122</f>
        <v>0</v>
      </c>
      <c r="L122" s="22">
        <f>Nkando!Q122</f>
        <v>0</v>
      </c>
      <c r="M122" s="22">
        <f>L122</f>
        <v>0</v>
      </c>
    </row>
    <row r="123" spans="1:13" ht="15.75" x14ac:dyDescent="0.25">
      <c r="A123" s="480" t="s">
        <v>93</v>
      </c>
      <c r="B123" s="481"/>
      <c r="C123" s="26" t="s">
        <v>6</v>
      </c>
      <c r="D123" s="25" t="e">
        <f t="shared" ref="D123:M123" si="77">D122/D121</f>
        <v>#DIV/0!</v>
      </c>
      <c r="E123" s="25" t="e">
        <f t="shared" si="77"/>
        <v>#DIV/0!</v>
      </c>
      <c r="F123" s="25" t="e">
        <f t="shared" si="77"/>
        <v>#DIV/0!</v>
      </c>
      <c r="G123" s="25" t="e">
        <f t="shared" si="77"/>
        <v>#DIV/0!</v>
      </c>
      <c r="H123" s="25" t="e">
        <f t="shared" si="77"/>
        <v>#DIV/0!</v>
      </c>
      <c r="I123" s="25" t="e">
        <f t="shared" si="77"/>
        <v>#DIV/0!</v>
      </c>
      <c r="J123" s="25" t="e">
        <f t="shared" si="77"/>
        <v>#DIV/0!</v>
      </c>
      <c r="K123" s="25" t="e">
        <f t="shared" si="77"/>
        <v>#DIV/0!</v>
      </c>
      <c r="L123" s="25" t="e">
        <f t="shared" ref="L123" si="78">L122/L121</f>
        <v>#DIV/0!</v>
      </c>
      <c r="M123" s="98" t="e">
        <f t="shared" si="77"/>
        <v>#DIV/0!</v>
      </c>
    </row>
    <row r="124" spans="1:13" x14ac:dyDescent="0.25">
      <c r="A124" s="453" t="s">
        <v>92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5"/>
    </row>
    <row r="125" spans="1:13" ht="15.75" x14ac:dyDescent="0.25">
      <c r="A125" s="475" t="s">
        <v>91</v>
      </c>
      <c r="B125" s="21" t="s">
        <v>85</v>
      </c>
      <c r="C125" s="4" t="s">
        <v>3</v>
      </c>
      <c r="D125" s="22">
        <f>Mulanje!P125</f>
        <v>0</v>
      </c>
      <c r="E125" s="22">
        <f>Luchenza!P125</f>
        <v>0</v>
      </c>
      <c r="F125" s="22">
        <f>Thyolo!P125</f>
        <v>0</v>
      </c>
      <c r="G125" s="22">
        <f>Muloza!P125</f>
        <v>16</v>
      </c>
      <c r="H125" s="22">
        <f>MUST!P125</f>
        <v>0</v>
      </c>
      <c r="I125" s="22">
        <f>Phalombe!P125</f>
        <v>0</v>
      </c>
      <c r="J125" s="22">
        <f>Mikolongwe!P125</f>
        <v>0</v>
      </c>
      <c r="K125" s="22">
        <f>Migowi!P125</f>
        <v>0</v>
      </c>
      <c r="L125" s="22">
        <f>Nkando!P125</f>
        <v>0</v>
      </c>
      <c r="M125" s="31">
        <f>SUM(D125:L125)</f>
        <v>16</v>
      </c>
    </row>
    <row r="126" spans="1:13" ht="15.75" x14ac:dyDescent="0.25">
      <c r="A126" s="476"/>
      <c r="B126" s="21" t="s">
        <v>84</v>
      </c>
      <c r="C126" s="4" t="s">
        <v>3</v>
      </c>
      <c r="D126" s="22">
        <f>Mulanje!P126</f>
        <v>0</v>
      </c>
      <c r="E126" s="22">
        <f>Luchenza!P126</f>
        <v>0</v>
      </c>
      <c r="F126" s="22">
        <f>Thyolo!P126</f>
        <v>0</v>
      </c>
      <c r="G126" s="22">
        <f>Muloza!P126</f>
        <v>15</v>
      </c>
      <c r="H126" s="22">
        <f>MUST!P126</f>
        <v>0</v>
      </c>
      <c r="I126" s="22">
        <f>Phalombe!P126</f>
        <v>0</v>
      </c>
      <c r="J126" s="22">
        <f>Mikolongwe!P126</f>
        <v>0</v>
      </c>
      <c r="K126" s="22">
        <f>Migowi!P126</f>
        <v>0</v>
      </c>
      <c r="L126" s="22">
        <f>Nkando!P126</f>
        <v>0</v>
      </c>
      <c r="M126" s="31">
        <f>SUM(D126:L126)</f>
        <v>15</v>
      </c>
    </row>
    <row r="127" spans="1:13" ht="15.75" x14ac:dyDescent="0.25">
      <c r="A127" s="476"/>
      <c r="B127" s="72" t="s">
        <v>88</v>
      </c>
      <c r="C127" s="4" t="s">
        <v>3</v>
      </c>
      <c r="D127" s="22">
        <f>Mulanje!P127</f>
        <v>0</v>
      </c>
      <c r="E127" s="22">
        <f>Luchenza!P127</f>
        <v>0</v>
      </c>
      <c r="F127" s="22">
        <f>Thyolo!P127</f>
        <v>0</v>
      </c>
      <c r="G127" s="22">
        <f>Muloza!P127</f>
        <v>0</v>
      </c>
      <c r="H127" s="22">
        <f>MUST!P127</f>
        <v>0</v>
      </c>
      <c r="I127" s="22">
        <f>Phalombe!P127</f>
        <v>0</v>
      </c>
      <c r="J127" s="22">
        <f>Mikolongwe!P127</f>
        <v>0</v>
      </c>
      <c r="K127" s="22">
        <f>Migowi!P127</f>
        <v>0</v>
      </c>
      <c r="L127" s="22">
        <f>Nkando!P127</f>
        <v>0</v>
      </c>
      <c r="M127" s="31">
        <f>SUM(D127:L127)</f>
        <v>0</v>
      </c>
    </row>
    <row r="128" spans="1:13" ht="15.75" x14ac:dyDescent="0.25">
      <c r="A128" s="476"/>
      <c r="B128" s="21" t="s">
        <v>82</v>
      </c>
      <c r="C128" s="4" t="s">
        <v>3</v>
      </c>
      <c r="D128" s="22">
        <f>Mulanje!P128</f>
        <v>0</v>
      </c>
      <c r="E128" s="22">
        <f>Luchenza!P128</f>
        <v>0</v>
      </c>
      <c r="F128" s="22">
        <f>Thyolo!P128</f>
        <v>0</v>
      </c>
      <c r="G128" s="22">
        <f>Muloza!P128</f>
        <v>22</v>
      </c>
      <c r="H128" s="22">
        <f>MUST!P128</f>
        <v>0</v>
      </c>
      <c r="I128" s="22">
        <f>Phalombe!P128</f>
        <v>0</v>
      </c>
      <c r="J128" s="22">
        <f>Mikolongwe!P128</f>
        <v>0</v>
      </c>
      <c r="K128" s="22">
        <f>Migowi!P128</f>
        <v>0</v>
      </c>
      <c r="L128" s="22">
        <f>Nkando!P128</f>
        <v>0</v>
      </c>
      <c r="M128" s="31">
        <f>SUM(D128:L128)</f>
        <v>22</v>
      </c>
    </row>
    <row r="129" spans="1:13" ht="15.75" x14ac:dyDescent="0.25">
      <c r="A129" s="477"/>
      <c r="B129" s="21" t="s">
        <v>81</v>
      </c>
      <c r="C129" s="4" t="s">
        <v>3</v>
      </c>
      <c r="D129" s="126">
        <f t="shared" ref="D129:M129" si="79">D125+D126-D127-D128</f>
        <v>0</v>
      </c>
      <c r="E129" s="126">
        <f t="shared" si="79"/>
        <v>0</v>
      </c>
      <c r="F129" s="126">
        <f t="shared" si="79"/>
        <v>0</v>
      </c>
      <c r="G129" s="126">
        <f t="shared" si="79"/>
        <v>9</v>
      </c>
      <c r="H129" s="126">
        <f t="shared" si="79"/>
        <v>0</v>
      </c>
      <c r="I129" s="126">
        <f t="shared" si="79"/>
        <v>0</v>
      </c>
      <c r="J129" s="126">
        <f t="shared" si="79"/>
        <v>0</v>
      </c>
      <c r="K129" s="126">
        <f t="shared" si="79"/>
        <v>0</v>
      </c>
      <c r="L129" s="126">
        <f t="shared" ref="L129" si="80">L125+L126-L127-L128</f>
        <v>0</v>
      </c>
      <c r="M129" s="31">
        <f t="shared" si="79"/>
        <v>9</v>
      </c>
    </row>
    <row r="130" spans="1:13" ht="15.75" x14ac:dyDescent="0.25">
      <c r="A130" s="475" t="s">
        <v>90</v>
      </c>
      <c r="B130" s="24" t="s">
        <v>85</v>
      </c>
      <c r="C130" s="23" t="s">
        <v>3</v>
      </c>
      <c r="D130" s="22">
        <f>Mulanje!P130</f>
        <v>0</v>
      </c>
      <c r="E130" s="22">
        <f>Luchenza!P130</f>
        <v>0</v>
      </c>
      <c r="F130" s="22">
        <f>Thyolo!P130</f>
        <v>0</v>
      </c>
      <c r="G130" s="22">
        <f>Muloza!P130</f>
        <v>0</v>
      </c>
      <c r="H130" s="22">
        <f>MUST!P130</f>
        <v>0</v>
      </c>
      <c r="I130" s="22">
        <f>Phalombe!P130</f>
        <v>0</v>
      </c>
      <c r="J130" s="22">
        <f>Mikolongwe!P130</f>
        <v>0</v>
      </c>
      <c r="K130" s="22">
        <f>Migowi!P130</f>
        <v>0</v>
      </c>
      <c r="L130" s="22">
        <f>Nkando!P130</f>
        <v>0</v>
      </c>
      <c r="M130" s="31">
        <f>SUM(D130:L130)</f>
        <v>0</v>
      </c>
    </row>
    <row r="131" spans="1:13" ht="15.75" x14ac:dyDescent="0.25">
      <c r="A131" s="476"/>
      <c r="B131" s="21" t="s">
        <v>84</v>
      </c>
      <c r="C131" s="4" t="s">
        <v>3</v>
      </c>
      <c r="D131" s="22">
        <f>Mulanje!P131</f>
        <v>0</v>
      </c>
      <c r="E131" s="22">
        <f>Luchenza!P131</f>
        <v>0</v>
      </c>
      <c r="F131" s="22">
        <f>Thyolo!P131</f>
        <v>0</v>
      </c>
      <c r="G131" s="22">
        <f>Muloza!P131</f>
        <v>0</v>
      </c>
      <c r="H131" s="22">
        <f>MUST!P131</f>
        <v>0</v>
      </c>
      <c r="I131" s="22">
        <f>Phalombe!P131</f>
        <v>0</v>
      </c>
      <c r="J131" s="22">
        <f>Mikolongwe!P131</f>
        <v>0</v>
      </c>
      <c r="K131" s="22">
        <f>Migowi!P131</f>
        <v>0</v>
      </c>
      <c r="L131" s="22">
        <f>Nkando!Q131</f>
        <v>0</v>
      </c>
      <c r="M131" s="31">
        <f>SUM(D131:L131)</f>
        <v>0</v>
      </c>
    </row>
    <row r="132" spans="1:13" ht="15.75" x14ac:dyDescent="0.25">
      <c r="A132" s="476"/>
      <c r="B132" s="72" t="s">
        <v>88</v>
      </c>
      <c r="C132" s="4" t="s">
        <v>3</v>
      </c>
      <c r="D132" s="22">
        <f>Mulanje!P132</f>
        <v>0</v>
      </c>
      <c r="E132" s="22">
        <f>Luchenza!P132</f>
        <v>0</v>
      </c>
      <c r="F132" s="22">
        <f>Thyolo!P132</f>
        <v>0</v>
      </c>
      <c r="G132" s="22">
        <f>Muloza!P132</f>
        <v>0</v>
      </c>
      <c r="H132" s="22">
        <f>MUST!P132</f>
        <v>0</v>
      </c>
      <c r="I132" s="22">
        <f>Phalombe!P132</f>
        <v>0</v>
      </c>
      <c r="J132" s="22">
        <f>Mikolongwe!P132</f>
        <v>0</v>
      </c>
      <c r="K132" s="22">
        <f>Migowi!P132</f>
        <v>0</v>
      </c>
      <c r="L132" s="22">
        <f>Nkando!P132</f>
        <v>0</v>
      </c>
      <c r="M132" s="31">
        <f>SUM(D132:L132)</f>
        <v>0</v>
      </c>
    </row>
    <row r="133" spans="1:13" ht="15.75" x14ac:dyDescent="0.25">
      <c r="A133" s="476"/>
      <c r="B133" s="21" t="s">
        <v>82</v>
      </c>
      <c r="C133" s="4" t="s">
        <v>3</v>
      </c>
      <c r="D133" s="22">
        <f>Mulanje!P133</f>
        <v>0</v>
      </c>
      <c r="E133" s="22">
        <f>Luchenza!P133</f>
        <v>0</v>
      </c>
      <c r="F133" s="22">
        <f>Thyolo!P133</f>
        <v>0</v>
      </c>
      <c r="G133" s="22">
        <f>Muloza!P133</f>
        <v>0</v>
      </c>
      <c r="H133" s="22">
        <f>MUST!P133</f>
        <v>0</v>
      </c>
      <c r="I133" s="22">
        <f>Phalombe!P133</f>
        <v>0</v>
      </c>
      <c r="J133" s="22">
        <f>Mikolongwe!P133</f>
        <v>0</v>
      </c>
      <c r="K133" s="22">
        <f>Migowi!P133</f>
        <v>0</v>
      </c>
      <c r="L133" s="22">
        <f>Nkando!Q133</f>
        <v>0</v>
      </c>
      <c r="M133" s="31">
        <f>SUM(D133:L133)</f>
        <v>0</v>
      </c>
    </row>
    <row r="134" spans="1:13" ht="15.75" x14ac:dyDescent="0.25">
      <c r="A134" s="477"/>
      <c r="B134" s="21" t="s">
        <v>81</v>
      </c>
      <c r="C134" s="4" t="s">
        <v>3</v>
      </c>
      <c r="D134" s="126">
        <f t="shared" ref="D134:M134" si="81">D130+D131-D132-D133</f>
        <v>0</v>
      </c>
      <c r="E134" s="126">
        <f t="shared" si="81"/>
        <v>0</v>
      </c>
      <c r="F134" s="126">
        <f t="shared" si="81"/>
        <v>0</v>
      </c>
      <c r="G134" s="126">
        <f t="shared" si="81"/>
        <v>0</v>
      </c>
      <c r="H134" s="126">
        <f t="shared" si="81"/>
        <v>0</v>
      </c>
      <c r="I134" s="126">
        <f t="shared" si="81"/>
        <v>0</v>
      </c>
      <c r="J134" s="126">
        <f t="shared" si="81"/>
        <v>0</v>
      </c>
      <c r="K134" s="126">
        <f t="shared" si="81"/>
        <v>0</v>
      </c>
      <c r="L134" s="140">
        <f>Nkando!P134</f>
        <v>0</v>
      </c>
      <c r="M134" s="31">
        <f t="shared" si="81"/>
        <v>0</v>
      </c>
    </row>
    <row r="135" spans="1:13" ht="15.75" x14ac:dyDescent="0.25">
      <c r="A135" s="475" t="s">
        <v>89</v>
      </c>
      <c r="B135" s="21" t="s">
        <v>85</v>
      </c>
      <c r="C135" s="4" t="s">
        <v>3</v>
      </c>
      <c r="D135" s="22">
        <f>Mulanje!P135</f>
        <v>0</v>
      </c>
      <c r="E135" s="22">
        <f>Luchenza!P135</f>
        <v>0</v>
      </c>
      <c r="F135" s="22">
        <f>Thyolo!P135</f>
        <v>0</v>
      </c>
      <c r="G135" s="22">
        <f>Muloza!P135</f>
        <v>0</v>
      </c>
      <c r="H135" s="22">
        <f>MUST!P135</f>
        <v>0</v>
      </c>
      <c r="I135" s="22">
        <f>Phalombe!P135</f>
        <v>0</v>
      </c>
      <c r="J135" s="22">
        <f>Mikolongwe!P135</f>
        <v>0</v>
      </c>
      <c r="K135" s="22">
        <f>Migowi!P135</f>
        <v>0</v>
      </c>
      <c r="L135" s="22">
        <f>Nkando!P135</f>
        <v>0</v>
      </c>
      <c r="M135" s="31">
        <f>SUM(D135:L135)</f>
        <v>0</v>
      </c>
    </row>
    <row r="136" spans="1:13" ht="15.75" x14ac:dyDescent="0.25">
      <c r="A136" s="476"/>
      <c r="B136" s="21" t="s">
        <v>84</v>
      </c>
      <c r="C136" s="4" t="s">
        <v>3</v>
      </c>
      <c r="D136" s="22">
        <f>Mulanje!P136</f>
        <v>0</v>
      </c>
      <c r="E136" s="22">
        <f>Luchenza!P136</f>
        <v>0</v>
      </c>
      <c r="F136" s="22">
        <f>Thyolo!P136</f>
        <v>0</v>
      </c>
      <c r="G136" s="22">
        <f>Muloza!P136</f>
        <v>0</v>
      </c>
      <c r="H136" s="22">
        <f>MUST!P136</f>
        <v>0</v>
      </c>
      <c r="I136" s="22">
        <f>Phalombe!P136</f>
        <v>0</v>
      </c>
      <c r="J136" s="22">
        <f>Mikolongwe!P136</f>
        <v>0</v>
      </c>
      <c r="K136" s="22">
        <f>Migowi!P136</f>
        <v>0</v>
      </c>
      <c r="L136" s="22">
        <f>Nkando!P136</f>
        <v>0</v>
      </c>
      <c r="M136" s="31">
        <f>SUM(D136:L136)</f>
        <v>0</v>
      </c>
    </row>
    <row r="137" spans="1:13" ht="15.75" x14ac:dyDescent="0.25">
      <c r="A137" s="476"/>
      <c r="B137" s="72" t="s">
        <v>88</v>
      </c>
      <c r="C137" s="4" t="s">
        <v>3</v>
      </c>
      <c r="D137" s="22">
        <f>Mulanje!P137</f>
        <v>0</v>
      </c>
      <c r="E137" s="22">
        <f>Luchenza!P137</f>
        <v>0</v>
      </c>
      <c r="F137" s="22">
        <f>Thyolo!P137</f>
        <v>0</v>
      </c>
      <c r="G137" s="22">
        <f>Muloza!P137</f>
        <v>0</v>
      </c>
      <c r="H137" s="22">
        <f>MUST!P137</f>
        <v>0</v>
      </c>
      <c r="I137" s="22">
        <f>Phalombe!P137</f>
        <v>0</v>
      </c>
      <c r="J137" s="22">
        <f>Mikolongwe!P137</f>
        <v>0</v>
      </c>
      <c r="K137" s="22">
        <f>Migowi!P137</f>
        <v>0</v>
      </c>
      <c r="L137" s="22">
        <f>Nkando!P137</f>
        <v>0</v>
      </c>
      <c r="M137" s="31">
        <f>SUM(D137:L137)</f>
        <v>0</v>
      </c>
    </row>
    <row r="138" spans="1:13" ht="15.75" x14ac:dyDescent="0.25">
      <c r="A138" s="476"/>
      <c r="B138" s="21" t="s">
        <v>82</v>
      </c>
      <c r="C138" s="4" t="s">
        <v>3</v>
      </c>
      <c r="D138" s="22">
        <f>Mulanje!P138</f>
        <v>0</v>
      </c>
      <c r="E138" s="22">
        <f>Luchenza!P138</f>
        <v>0</v>
      </c>
      <c r="F138" s="22">
        <f>Thyolo!P138</f>
        <v>0</v>
      </c>
      <c r="G138" s="22">
        <f>Muloza!P138</f>
        <v>0</v>
      </c>
      <c r="H138" s="22">
        <f>MUST!P138</f>
        <v>0</v>
      </c>
      <c r="I138" s="22">
        <f>Phalombe!P138</f>
        <v>0</v>
      </c>
      <c r="J138" s="22">
        <f>Mikolongwe!P138</f>
        <v>0</v>
      </c>
      <c r="K138" s="22">
        <f>Migowi!P138</f>
        <v>0</v>
      </c>
      <c r="L138" s="22">
        <f>Nkando!P138</f>
        <v>0</v>
      </c>
      <c r="M138" s="31">
        <f>SUM(D138:L138)</f>
        <v>0</v>
      </c>
    </row>
    <row r="139" spans="1:13" ht="15.75" x14ac:dyDescent="0.25">
      <c r="A139" s="477"/>
      <c r="B139" s="21" t="s">
        <v>81</v>
      </c>
      <c r="C139" s="4" t="s">
        <v>3</v>
      </c>
      <c r="D139" s="126">
        <f t="shared" ref="D139:M139" si="82">D135+D136-D137-D138</f>
        <v>0</v>
      </c>
      <c r="E139" s="126">
        <f t="shared" si="82"/>
        <v>0</v>
      </c>
      <c r="F139" s="126">
        <f t="shared" si="82"/>
        <v>0</v>
      </c>
      <c r="G139" s="126">
        <f t="shared" si="82"/>
        <v>0</v>
      </c>
      <c r="H139" s="126">
        <f t="shared" si="82"/>
        <v>0</v>
      </c>
      <c r="I139" s="126">
        <f t="shared" si="82"/>
        <v>0</v>
      </c>
      <c r="J139" s="126">
        <f t="shared" si="82"/>
        <v>0</v>
      </c>
      <c r="K139" s="126">
        <f t="shared" si="82"/>
        <v>0</v>
      </c>
      <c r="L139" s="126">
        <f t="shared" ref="L139" si="83">L135+L136-L137-L138</f>
        <v>0</v>
      </c>
      <c r="M139" s="31">
        <f t="shared" si="82"/>
        <v>0</v>
      </c>
    </row>
    <row r="140" spans="1:13" ht="15.75" x14ac:dyDescent="0.25">
      <c r="A140" s="475" t="s">
        <v>87</v>
      </c>
      <c r="B140" s="21" t="s">
        <v>85</v>
      </c>
      <c r="C140" s="4" t="s">
        <v>3</v>
      </c>
      <c r="D140" s="22">
        <f>Mulanje!P140</f>
        <v>124</v>
      </c>
      <c r="E140" s="22">
        <f>Luchenza!P140</f>
        <v>36</v>
      </c>
      <c r="F140" s="22">
        <f>Thyolo!P140</f>
        <v>14</v>
      </c>
      <c r="G140" s="22">
        <f>Muloza!P140</f>
        <v>16</v>
      </c>
      <c r="H140" s="22">
        <f>MUST!P140</f>
        <v>0</v>
      </c>
      <c r="I140" s="22">
        <f>Phalombe!P140</f>
        <v>15</v>
      </c>
      <c r="J140" s="22">
        <f>Mikolongwe!P140</f>
        <v>0</v>
      </c>
      <c r="K140" s="22">
        <f>Migowi!P140</f>
        <v>0</v>
      </c>
      <c r="L140" s="22">
        <f>Nkando!Q140</f>
        <v>0</v>
      </c>
      <c r="M140" s="31">
        <f>SUM(D140:L140)</f>
        <v>205</v>
      </c>
    </row>
    <row r="141" spans="1:13" ht="15.75" x14ac:dyDescent="0.25">
      <c r="A141" s="476"/>
      <c r="B141" s="21" t="s">
        <v>84</v>
      </c>
      <c r="C141" s="4" t="s">
        <v>3</v>
      </c>
      <c r="D141" s="22">
        <f>Mulanje!P141</f>
        <v>38</v>
      </c>
      <c r="E141" s="22">
        <f>Luchenza!P141</f>
        <v>80</v>
      </c>
      <c r="F141" s="22">
        <f>Thyolo!P141</f>
        <v>36</v>
      </c>
      <c r="G141" s="22">
        <f>Muloza!P141</f>
        <v>6</v>
      </c>
      <c r="H141" s="22">
        <f>MUST!P141</f>
        <v>0</v>
      </c>
      <c r="I141" s="22">
        <f>Phalombe!P141</f>
        <v>17</v>
      </c>
      <c r="J141" s="22">
        <f>Mikolongwe!P141</f>
        <v>0</v>
      </c>
      <c r="K141" s="22">
        <f>Migowi!P141</f>
        <v>0</v>
      </c>
      <c r="L141" s="22">
        <f>Nkando!Q141</f>
        <v>0</v>
      </c>
      <c r="M141" s="31">
        <f>SUM(D141:L141)</f>
        <v>177</v>
      </c>
    </row>
    <row r="142" spans="1:13" ht="15.75" x14ac:dyDescent="0.25">
      <c r="A142" s="476"/>
      <c r="B142" s="21" t="s">
        <v>83</v>
      </c>
      <c r="C142" s="4" t="s">
        <v>3</v>
      </c>
      <c r="D142" s="22">
        <f>Mulanje!P142</f>
        <v>64</v>
      </c>
      <c r="E142" s="22">
        <f>Luchenza!P142</f>
        <v>63</v>
      </c>
      <c r="F142" s="22">
        <f>Thyolo!P142</f>
        <v>37</v>
      </c>
      <c r="G142" s="22">
        <f>Muloza!P142</f>
        <v>0</v>
      </c>
      <c r="H142" s="22">
        <f>MUST!P142</f>
        <v>0</v>
      </c>
      <c r="I142" s="22">
        <f>Phalombe!P142</f>
        <v>3</v>
      </c>
      <c r="J142" s="22">
        <f>Mikolongwe!P142</f>
        <v>0</v>
      </c>
      <c r="K142" s="22">
        <f>Migowi!P142</f>
        <v>0</v>
      </c>
      <c r="L142" s="22">
        <f>Nkando!Q142</f>
        <v>0</v>
      </c>
      <c r="M142" s="31">
        <f>SUM(D142:L142)</f>
        <v>167</v>
      </c>
    </row>
    <row r="143" spans="1:13" ht="15.75" x14ac:dyDescent="0.25">
      <c r="A143" s="476"/>
      <c r="B143" s="21" t="s">
        <v>82</v>
      </c>
      <c r="C143" s="4" t="s">
        <v>3</v>
      </c>
      <c r="D143" s="22">
        <f>Mulanje!P143</f>
        <v>70</v>
      </c>
      <c r="E143" s="22">
        <f>Luchenza!P143</f>
        <v>41</v>
      </c>
      <c r="F143" s="22">
        <f>Thyolo!P143</f>
        <v>0</v>
      </c>
      <c r="G143" s="22">
        <f>Muloza!P143</f>
        <v>22</v>
      </c>
      <c r="H143" s="22">
        <f>MUST!P143</f>
        <v>0</v>
      </c>
      <c r="I143" s="22">
        <f>Phalombe!P143</f>
        <v>3</v>
      </c>
      <c r="J143" s="22">
        <f>Mikolongwe!P143</f>
        <v>0</v>
      </c>
      <c r="K143" s="22">
        <f>Migowi!P143</f>
        <v>0</v>
      </c>
      <c r="L143" s="22">
        <f>Nkando!Q143</f>
        <v>0</v>
      </c>
      <c r="M143" s="31">
        <f>SUM(D143:L143)</f>
        <v>136</v>
      </c>
    </row>
    <row r="144" spans="1:13" ht="15.75" x14ac:dyDescent="0.25">
      <c r="A144" s="477"/>
      <c r="B144" s="21" t="s">
        <v>81</v>
      </c>
      <c r="C144" s="4" t="s">
        <v>3</v>
      </c>
      <c r="D144" s="126">
        <f t="shared" ref="D144:M144" si="84">D140+D141-D142-D143</f>
        <v>28</v>
      </c>
      <c r="E144" s="126">
        <f t="shared" si="84"/>
        <v>12</v>
      </c>
      <c r="F144" s="126">
        <f t="shared" si="84"/>
        <v>13</v>
      </c>
      <c r="G144" s="126">
        <f t="shared" si="84"/>
        <v>0</v>
      </c>
      <c r="H144" s="126">
        <f t="shared" si="84"/>
        <v>0</v>
      </c>
      <c r="I144" s="126">
        <f t="shared" si="84"/>
        <v>26</v>
      </c>
      <c r="J144" s="126">
        <f t="shared" si="84"/>
        <v>0</v>
      </c>
      <c r="K144" s="126">
        <f t="shared" si="84"/>
        <v>0</v>
      </c>
      <c r="L144" s="126">
        <f t="shared" ref="L144" si="85">L140+L141-L142-L143</f>
        <v>0</v>
      </c>
      <c r="M144" s="31">
        <f t="shared" si="84"/>
        <v>79</v>
      </c>
    </row>
    <row r="145" spans="1:13" ht="15.75" x14ac:dyDescent="0.25">
      <c r="A145" s="475" t="s">
        <v>86</v>
      </c>
      <c r="B145" s="21" t="s">
        <v>85</v>
      </c>
      <c r="C145" s="4" t="s">
        <v>3</v>
      </c>
      <c r="D145" s="127">
        <f t="shared" ref="D145:K145" si="86">D125+D130+D135+D140</f>
        <v>124</v>
      </c>
      <c r="E145" s="127">
        <f t="shared" si="86"/>
        <v>36</v>
      </c>
      <c r="F145" s="127">
        <f t="shared" si="86"/>
        <v>14</v>
      </c>
      <c r="G145" s="127">
        <f t="shared" si="86"/>
        <v>32</v>
      </c>
      <c r="H145" s="127">
        <f t="shared" si="86"/>
        <v>0</v>
      </c>
      <c r="I145" s="127">
        <f t="shared" si="86"/>
        <v>15</v>
      </c>
      <c r="J145" s="127">
        <f t="shared" si="86"/>
        <v>0</v>
      </c>
      <c r="K145" s="127">
        <f t="shared" si="86"/>
        <v>0</v>
      </c>
      <c r="L145" s="127">
        <f t="shared" ref="L145" si="87">L125+L130+L135+L140</f>
        <v>0</v>
      </c>
      <c r="M145" s="99">
        <f t="shared" ref="M145:M149" si="88">M125+M130+M135+M140</f>
        <v>221</v>
      </c>
    </row>
    <row r="146" spans="1:13" ht="15.75" x14ac:dyDescent="0.25">
      <c r="A146" s="476"/>
      <c r="B146" s="21" t="s">
        <v>84</v>
      </c>
      <c r="C146" s="4" t="s">
        <v>3</v>
      </c>
      <c r="D146" s="127">
        <f t="shared" ref="D146:K148" si="89">D126+D131+D136+D141</f>
        <v>38</v>
      </c>
      <c r="E146" s="127">
        <f t="shared" si="89"/>
        <v>80</v>
      </c>
      <c r="F146" s="127">
        <f t="shared" si="89"/>
        <v>36</v>
      </c>
      <c r="G146" s="127">
        <f t="shared" si="89"/>
        <v>21</v>
      </c>
      <c r="H146" s="127">
        <f t="shared" si="89"/>
        <v>0</v>
      </c>
      <c r="I146" s="127">
        <f t="shared" si="89"/>
        <v>17</v>
      </c>
      <c r="J146" s="127">
        <f t="shared" si="89"/>
        <v>0</v>
      </c>
      <c r="K146" s="127">
        <f t="shared" si="89"/>
        <v>0</v>
      </c>
      <c r="L146" s="127">
        <f t="shared" ref="L146" si="90">L126+L131+L136+L141</f>
        <v>0</v>
      </c>
      <c r="M146" s="99">
        <f t="shared" si="88"/>
        <v>192</v>
      </c>
    </row>
    <row r="147" spans="1:13" ht="15.75" x14ac:dyDescent="0.25">
      <c r="A147" s="476"/>
      <c r="B147" s="21" t="s">
        <v>83</v>
      </c>
      <c r="C147" s="4" t="s">
        <v>3</v>
      </c>
      <c r="D147" s="127">
        <f t="shared" si="89"/>
        <v>64</v>
      </c>
      <c r="E147" s="127">
        <f t="shared" si="89"/>
        <v>63</v>
      </c>
      <c r="F147" s="127">
        <f t="shared" si="89"/>
        <v>37</v>
      </c>
      <c r="G147" s="127">
        <f t="shared" si="89"/>
        <v>0</v>
      </c>
      <c r="H147" s="127">
        <f t="shared" si="89"/>
        <v>0</v>
      </c>
      <c r="I147" s="127">
        <f t="shared" si="89"/>
        <v>3</v>
      </c>
      <c r="J147" s="127">
        <f t="shared" si="89"/>
        <v>0</v>
      </c>
      <c r="K147" s="127">
        <f t="shared" si="89"/>
        <v>0</v>
      </c>
      <c r="L147" s="127">
        <f t="shared" ref="L147" si="91">L127+L132+L137+L142</f>
        <v>0</v>
      </c>
      <c r="M147" s="99">
        <f t="shared" si="88"/>
        <v>167</v>
      </c>
    </row>
    <row r="148" spans="1:13" ht="15.75" x14ac:dyDescent="0.25">
      <c r="A148" s="476"/>
      <c r="B148" s="21" t="s">
        <v>82</v>
      </c>
      <c r="C148" s="4" t="s">
        <v>3</v>
      </c>
      <c r="D148" s="127">
        <f t="shared" si="89"/>
        <v>70</v>
      </c>
      <c r="E148" s="127">
        <f t="shared" si="89"/>
        <v>41</v>
      </c>
      <c r="F148" s="127">
        <f t="shared" si="89"/>
        <v>0</v>
      </c>
      <c r="G148" s="127">
        <f t="shared" si="89"/>
        <v>44</v>
      </c>
      <c r="H148" s="127">
        <f t="shared" si="89"/>
        <v>0</v>
      </c>
      <c r="I148" s="127">
        <f t="shared" si="89"/>
        <v>3</v>
      </c>
      <c r="J148" s="127">
        <f t="shared" si="89"/>
        <v>0</v>
      </c>
      <c r="K148" s="127">
        <f t="shared" si="89"/>
        <v>0</v>
      </c>
      <c r="L148" s="127">
        <f t="shared" ref="L148" si="92">L128+L133+L138+L143</f>
        <v>0</v>
      </c>
      <c r="M148" s="99">
        <f t="shared" si="88"/>
        <v>158</v>
      </c>
    </row>
    <row r="149" spans="1:13" ht="15.75" x14ac:dyDescent="0.25">
      <c r="A149" s="477"/>
      <c r="B149" s="21" t="s">
        <v>81</v>
      </c>
      <c r="C149" s="4" t="s">
        <v>3</v>
      </c>
      <c r="D149" s="126">
        <f t="shared" ref="D149:K149" si="93">D145+D146-D147-D148</f>
        <v>28</v>
      </c>
      <c r="E149" s="126">
        <f t="shared" si="93"/>
        <v>12</v>
      </c>
      <c r="F149" s="126">
        <f t="shared" si="93"/>
        <v>13</v>
      </c>
      <c r="G149" s="126">
        <f t="shared" si="93"/>
        <v>9</v>
      </c>
      <c r="H149" s="126">
        <f t="shared" si="93"/>
        <v>0</v>
      </c>
      <c r="I149" s="126">
        <f t="shared" si="93"/>
        <v>26</v>
      </c>
      <c r="J149" s="126">
        <f t="shared" si="93"/>
        <v>0</v>
      </c>
      <c r="K149" s="126">
        <f t="shared" si="93"/>
        <v>0</v>
      </c>
      <c r="L149" s="126">
        <f t="shared" ref="L149" si="94">L145+L146-L147-L148</f>
        <v>0</v>
      </c>
      <c r="M149" s="99">
        <f t="shared" si="88"/>
        <v>88</v>
      </c>
    </row>
    <row r="150" spans="1:13" x14ac:dyDescent="0.25">
      <c r="A150" s="442" t="s">
        <v>80</v>
      </c>
      <c r="B150" s="443"/>
      <c r="C150" s="443"/>
      <c r="D150" s="443"/>
      <c r="E150" s="443"/>
      <c r="F150" s="443"/>
      <c r="G150" s="443"/>
      <c r="H150" s="443"/>
      <c r="I150" s="443"/>
      <c r="J150" s="443"/>
      <c r="K150" s="443"/>
      <c r="L150" s="443"/>
      <c r="M150" s="444"/>
    </row>
    <row r="151" spans="1:13" ht="15.6" customHeight="1" x14ac:dyDescent="0.25">
      <c r="A151" s="472" t="s">
        <v>79</v>
      </c>
      <c r="B151" s="473"/>
      <c r="C151" s="473"/>
      <c r="D151" s="473"/>
      <c r="E151" s="473"/>
      <c r="F151" s="473"/>
      <c r="G151" s="473"/>
      <c r="H151" s="473"/>
      <c r="I151" s="473"/>
      <c r="J151" s="473"/>
      <c r="K151" s="473"/>
      <c r="L151" s="473"/>
      <c r="M151" s="474"/>
    </row>
    <row r="152" spans="1:13" ht="15.75" x14ac:dyDescent="0.25">
      <c r="A152" s="46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75" x14ac:dyDescent="0.25">
      <c r="A153" s="463"/>
      <c r="B153" s="17" t="s">
        <v>73</v>
      </c>
      <c r="C153" s="4" t="s">
        <v>57</v>
      </c>
      <c r="D153" s="22">
        <f>Mulanje!P153</f>
        <v>57</v>
      </c>
      <c r="E153" s="22">
        <f>Luchenza!P153</f>
        <v>223</v>
      </c>
      <c r="F153" s="22">
        <f>Thyolo!P153</f>
        <v>106</v>
      </c>
      <c r="G153" s="22">
        <f>Muloza!P153</f>
        <v>29</v>
      </c>
      <c r="H153" s="22">
        <f>MUST!P153</f>
        <v>6</v>
      </c>
      <c r="I153" s="22">
        <f>Phalombe!P153</f>
        <v>15</v>
      </c>
      <c r="J153" s="22">
        <f>Mikolongwe!P153</f>
        <v>8</v>
      </c>
      <c r="K153" s="22">
        <f>Migowi!P153</f>
        <v>1</v>
      </c>
      <c r="L153" s="22">
        <f>Nkando!P153</f>
        <v>6</v>
      </c>
      <c r="M153" s="16">
        <f t="shared" ref="M153:M165" si="95">SUM(D153:L153)</f>
        <v>451</v>
      </c>
    </row>
    <row r="154" spans="1:13" ht="15.75" x14ac:dyDescent="0.25">
      <c r="A154" s="463"/>
      <c r="B154" s="17" t="s">
        <v>72</v>
      </c>
      <c r="C154" s="4" t="s">
        <v>57</v>
      </c>
      <c r="D154" s="22">
        <f>Mulanje!P154</f>
        <v>24</v>
      </c>
      <c r="E154" s="22">
        <f>Luchenza!P154</f>
        <v>131</v>
      </c>
      <c r="F154" s="22">
        <f>Thyolo!P154</f>
        <v>76</v>
      </c>
      <c r="G154" s="22">
        <f>Muloza!P154</f>
        <v>18</v>
      </c>
      <c r="H154" s="22">
        <f>MUST!P154</f>
        <v>7</v>
      </c>
      <c r="I154" s="22">
        <f>Phalombe!P154</f>
        <v>10</v>
      </c>
      <c r="J154" s="22">
        <f>Mikolongwe!P154</f>
        <v>2</v>
      </c>
      <c r="K154" s="22">
        <f>Migowi!P154</f>
        <v>0</v>
      </c>
      <c r="L154" s="22">
        <f>Nkando!P154</f>
        <v>3</v>
      </c>
      <c r="M154" s="16">
        <f t="shared" si="95"/>
        <v>271</v>
      </c>
    </row>
    <row r="155" spans="1:13" ht="15.75" x14ac:dyDescent="0.25">
      <c r="A155" s="463"/>
      <c r="B155" s="17" t="s">
        <v>53</v>
      </c>
      <c r="C155" s="4" t="s">
        <v>57</v>
      </c>
      <c r="D155" s="22">
        <f>Mulanje!P155</f>
        <v>20</v>
      </c>
      <c r="E155" s="22">
        <f>Luchenza!P155</f>
        <v>43</v>
      </c>
      <c r="F155" s="22">
        <f>Thyolo!P155</f>
        <v>53</v>
      </c>
      <c r="G155" s="22">
        <f>Muloza!P155</f>
        <v>1</v>
      </c>
      <c r="H155" s="22">
        <f>MUST!P155</f>
        <v>8</v>
      </c>
      <c r="I155" s="22">
        <f>Phalombe!P155</f>
        <v>12</v>
      </c>
      <c r="J155" s="22">
        <f>Mikolongwe!P155</f>
        <v>0</v>
      </c>
      <c r="K155" s="22">
        <f>Migowi!P155</f>
        <v>0</v>
      </c>
      <c r="L155" s="22">
        <f>Nkando!P155</f>
        <v>0</v>
      </c>
      <c r="M155" s="16">
        <f t="shared" si="95"/>
        <v>137</v>
      </c>
    </row>
    <row r="156" spans="1:13" ht="15.75" x14ac:dyDescent="0.25">
      <c r="A156" s="463"/>
      <c r="B156" s="17" t="s">
        <v>71</v>
      </c>
      <c r="C156" s="4" t="s">
        <v>57</v>
      </c>
      <c r="D156" s="22">
        <f>Mulanje!P156</f>
        <v>5</v>
      </c>
      <c r="E156" s="22">
        <f>Luchenza!P156</f>
        <v>7</v>
      </c>
      <c r="F156" s="22">
        <f>Thyolo!P156</f>
        <v>5</v>
      </c>
      <c r="G156" s="22">
        <f>Muloza!P156</f>
        <v>0</v>
      </c>
      <c r="H156" s="22">
        <f>MUST!P156</f>
        <v>0</v>
      </c>
      <c r="I156" s="22">
        <f>Phalombe!P156</f>
        <v>5</v>
      </c>
      <c r="J156" s="22">
        <f>Mikolongwe!P156</f>
        <v>0</v>
      </c>
      <c r="K156" s="22">
        <f>Migowi!P156</f>
        <v>0</v>
      </c>
      <c r="L156" s="22">
        <f>Nkando!Q156</f>
        <v>0</v>
      </c>
      <c r="M156" s="16">
        <f t="shared" si="95"/>
        <v>22</v>
      </c>
    </row>
    <row r="157" spans="1:13" ht="15.75" x14ac:dyDescent="0.25">
      <c r="A157" s="463"/>
      <c r="B157" s="17" t="s">
        <v>52</v>
      </c>
      <c r="C157" s="4" t="s">
        <v>57</v>
      </c>
      <c r="D157" s="22">
        <f>Mulanje!P157</f>
        <v>0</v>
      </c>
      <c r="E157" s="22">
        <f>Luchenza!P157</f>
        <v>21</v>
      </c>
      <c r="F157" s="22">
        <f>Thyolo!P157</f>
        <v>20</v>
      </c>
      <c r="G157" s="22">
        <f>Muloza!P157</f>
        <v>1</v>
      </c>
      <c r="H157" s="22">
        <f>MUST!P157</f>
        <v>0</v>
      </c>
      <c r="I157" s="22">
        <f>Phalombe!P157</f>
        <v>9</v>
      </c>
      <c r="J157" s="22">
        <f>Mikolongwe!P157</f>
        <v>2</v>
      </c>
      <c r="K157" s="22">
        <f>Migowi!P157</f>
        <v>0</v>
      </c>
      <c r="L157" s="22">
        <f>Nkando!Q157</f>
        <v>0</v>
      </c>
      <c r="M157" s="16">
        <f t="shared" si="95"/>
        <v>53</v>
      </c>
    </row>
    <row r="158" spans="1:13" ht="15.75" x14ac:dyDescent="0.25">
      <c r="A158" s="463"/>
      <c r="B158" s="17" t="s">
        <v>51</v>
      </c>
      <c r="C158" s="4" t="s">
        <v>57</v>
      </c>
      <c r="D158" s="22">
        <f>Mulanje!P158</f>
        <v>1</v>
      </c>
      <c r="E158" s="22">
        <f>Luchenza!P158</f>
        <v>16</v>
      </c>
      <c r="F158" s="22">
        <f>Thyolo!P158</f>
        <v>4</v>
      </c>
      <c r="G158" s="22">
        <f>Muloza!P158</f>
        <v>1</v>
      </c>
      <c r="H158" s="22">
        <f>MUST!P158</f>
        <v>0</v>
      </c>
      <c r="I158" s="22">
        <f>Phalombe!P158</f>
        <v>9</v>
      </c>
      <c r="J158" s="22">
        <f>Mikolongwe!P158</f>
        <v>3</v>
      </c>
      <c r="K158" s="22">
        <f>Migowi!P158</f>
        <v>0</v>
      </c>
      <c r="L158" s="22">
        <f>Nkando!Q158</f>
        <v>0</v>
      </c>
      <c r="M158" s="16">
        <f t="shared" si="95"/>
        <v>34</v>
      </c>
    </row>
    <row r="159" spans="1:13" ht="15.75" x14ac:dyDescent="0.25">
      <c r="A159" s="463"/>
      <c r="B159" s="17" t="s">
        <v>62</v>
      </c>
      <c r="C159" s="4" t="s">
        <v>57</v>
      </c>
      <c r="D159" s="22">
        <f>Mulanje!P159</f>
        <v>2</v>
      </c>
      <c r="E159" s="22">
        <f>Luchenza!P159</f>
        <v>0</v>
      </c>
      <c r="F159" s="22">
        <f>Thyolo!P159</f>
        <v>0</v>
      </c>
      <c r="G159" s="22">
        <f>Muloza!P159</f>
        <v>1</v>
      </c>
      <c r="H159" s="22">
        <f>MUST!P159</f>
        <v>0</v>
      </c>
      <c r="I159" s="22">
        <f>Phalombe!P159</f>
        <v>3</v>
      </c>
      <c r="J159" s="22">
        <f>Mikolongwe!P159</f>
        <v>0</v>
      </c>
      <c r="K159" s="22">
        <f>Migowi!P159</f>
        <v>0</v>
      </c>
      <c r="L159" s="22">
        <f>Nkando!Q159</f>
        <v>0</v>
      </c>
      <c r="M159" s="16">
        <f t="shared" si="95"/>
        <v>6</v>
      </c>
    </row>
    <row r="160" spans="1:13" ht="15.75" x14ac:dyDescent="0.25">
      <c r="A160" s="463"/>
      <c r="B160" s="17" t="s">
        <v>50</v>
      </c>
      <c r="C160" s="4" t="s">
        <v>57</v>
      </c>
      <c r="D160" s="22">
        <f>Mulanje!P160</f>
        <v>2</v>
      </c>
      <c r="E160" s="22">
        <f>Luchenza!P160</f>
        <v>7</v>
      </c>
      <c r="F160" s="22">
        <f>Thyolo!P160</f>
        <v>5</v>
      </c>
      <c r="G160" s="22">
        <f>Muloza!P160</f>
        <v>0</v>
      </c>
      <c r="H160" s="22">
        <f>MUST!P160</f>
        <v>0</v>
      </c>
      <c r="I160" s="22">
        <f>Phalombe!P160</f>
        <v>4</v>
      </c>
      <c r="J160" s="22">
        <f>Mikolongwe!P160</f>
        <v>0</v>
      </c>
      <c r="K160" s="22">
        <f>Migowi!P160</f>
        <v>0</v>
      </c>
      <c r="L160" s="22">
        <f>Nkando!Q160</f>
        <v>0</v>
      </c>
      <c r="M160" s="16">
        <f t="shared" si="95"/>
        <v>18</v>
      </c>
    </row>
    <row r="161" spans="1:13" ht="15.75" x14ac:dyDescent="0.25">
      <c r="A161" s="463"/>
      <c r="B161" s="17" t="s">
        <v>49</v>
      </c>
      <c r="C161" s="4" t="s">
        <v>57</v>
      </c>
      <c r="D161" s="22">
        <f>Mulanje!P161</f>
        <v>1</v>
      </c>
      <c r="E161" s="22">
        <f>Luchenza!P161</f>
        <v>3</v>
      </c>
      <c r="F161" s="22">
        <f>Thyolo!P161</f>
        <v>7</v>
      </c>
      <c r="G161" s="22">
        <f>Muloza!P161</f>
        <v>2</v>
      </c>
      <c r="H161" s="22">
        <f>MUST!P161</f>
        <v>0</v>
      </c>
      <c r="I161" s="22">
        <f>Phalombe!P161</f>
        <v>3</v>
      </c>
      <c r="J161" s="22">
        <f>Mikolongwe!P161</f>
        <v>0</v>
      </c>
      <c r="K161" s="22">
        <f>Migowi!P161</f>
        <v>0</v>
      </c>
      <c r="L161" s="22">
        <f>Nkando!Q161</f>
        <v>0</v>
      </c>
      <c r="M161" s="16">
        <f t="shared" si="95"/>
        <v>16</v>
      </c>
    </row>
    <row r="162" spans="1:13" ht="15.75" x14ac:dyDescent="0.25">
      <c r="A162" s="463"/>
      <c r="B162" s="17" t="s">
        <v>77</v>
      </c>
      <c r="C162" s="4" t="s">
        <v>57</v>
      </c>
      <c r="D162" s="22">
        <f>Mulanje!P162</f>
        <v>1</v>
      </c>
      <c r="E162" s="22">
        <f>Luchenza!P162</f>
        <v>1</v>
      </c>
      <c r="F162" s="22">
        <f>Thyolo!P162</f>
        <v>6</v>
      </c>
      <c r="G162" s="22">
        <f>Muloza!P162</f>
        <v>2</v>
      </c>
      <c r="H162" s="22">
        <f>MUST!P162</f>
        <v>1</v>
      </c>
      <c r="I162" s="22">
        <f>Phalombe!P162</f>
        <v>0</v>
      </c>
      <c r="J162" s="22">
        <f>Mikolongwe!P162</f>
        <v>0</v>
      </c>
      <c r="K162" s="22">
        <f>Migowi!P162</f>
        <v>0</v>
      </c>
      <c r="L162" s="22">
        <f>Nkando!Q162</f>
        <v>0</v>
      </c>
      <c r="M162" s="16">
        <f t="shared" si="95"/>
        <v>11</v>
      </c>
    </row>
    <row r="163" spans="1:13" ht="15.75" x14ac:dyDescent="0.25">
      <c r="A163" s="463"/>
      <c r="B163" s="17" t="s">
        <v>69</v>
      </c>
      <c r="C163" s="4" t="s">
        <v>57</v>
      </c>
      <c r="D163" s="22">
        <f>Mulanje!P163</f>
        <v>3</v>
      </c>
      <c r="E163" s="22">
        <f>Luchenza!P163</f>
        <v>3</v>
      </c>
      <c r="F163" s="22">
        <f>Thyolo!P163</f>
        <v>0</v>
      </c>
      <c r="G163" s="22">
        <f>Muloza!P163</f>
        <v>0</v>
      </c>
      <c r="H163" s="22">
        <f>MUST!P163</f>
        <v>0</v>
      </c>
      <c r="I163" s="22">
        <f>Phalombe!P163</f>
        <v>0</v>
      </c>
      <c r="J163" s="22">
        <f>Mikolongwe!P163</f>
        <v>0</v>
      </c>
      <c r="K163" s="22">
        <f>Migowi!P163</f>
        <v>0</v>
      </c>
      <c r="L163" s="22">
        <f>Nkando!Q163</f>
        <v>0</v>
      </c>
      <c r="M163" s="16">
        <f t="shared" si="95"/>
        <v>6</v>
      </c>
    </row>
    <row r="164" spans="1:13" ht="15.75" x14ac:dyDescent="0.25">
      <c r="A164" s="463"/>
      <c r="B164" s="17" t="s">
        <v>68</v>
      </c>
      <c r="C164" s="4" t="s">
        <v>57</v>
      </c>
      <c r="D164" s="22">
        <f>Mulanje!P164</f>
        <v>0</v>
      </c>
      <c r="E164" s="22">
        <f>Luchenza!P164</f>
        <v>0</v>
      </c>
      <c r="F164" s="22">
        <f>Thyolo!P164</f>
        <v>0</v>
      </c>
      <c r="G164" s="22">
        <f>Muloza!P164</f>
        <v>0</v>
      </c>
      <c r="H164" s="22">
        <f>MUST!P164</f>
        <v>0</v>
      </c>
      <c r="I164" s="22">
        <f>Phalombe!P164</f>
        <v>0</v>
      </c>
      <c r="J164" s="22">
        <f>Mikolongwe!P164</f>
        <v>0</v>
      </c>
      <c r="K164" s="22">
        <f>Migowi!P164</f>
        <v>0</v>
      </c>
      <c r="L164" s="22">
        <f>Nkando!Q164</f>
        <v>0</v>
      </c>
      <c r="M164" s="16">
        <f t="shared" si="95"/>
        <v>0</v>
      </c>
    </row>
    <row r="165" spans="1:13" ht="15.75" x14ac:dyDescent="0.25">
      <c r="A165" s="464"/>
      <c r="B165" s="17" t="s">
        <v>76</v>
      </c>
      <c r="C165" s="4" t="s">
        <v>57</v>
      </c>
      <c r="D165" s="22">
        <f>Mulanje!P165</f>
        <v>0</v>
      </c>
      <c r="E165" s="22">
        <f>Luchenza!P165</f>
        <v>0</v>
      </c>
      <c r="F165" s="22">
        <f>Thyolo!P165</f>
        <v>0</v>
      </c>
      <c r="G165" s="22">
        <f>Muloza!P165</f>
        <v>0</v>
      </c>
      <c r="H165" s="22">
        <f>MUST!P165</f>
        <v>0</v>
      </c>
      <c r="I165" s="22">
        <f>Phalombe!P165</f>
        <v>0</v>
      </c>
      <c r="J165" s="22">
        <f>Mikolongwe!P165</f>
        <v>0</v>
      </c>
      <c r="K165" s="22">
        <f>Migowi!P165</f>
        <v>0</v>
      </c>
      <c r="L165" s="22">
        <f>Nkando!Q165</f>
        <v>0</v>
      </c>
      <c r="M165" s="16">
        <f t="shared" si="95"/>
        <v>0</v>
      </c>
    </row>
    <row r="166" spans="1:13" ht="15.75" x14ac:dyDescent="0.25">
      <c r="A166" s="46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75" x14ac:dyDescent="0.25">
      <c r="A167" s="463"/>
      <c r="B167" s="17" t="s">
        <v>74</v>
      </c>
      <c r="C167" s="4" t="s">
        <v>57</v>
      </c>
      <c r="D167" s="22">
        <f>Mulanje!P167</f>
        <v>0</v>
      </c>
      <c r="E167" s="22">
        <f>Luchenza!P167</f>
        <v>0</v>
      </c>
      <c r="F167" s="22">
        <f>Thyolo!P167</f>
        <v>27</v>
      </c>
      <c r="G167" s="22">
        <f>Muloza!P167</f>
        <v>0</v>
      </c>
      <c r="H167" s="22">
        <f>MUST!P167</f>
        <v>0</v>
      </c>
      <c r="I167" s="22">
        <f>Phalombe!P167</f>
        <v>0</v>
      </c>
      <c r="J167" s="22">
        <f>Mikolongwe!P167</f>
        <v>0</v>
      </c>
      <c r="K167" s="22">
        <f>Migowi!P167</f>
        <v>0</v>
      </c>
      <c r="L167" s="22">
        <f>Nkando!P167</f>
        <v>0</v>
      </c>
      <c r="M167" s="16">
        <f t="shared" ref="M167:M175" si="96">SUM(D167:L167)</f>
        <v>27</v>
      </c>
    </row>
    <row r="168" spans="1:13" ht="15.75" x14ac:dyDescent="0.25">
      <c r="A168" s="463"/>
      <c r="B168" s="17" t="s">
        <v>73</v>
      </c>
      <c r="C168" s="4" t="s">
        <v>57</v>
      </c>
      <c r="D168" s="22">
        <f>Mulanje!P168</f>
        <v>0</v>
      </c>
      <c r="E168" s="22">
        <f>Luchenza!P168</f>
        <v>0</v>
      </c>
      <c r="F168" s="22">
        <f>Thyolo!P168</f>
        <v>0</v>
      </c>
      <c r="G168" s="22">
        <f>Muloza!P168</f>
        <v>0</v>
      </c>
      <c r="H168" s="22">
        <f>MUST!P168</f>
        <v>0</v>
      </c>
      <c r="I168" s="22">
        <f>Phalombe!P168</f>
        <v>0</v>
      </c>
      <c r="J168" s="22">
        <f>Mikolongwe!P168</f>
        <v>0</v>
      </c>
      <c r="K168" s="22">
        <f>Migowi!P168</f>
        <v>0</v>
      </c>
      <c r="L168" s="22">
        <f>Nkando!P168</f>
        <v>0</v>
      </c>
      <c r="M168" s="16">
        <f t="shared" si="96"/>
        <v>0</v>
      </c>
    </row>
    <row r="169" spans="1:13" ht="15.75" x14ac:dyDescent="0.25">
      <c r="A169" s="463"/>
      <c r="B169" s="17" t="s">
        <v>72</v>
      </c>
      <c r="C169" s="4" t="s">
        <v>57</v>
      </c>
      <c r="D169" s="22">
        <f>Mulanje!P169</f>
        <v>0</v>
      </c>
      <c r="E169" s="22">
        <f>Luchenza!P169</f>
        <v>0</v>
      </c>
      <c r="F169" s="22">
        <f>Thyolo!P169</f>
        <v>0</v>
      </c>
      <c r="G169" s="22">
        <f>Muloza!P169</f>
        <v>0</v>
      </c>
      <c r="H169" s="22">
        <f>MUST!P169</f>
        <v>0</v>
      </c>
      <c r="I169" s="22">
        <f>Phalombe!P169</f>
        <v>0</v>
      </c>
      <c r="J169" s="22">
        <f>Mikolongwe!P169</f>
        <v>0</v>
      </c>
      <c r="K169" s="22">
        <f>Migowi!P169</f>
        <v>0</v>
      </c>
      <c r="L169" s="22">
        <f>Nkando!Q169</f>
        <v>0</v>
      </c>
      <c r="M169" s="16">
        <f t="shared" si="96"/>
        <v>0</v>
      </c>
    </row>
    <row r="170" spans="1:13" ht="15.75" x14ac:dyDescent="0.25">
      <c r="A170" s="463"/>
      <c r="B170" s="17" t="s">
        <v>71</v>
      </c>
      <c r="C170" s="4" t="s">
        <v>57</v>
      </c>
      <c r="D170" s="22">
        <f>Mulanje!P170</f>
        <v>0</v>
      </c>
      <c r="E170" s="22">
        <f>Luchenza!P170</f>
        <v>0</v>
      </c>
      <c r="F170" s="22">
        <f>Thyolo!P170</f>
        <v>1</v>
      </c>
      <c r="G170" s="22">
        <f>Muloza!P170</f>
        <v>0</v>
      </c>
      <c r="H170" s="22">
        <f>MUST!P170</f>
        <v>0</v>
      </c>
      <c r="I170" s="22">
        <f>Phalombe!P170</f>
        <v>0</v>
      </c>
      <c r="J170" s="22">
        <f>Mikolongwe!P170</f>
        <v>0</v>
      </c>
      <c r="K170" s="22">
        <f>Migowi!P170</f>
        <v>0</v>
      </c>
      <c r="L170" s="22">
        <f>Nkando!Q170</f>
        <v>0</v>
      </c>
      <c r="M170" s="16">
        <f t="shared" si="96"/>
        <v>1</v>
      </c>
    </row>
    <row r="171" spans="1:13" ht="15.75" x14ac:dyDescent="0.25">
      <c r="A171" s="463"/>
      <c r="B171" s="17" t="s">
        <v>52</v>
      </c>
      <c r="C171" s="4" t="s">
        <v>57</v>
      </c>
      <c r="D171" s="22">
        <f>Mulanje!P171</f>
        <v>0</v>
      </c>
      <c r="E171" s="22">
        <f>Luchenza!P171</f>
        <v>0</v>
      </c>
      <c r="F171" s="22">
        <f>Thyolo!P171</f>
        <v>0</v>
      </c>
      <c r="G171" s="22">
        <f>Muloza!P171</f>
        <v>0</v>
      </c>
      <c r="H171" s="22">
        <f>MUST!P171</f>
        <v>0</v>
      </c>
      <c r="I171" s="22">
        <f>Phalombe!P171</f>
        <v>0</v>
      </c>
      <c r="J171" s="22">
        <f>Mikolongwe!P171</f>
        <v>0</v>
      </c>
      <c r="K171" s="22">
        <f>Migowi!P171</f>
        <v>0</v>
      </c>
      <c r="L171" s="22">
        <f>Nkando!Q171</f>
        <v>0</v>
      </c>
      <c r="M171" s="16">
        <f t="shared" si="96"/>
        <v>0</v>
      </c>
    </row>
    <row r="172" spans="1:13" ht="15.75" x14ac:dyDescent="0.25">
      <c r="A172" s="463"/>
      <c r="B172" s="17" t="s">
        <v>62</v>
      </c>
      <c r="C172" s="4" t="s">
        <v>57</v>
      </c>
      <c r="D172" s="22">
        <f>Mulanje!P172</f>
        <v>0</v>
      </c>
      <c r="E172" s="22">
        <f>Luchenza!P172</f>
        <v>0</v>
      </c>
      <c r="F172" s="22">
        <f>Thyolo!P172</f>
        <v>0</v>
      </c>
      <c r="G172" s="22">
        <f>Muloza!P172</f>
        <v>0</v>
      </c>
      <c r="H172" s="22">
        <f>MUST!P172</f>
        <v>0</v>
      </c>
      <c r="I172" s="22">
        <f>Phalombe!P172</f>
        <v>0</v>
      </c>
      <c r="J172" s="22">
        <f>Mikolongwe!P172</f>
        <v>0</v>
      </c>
      <c r="K172" s="22">
        <f>Migowi!P172</f>
        <v>0</v>
      </c>
      <c r="L172" s="22">
        <f>Nkando!Q172</f>
        <v>0</v>
      </c>
      <c r="M172" s="16">
        <f t="shared" si="96"/>
        <v>0</v>
      </c>
    </row>
    <row r="173" spans="1:13" ht="15.75" x14ac:dyDescent="0.25">
      <c r="A173" s="463"/>
      <c r="B173" s="17" t="s">
        <v>61</v>
      </c>
      <c r="C173" s="4" t="s">
        <v>57</v>
      </c>
      <c r="D173" s="22">
        <f>Mulanje!P173</f>
        <v>0</v>
      </c>
      <c r="E173" s="22">
        <f>Luchenza!P173</f>
        <v>0</v>
      </c>
      <c r="F173" s="22">
        <f>Thyolo!P173</f>
        <v>0</v>
      </c>
      <c r="G173" s="22">
        <f>Muloza!P173</f>
        <v>0</v>
      </c>
      <c r="H173" s="22">
        <f>MUST!P173</f>
        <v>0</v>
      </c>
      <c r="I173" s="22">
        <f>Phalombe!P173</f>
        <v>0</v>
      </c>
      <c r="J173" s="22">
        <f>Mikolongwe!P173</f>
        <v>0</v>
      </c>
      <c r="K173" s="22">
        <f>Migowi!P173</f>
        <v>0</v>
      </c>
      <c r="L173" s="22">
        <f>Nkando!Q173</f>
        <v>0</v>
      </c>
      <c r="M173" s="16">
        <f t="shared" si="96"/>
        <v>0</v>
      </c>
    </row>
    <row r="174" spans="1:13" ht="15.75" x14ac:dyDescent="0.25">
      <c r="A174" s="463"/>
      <c r="B174" s="17" t="s">
        <v>60</v>
      </c>
      <c r="C174" s="4" t="s">
        <v>57</v>
      </c>
      <c r="D174" s="22">
        <f>Mulanje!P174</f>
        <v>0</v>
      </c>
      <c r="E174" s="22">
        <f>Luchenza!P174</f>
        <v>0</v>
      </c>
      <c r="F174" s="22">
        <f>Thyolo!P174</f>
        <v>0</v>
      </c>
      <c r="G174" s="22">
        <f>Muloza!P174</f>
        <v>0</v>
      </c>
      <c r="H174" s="22">
        <f>MUST!P174</f>
        <v>0</v>
      </c>
      <c r="I174" s="22">
        <f>Phalombe!P174</f>
        <v>0</v>
      </c>
      <c r="J174" s="22">
        <f>Mikolongwe!P174</f>
        <v>0</v>
      </c>
      <c r="K174" s="22">
        <f>Migowi!P174</f>
        <v>0</v>
      </c>
      <c r="L174" s="22">
        <f>Nkando!Q174</f>
        <v>0</v>
      </c>
      <c r="M174" s="16">
        <f t="shared" si="96"/>
        <v>0</v>
      </c>
    </row>
    <row r="175" spans="1:13" ht="15.75" x14ac:dyDescent="0.25">
      <c r="A175" s="464"/>
      <c r="B175" s="17" t="s">
        <v>69</v>
      </c>
      <c r="C175" s="4" t="s">
        <v>57</v>
      </c>
      <c r="D175" s="22">
        <f>Mulanje!P175</f>
        <v>0</v>
      </c>
      <c r="E175" s="22">
        <f>Luchenza!P175</f>
        <v>0</v>
      </c>
      <c r="F175" s="22">
        <f>Thyolo!P175</f>
        <v>0</v>
      </c>
      <c r="G175" s="22">
        <f>Muloza!P175</f>
        <v>0</v>
      </c>
      <c r="H175" s="22">
        <f>MUST!P175</f>
        <v>0</v>
      </c>
      <c r="I175" s="22">
        <f>Phalombe!P175</f>
        <v>0</v>
      </c>
      <c r="J175" s="22">
        <f>Mikolongwe!P175</f>
        <v>0</v>
      </c>
      <c r="K175" s="22">
        <f>Migowi!P175</f>
        <v>0</v>
      </c>
      <c r="L175" s="22">
        <f>Nkando!Q175</f>
        <v>0</v>
      </c>
      <c r="M175" s="16">
        <f t="shared" si="96"/>
        <v>0</v>
      </c>
    </row>
    <row r="176" spans="1:13" ht="15.75" x14ac:dyDescent="0.25">
      <c r="A176" s="46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75" x14ac:dyDescent="0.25">
      <c r="A177" s="463"/>
      <c r="B177" s="17" t="s">
        <v>60</v>
      </c>
      <c r="C177" s="4" t="s">
        <v>57</v>
      </c>
      <c r="D177" s="22">
        <f>Mulanje!P177</f>
        <v>0</v>
      </c>
      <c r="E177" s="22">
        <f>Luchenza!P177</f>
        <v>0</v>
      </c>
      <c r="F177" s="22">
        <f>Thyolo!P177</f>
        <v>0</v>
      </c>
      <c r="G177" s="22">
        <f>Muloza!P177</f>
        <v>0</v>
      </c>
      <c r="H177" s="22">
        <f>MUST!P177</f>
        <v>0</v>
      </c>
      <c r="I177" s="22">
        <f>Phalombe!P177</f>
        <v>0</v>
      </c>
      <c r="J177" s="22">
        <f>Mikolongwe!P177</f>
        <v>0</v>
      </c>
      <c r="K177" s="22">
        <f>Migowi!P177</f>
        <v>0</v>
      </c>
      <c r="L177" s="22">
        <f>Nkando!Q177</f>
        <v>0</v>
      </c>
      <c r="M177" s="16">
        <f t="shared" ref="M177:M182" si="97">SUM(D177:L177)</f>
        <v>0</v>
      </c>
    </row>
    <row r="178" spans="1:13" ht="15.75" x14ac:dyDescent="0.25">
      <c r="A178" s="463"/>
      <c r="B178" s="17" t="s">
        <v>69</v>
      </c>
      <c r="C178" s="4" t="s">
        <v>57</v>
      </c>
      <c r="D178" s="22">
        <f>Mulanje!P178</f>
        <v>0</v>
      </c>
      <c r="E178" s="22">
        <f>Luchenza!P178</f>
        <v>0</v>
      </c>
      <c r="F178" s="22">
        <f>Thyolo!P178</f>
        <v>0</v>
      </c>
      <c r="G178" s="22">
        <f>Muloza!P178</f>
        <v>0</v>
      </c>
      <c r="H178" s="22">
        <f>MUST!P178</f>
        <v>0</v>
      </c>
      <c r="I178" s="22">
        <f>Phalombe!P178</f>
        <v>0</v>
      </c>
      <c r="J178" s="22">
        <f>Mikolongwe!P178</f>
        <v>0</v>
      </c>
      <c r="K178" s="22">
        <f>Migowi!P178</f>
        <v>0</v>
      </c>
      <c r="L178" s="22">
        <f>Nkando!Q178</f>
        <v>0</v>
      </c>
      <c r="M178" s="16">
        <f t="shared" si="97"/>
        <v>0</v>
      </c>
    </row>
    <row r="179" spans="1:13" ht="15.75" x14ac:dyDescent="0.25">
      <c r="A179" s="463"/>
      <c r="B179" s="17" t="s">
        <v>68</v>
      </c>
      <c r="C179" s="4" t="s">
        <v>57</v>
      </c>
      <c r="D179" s="22">
        <f>Mulanje!P179</f>
        <v>0</v>
      </c>
      <c r="E179" s="22">
        <f>Luchenza!P179</f>
        <v>0</v>
      </c>
      <c r="F179" s="22">
        <f>Thyolo!P179</f>
        <v>0</v>
      </c>
      <c r="G179" s="22">
        <f>Muloza!P179</f>
        <v>0</v>
      </c>
      <c r="H179" s="22">
        <f>MUST!P179</f>
        <v>0</v>
      </c>
      <c r="I179" s="22">
        <f>Phalombe!P179</f>
        <v>0</v>
      </c>
      <c r="J179" s="22">
        <f>Mikolongwe!P179</f>
        <v>0</v>
      </c>
      <c r="K179" s="22">
        <f>Migowi!P179</f>
        <v>0</v>
      </c>
      <c r="L179" s="22">
        <f>Nkando!Q179</f>
        <v>0</v>
      </c>
      <c r="M179" s="16">
        <f t="shared" si="97"/>
        <v>0</v>
      </c>
    </row>
    <row r="180" spans="1:13" ht="15.75" x14ac:dyDescent="0.25">
      <c r="A180" s="463"/>
      <c r="B180" s="17" t="s">
        <v>67</v>
      </c>
      <c r="C180" s="4" t="s">
        <v>57</v>
      </c>
      <c r="D180" s="22">
        <f>Mulanje!P180</f>
        <v>0</v>
      </c>
      <c r="E180" s="22">
        <f>Luchenza!P180</f>
        <v>0</v>
      </c>
      <c r="F180" s="22">
        <f>Thyolo!P180</f>
        <v>0</v>
      </c>
      <c r="G180" s="22">
        <f>Muloza!P180</f>
        <v>0</v>
      </c>
      <c r="H180" s="22">
        <f>MUST!P180</f>
        <v>0</v>
      </c>
      <c r="I180" s="22">
        <f>Phalombe!P180</f>
        <v>0</v>
      </c>
      <c r="J180" s="22">
        <f>Mikolongwe!P180</f>
        <v>0</v>
      </c>
      <c r="K180" s="22">
        <f>Migowi!P180</f>
        <v>0</v>
      </c>
      <c r="L180" s="22">
        <f>Nkando!Q180</f>
        <v>0</v>
      </c>
      <c r="M180" s="16">
        <f t="shared" si="97"/>
        <v>0</v>
      </c>
    </row>
    <row r="181" spans="1:13" ht="15.75" x14ac:dyDescent="0.25">
      <c r="A181" s="463"/>
      <c r="B181" s="17" t="s">
        <v>66</v>
      </c>
      <c r="C181" s="4" t="s">
        <v>57</v>
      </c>
      <c r="D181" s="22">
        <f>Mulanje!P181</f>
        <v>0</v>
      </c>
      <c r="E181" s="22">
        <f>Luchenza!P181</f>
        <v>0</v>
      </c>
      <c r="F181" s="22">
        <f>Thyolo!P181</f>
        <v>0</v>
      </c>
      <c r="G181" s="22">
        <f>Muloza!P181</f>
        <v>0</v>
      </c>
      <c r="H181" s="22">
        <f>MUST!P181</f>
        <v>0</v>
      </c>
      <c r="I181" s="22">
        <f>Phalombe!P181</f>
        <v>0</v>
      </c>
      <c r="J181" s="22">
        <f>Mikolongwe!P181</f>
        <v>0</v>
      </c>
      <c r="K181" s="22">
        <f>Migowi!P181</f>
        <v>0</v>
      </c>
      <c r="L181" s="22">
        <f>Nkando!Q181</f>
        <v>0</v>
      </c>
      <c r="M181" s="16">
        <f t="shared" si="97"/>
        <v>0</v>
      </c>
    </row>
    <row r="182" spans="1:13" ht="15.75" x14ac:dyDescent="0.25">
      <c r="A182" s="464"/>
      <c r="B182" s="17" t="s">
        <v>65</v>
      </c>
      <c r="C182" s="4" t="s">
        <v>57</v>
      </c>
      <c r="D182" s="22">
        <f>Mulanje!P182</f>
        <v>0</v>
      </c>
      <c r="E182" s="22">
        <f>Luchenza!P182</f>
        <v>0</v>
      </c>
      <c r="F182" s="22">
        <f>Thyolo!P182</f>
        <v>0</v>
      </c>
      <c r="G182" s="22">
        <f>Muloza!P182</f>
        <v>0</v>
      </c>
      <c r="H182" s="22">
        <f>MUST!P182</f>
        <v>0</v>
      </c>
      <c r="I182" s="22">
        <f>Phalombe!P182</f>
        <v>0</v>
      </c>
      <c r="J182" s="22">
        <f>Mikolongwe!P182</f>
        <v>0</v>
      </c>
      <c r="K182" s="22">
        <f>Migowi!P182</f>
        <v>0</v>
      </c>
      <c r="L182" s="22">
        <f>Nkando!Q182</f>
        <v>0</v>
      </c>
      <c r="M182" s="16">
        <f t="shared" si="97"/>
        <v>0</v>
      </c>
    </row>
    <row r="183" spans="1:13" ht="15.75" x14ac:dyDescent="0.25">
      <c r="A183" s="46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75" x14ac:dyDescent="0.25">
      <c r="A184" s="463"/>
      <c r="B184" s="17" t="s">
        <v>73</v>
      </c>
      <c r="C184" s="4" t="s">
        <v>57</v>
      </c>
      <c r="D184" s="22">
        <f>Mulanje!P184</f>
        <v>0</v>
      </c>
      <c r="E184" s="22">
        <f>Luchenza!P184</f>
        <v>0</v>
      </c>
      <c r="F184" s="22">
        <f>Thyolo!P184</f>
        <v>0</v>
      </c>
      <c r="G184" s="22">
        <f>Muloza!P184</f>
        <v>0</v>
      </c>
      <c r="H184" s="22">
        <f>MUST!P184</f>
        <v>0</v>
      </c>
      <c r="I184" s="22">
        <f>Phalombe!P184</f>
        <v>0</v>
      </c>
      <c r="J184" s="22">
        <f>Mikolongwe!P184</f>
        <v>0</v>
      </c>
      <c r="K184" s="22">
        <f>Migowi!P184</f>
        <v>0</v>
      </c>
      <c r="L184" s="22">
        <f>Nkando!Q184</f>
        <v>0</v>
      </c>
      <c r="M184" s="16">
        <f>SUM(D184:L184)</f>
        <v>0</v>
      </c>
    </row>
    <row r="185" spans="1:13" ht="15.75" x14ac:dyDescent="0.25">
      <c r="A185" s="463"/>
      <c r="B185" s="17" t="s">
        <v>72</v>
      </c>
      <c r="C185" s="4" t="s">
        <v>57</v>
      </c>
      <c r="D185" s="22">
        <f>Mulanje!P185</f>
        <v>0</v>
      </c>
      <c r="E185" s="22">
        <f>Luchenza!P185</f>
        <v>0</v>
      </c>
      <c r="F185" s="22">
        <f>Thyolo!P185</f>
        <v>0</v>
      </c>
      <c r="G185" s="22">
        <f>Muloza!P185</f>
        <v>0</v>
      </c>
      <c r="H185" s="22">
        <f>MUST!P185</f>
        <v>0</v>
      </c>
      <c r="I185" s="22">
        <f>Phalombe!P185</f>
        <v>0</v>
      </c>
      <c r="J185" s="22">
        <f>Mikolongwe!P185</f>
        <v>0</v>
      </c>
      <c r="K185" s="22">
        <f>Migowi!P185</f>
        <v>0</v>
      </c>
      <c r="L185" s="22">
        <f>Nkando!Q185</f>
        <v>0</v>
      </c>
      <c r="M185" s="16">
        <f>SUM(D185:L185)</f>
        <v>0</v>
      </c>
    </row>
    <row r="186" spans="1:13" ht="15.75" x14ac:dyDescent="0.25">
      <c r="A186" s="463"/>
      <c r="B186" s="17" t="s">
        <v>53</v>
      </c>
      <c r="C186" s="4" t="s">
        <v>57</v>
      </c>
      <c r="D186" s="22">
        <f>Mulanje!P186</f>
        <v>0</v>
      </c>
      <c r="E186" s="22">
        <f>Luchenza!P186</f>
        <v>0</v>
      </c>
      <c r="F186" s="22">
        <f>Thyolo!P186</f>
        <v>0</v>
      </c>
      <c r="G186" s="22">
        <f>Muloza!P186</f>
        <v>0</v>
      </c>
      <c r="H186" s="22">
        <f>MUST!P186</f>
        <v>0</v>
      </c>
      <c r="I186" s="22">
        <f>Phalombe!P186</f>
        <v>0</v>
      </c>
      <c r="J186" s="22">
        <f>Mikolongwe!P186</f>
        <v>0</v>
      </c>
      <c r="K186" s="22">
        <f>Migowi!P186</f>
        <v>0</v>
      </c>
      <c r="L186" s="22">
        <f>Nkando!Q186</f>
        <v>0</v>
      </c>
      <c r="M186" s="16">
        <f>SUM(D186:L186)</f>
        <v>0</v>
      </c>
    </row>
    <row r="187" spans="1:13" ht="15.75" x14ac:dyDescent="0.25">
      <c r="A187" s="464"/>
      <c r="B187" s="17" t="s">
        <v>52</v>
      </c>
      <c r="C187" s="4" t="s">
        <v>57</v>
      </c>
      <c r="D187" s="22">
        <f>Mulanje!P187</f>
        <v>0</v>
      </c>
      <c r="E187" s="22">
        <f>Luchenza!P187</f>
        <v>0</v>
      </c>
      <c r="F187" s="22">
        <f>Thyolo!P187</f>
        <v>0</v>
      </c>
      <c r="G187" s="22">
        <f>Muloza!P187</f>
        <v>0</v>
      </c>
      <c r="H187" s="22">
        <f>MUST!P187</f>
        <v>0</v>
      </c>
      <c r="I187" s="22">
        <f>Phalombe!P187</f>
        <v>0</v>
      </c>
      <c r="J187" s="22">
        <f>Mikolongwe!P187</f>
        <v>0</v>
      </c>
      <c r="K187" s="22">
        <f>Migowi!P187</f>
        <v>0</v>
      </c>
      <c r="L187" s="22">
        <f>Nkando!Q187</f>
        <v>0</v>
      </c>
      <c r="M187" s="16">
        <f>SUM(D187:L187)</f>
        <v>0</v>
      </c>
    </row>
    <row r="188" spans="1:13" ht="15.75" x14ac:dyDescent="0.25">
      <c r="A188" s="46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75" x14ac:dyDescent="0.25">
      <c r="A189" s="463"/>
      <c r="B189" s="18" t="s">
        <v>52</v>
      </c>
      <c r="C189" s="4" t="s">
        <v>57</v>
      </c>
      <c r="D189" s="22">
        <f>Mulanje!P189</f>
        <v>0</v>
      </c>
      <c r="E189" s="22">
        <f>Luchenza!P189</f>
        <v>0</v>
      </c>
      <c r="F189" s="22">
        <f>Thyolo!P189</f>
        <v>0</v>
      </c>
      <c r="G189" s="22">
        <f>Muloza!P189</f>
        <v>0</v>
      </c>
      <c r="H189" s="22">
        <f>MUST!P189</f>
        <v>0</v>
      </c>
      <c r="I189" s="22">
        <f>Phalombe!P189</f>
        <v>0</v>
      </c>
      <c r="J189" s="22">
        <f>Mikolongwe!P189</f>
        <v>0</v>
      </c>
      <c r="K189" s="22">
        <f>Migowi!P189</f>
        <v>0</v>
      </c>
      <c r="L189" s="22">
        <f>Nkando!Q189</f>
        <v>0</v>
      </c>
      <c r="M189" s="16">
        <f>SUM(D189:L189)</f>
        <v>0</v>
      </c>
    </row>
    <row r="190" spans="1:13" ht="15.75" x14ac:dyDescent="0.25">
      <c r="A190" s="463"/>
      <c r="B190" s="17" t="s">
        <v>62</v>
      </c>
      <c r="C190" s="4" t="s">
        <v>57</v>
      </c>
      <c r="D190" s="22">
        <f>Mulanje!P190</f>
        <v>0</v>
      </c>
      <c r="E190" s="22">
        <f>Luchenza!P190</f>
        <v>0</v>
      </c>
      <c r="F190" s="22">
        <f>Thyolo!P190</f>
        <v>0</v>
      </c>
      <c r="G190" s="22">
        <f>Muloza!P190</f>
        <v>0</v>
      </c>
      <c r="H190" s="22">
        <f>MUST!P190</f>
        <v>0</v>
      </c>
      <c r="I190" s="22">
        <f>Phalombe!P190</f>
        <v>0</v>
      </c>
      <c r="J190" s="22">
        <f>Mikolongwe!P190</f>
        <v>0</v>
      </c>
      <c r="K190" s="22">
        <f>Migowi!P190</f>
        <v>0</v>
      </c>
      <c r="L190" s="22">
        <f>Nkando!Q190</f>
        <v>0</v>
      </c>
      <c r="M190" s="16">
        <f>SUM(D190:L190)</f>
        <v>0</v>
      </c>
    </row>
    <row r="191" spans="1:13" ht="15.75" x14ac:dyDescent="0.25">
      <c r="A191" s="463"/>
      <c r="B191" s="17" t="s">
        <v>61</v>
      </c>
      <c r="C191" s="4" t="s">
        <v>57</v>
      </c>
      <c r="D191" s="22">
        <f>Mulanje!P191</f>
        <v>0</v>
      </c>
      <c r="E191" s="22">
        <f>Luchenza!P191</f>
        <v>0</v>
      </c>
      <c r="F191" s="22">
        <f>Thyolo!P191</f>
        <v>0</v>
      </c>
      <c r="G191" s="22">
        <f>Muloza!P191</f>
        <v>0</v>
      </c>
      <c r="H191" s="22">
        <f>MUST!P191</f>
        <v>0</v>
      </c>
      <c r="I191" s="22">
        <f>Phalombe!P191</f>
        <v>0</v>
      </c>
      <c r="J191" s="22">
        <f>Mikolongwe!P191</f>
        <v>0</v>
      </c>
      <c r="K191" s="22">
        <f>Migowi!P191</f>
        <v>0</v>
      </c>
      <c r="L191" s="22">
        <f>Nkando!Q191</f>
        <v>0</v>
      </c>
      <c r="M191" s="16">
        <f>SUM(D191:L191)</f>
        <v>0</v>
      </c>
    </row>
    <row r="192" spans="1:13" ht="15.75" x14ac:dyDescent="0.25">
      <c r="A192" s="464"/>
      <c r="B192" s="17" t="s">
        <v>60</v>
      </c>
      <c r="C192" s="4" t="s">
        <v>57</v>
      </c>
      <c r="D192" s="22">
        <f>Mulanje!P192</f>
        <v>0</v>
      </c>
      <c r="E192" s="22">
        <f>Luchenza!P192</f>
        <v>0</v>
      </c>
      <c r="F192" s="22">
        <f>Thyolo!P192</f>
        <v>0</v>
      </c>
      <c r="G192" s="22">
        <f>Muloza!P192</f>
        <v>0</v>
      </c>
      <c r="H192" s="22">
        <f>MUST!P192</f>
        <v>0</v>
      </c>
      <c r="I192" s="22">
        <f>Phalombe!P192</f>
        <v>0</v>
      </c>
      <c r="J192" s="22">
        <f>Mikolongwe!P192</f>
        <v>0</v>
      </c>
      <c r="K192" s="22">
        <f>Migowi!P192</f>
        <v>0</v>
      </c>
      <c r="L192" s="22">
        <f>Nkando!Q192</f>
        <v>0</v>
      </c>
      <c r="M192" s="16">
        <f>SUM(D192:L192)</f>
        <v>0</v>
      </c>
    </row>
    <row r="193" spans="1:13" ht="15.75" x14ac:dyDescent="0.25">
      <c r="A193" s="465" t="s">
        <v>59</v>
      </c>
      <c r="B193" s="466"/>
      <c r="C193" s="4"/>
      <c r="D193" s="9">
        <f>SUM(D153:D192)</f>
        <v>116</v>
      </c>
      <c r="E193" s="9">
        <f t="shared" ref="E193:K193" si="98">SUM(E153:E192)</f>
        <v>455</v>
      </c>
      <c r="F193" s="9">
        <f t="shared" si="98"/>
        <v>310</v>
      </c>
      <c r="G193" s="9">
        <f t="shared" si="98"/>
        <v>55</v>
      </c>
      <c r="H193" s="9">
        <f t="shared" si="98"/>
        <v>22</v>
      </c>
      <c r="I193" s="9">
        <f t="shared" si="98"/>
        <v>70</v>
      </c>
      <c r="J193" s="9">
        <f t="shared" si="98"/>
        <v>15</v>
      </c>
      <c r="K193" s="9">
        <f t="shared" si="98"/>
        <v>1</v>
      </c>
      <c r="L193" s="9">
        <f t="shared" ref="L193" si="99">SUM(L153:L192)</f>
        <v>9</v>
      </c>
      <c r="M193" s="92">
        <f>SUM(M153:M192)</f>
        <v>1053</v>
      </c>
    </row>
    <row r="194" spans="1:13" ht="15.75" x14ac:dyDescent="0.25">
      <c r="A194" s="467" t="s">
        <v>58</v>
      </c>
      <c r="B194" s="468"/>
      <c r="C194" s="4" t="s">
        <v>57</v>
      </c>
      <c r="D194" s="22">
        <f>Mulanje!P194</f>
        <v>0</v>
      </c>
      <c r="E194" s="22">
        <f>Luchenza!P194</f>
        <v>0</v>
      </c>
      <c r="F194" s="22">
        <f>Thyolo!P194</f>
        <v>13</v>
      </c>
      <c r="G194" s="22">
        <f>Muloza!P194</f>
        <v>0</v>
      </c>
      <c r="H194" s="22">
        <f>MUST!P194</f>
        <v>33</v>
      </c>
      <c r="I194" s="22">
        <f>Phalombe!P194</f>
        <v>0</v>
      </c>
      <c r="J194" s="22">
        <f>Mikolongwe!P194</f>
        <v>0</v>
      </c>
      <c r="K194" s="22">
        <f>Migowi!P194</f>
        <v>0</v>
      </c>
      <c r="L194" s="22">
        <f>Nkando!P194</f>
        <v>0</v>
      </c>
      <c r="M194" s="8">
        <f>SUM(D194:L194)</f>
        <v>46</v>
      </c>
    </row>
    <row r="195" spans="1:13" ht="15.75" x14ac:dyDescent="0.25">
      <c r="A195" s="469"/>
      <c r="B195" s="470"/>
      <c r="C195" s="14" t="s">
        <v>55</v>
      </c>
      <c r="D195" s="22">
        <f>Mulanje!P195</f>
        <v>0</v>
      </c>
      <c r="E195" s="22">
        <f>Luchenza!P195</f>
        <v>0</v>
      </c>
      <c r="F195" s="22">
        <f>Thyolo!P195</f>
        <v>42</v>
      </c>
      <c r="G195" s="22">
        <f>Muloza!P195</f>
        <v>0</v>
      </c>
      <c r="H195" s="22">
        <f>MUST!P195</f>
        <v>43</v>
      </c>
      <c r="I195" s="22">
        <f>Phalombe!P195</f>
        <v>0</v>
      </c>
      <c r="J195" s="22">
        <f>Mikolongwe!P195</f>
        <v>0</v>
      </c>
      <c r="K195" s="22">
        <f>Migowi!P195</f>
        <v>0</v>
      </c>
      <c r="L195" s="22">
        <f>Nkando!P195</f>
        <v>0</v>
      </c>
      <c r="M195" s="8">
        <f>SUM(D195:L195)</f>
        <v>85</v>
      </c>
    </row>
    <row r="196" spans="1:13" ht="15.75" x14ac:dyDescent="0.25">
      <c r="A196" s="75" t="s">
        <v>204</v>
      </c>
      <c r="B196" s="76"/>
      <c r="C196" s="14" t="s">
        <v>55</v>
      </c>
      <c r="D196" s="22">
        <f>Mulanje!P196</f>
        <v>5.5</v>
      </c>
      <c r="E196" s="22">
        <f>Luchenza!P196</f>
        <v>3.25</v>
      </c>
      <c r="F196" s="22">
        <f>Thyolo!P196</f>
        <v>2</v>
      </c>
      <c r="G196" s="22">
        <f>Muloza!P196</f>
        <v>4</v>
      </c>
      <c r="H196" s="22">
        <f>MUST!P196</f>
        <v>6</v>
      </c>
      <c r="I196" s="22">
        <f>Phalombe!P196</f>
        <v>6</v>
      </c>
      <c r="J196" s="22">
        <f>Mikolongwe!P196</f>
        <v>6</v>
      </c>
      <c r="K196" s="22">
        <f>Migowi!P196</f>
        <v>5.916666666666667</v>
      </c>
      <c r="L196" s="22">
        <f>Nkando!P196</f>
        <v>2.8333333333333335</v>
      </c>
      <c r="M196" s="8">
        <f>SUM(D196:L196)/10</f>
        <v>4.1500000000000004</v>
      </c>
    </row>
    <row r="197" spans="1:13" ht="15.75" x14ac:dyDescent="0.25">
      <c r="A197" s="445" t="s">
        <v>56</v>
      </c>
      <c r="B197" s="446"/>
      <c r="C197" s="14" t="s">
        <v>55</v>
      </c>
      <c r="D197" s="22">
        <f>Mulanje!P197</f>
        <v>0</v>
      </c>
      <c r="E197" s="22">
        <f>Luchenza!P197</f>
        <v>86</v>
      </c>
      <c r="F197" s="22">
        <f>Thyolo!P197</f>
        <v>225</v>
      </c>
      <c r="G197" s="22">
        <f>Muloza!P197</f>
        <v>119</v>
      </c>
      <c r="H197" s="22">
        <f>MUST!P197</f>
        <v>38</v>
      </c>
      <c r="I197" s="22">
        <f>Phalombe!P197</f>
        <v>0</v>
      </c>
      <c r="J197" s="22">
        <f>Mikolongwe!P197</f>
        <v>96</v>
      </c>
      <c r="K197" s="22">
        <f>Migowi!P197</f>
        <v>223</v>
      </c>
      <c r="L197" s="22">
        <f>Nkando!P197</f>
        <v>0</v>
      </c>
      <c r="M197" s="8">
        <f>SUM(D197:L197)</f>
        <v>787</v>
      </c>
    </row>
    <row r="198" spans="1:13" x14ac:dyDescent="0.25">
      <c r="A198" s="442" t="s">
        <v>205</v>
      </c>
      <c r="B198" s="443"/>
      <c r="C198" s="443"/>
      <c r="D198" s="443"/>
      <c r="E198" s="443"/>
      <c r="F198" s="443"/>
      <c r="G198" s="443"/>
      <c r="H198" s="443"/>
      <c r="I198" s="443"/>
      <c r="J198" s="443"/>
      <c r="K198" s="443"/>
      <c r="L198" s="443"/>
      <c r="M198" s="444"/>
    </row>
    <row r="199" spans="1:13" ht="15.75" x14ac:dyDescent="0.25">
      <c r="A199" s="467" t="s">
        <v>54</v>
      </c>
      <c r="B199" s="69" t="s">
        <v>53</v>
      </c>
      <c r="C199" s="4" t="s">
        <v>47</v>
      </c>
      <c r="D199" s="22">
        <f>Mulanje!P199</f>
        <v>0</v>
      </c>
      <c r="E199" s="22">
        <f>Luchenza!P199</f>
        <v>0</v>
      </c>
      <c r="F199" s="22">
        <f>Thyolo!P199</f>
        <v>0</v>
      </c>
      <c r="G199" s="22">
        <f>Muloza!P199</f>
        <v>0</v>
      </c>
      <c r="H199" s="22">
        <f>MUST!P199</f>
        <v>0</v>
      </c>
      <c r="I199" s="22">
        <f>Phalombe!P199</f>
        <v>0</v>
      </c>
      <c r="J199" s="22">
        <f>Mikolongwe!P199</f>
        <v>0</v>
      </c>
      <c r="K199" s="22">
        <f>Migowi!P199</f>
        <v>0</v>
      </c>
      <c r="L199" s="22">
        <f>Nkando!Q199</f>
        <v>0</v>
      </c>
      <c r="M199" s="8">
        <f t="shared" ref="M199:M204" si="100">SUM(D199:L199)</f>
        <v>0</v>
      </c>
    </row>
    <row r="200" spans="1:13" ht="15.75" x14ac:dyDescent="0.25">
      <c r="A200" s="471"/>
      <c r="B200" s="69" t="s">
        <v>52</v>
      </c>
      <c r="C200" s="4" t="s">
        <v>47</v>
      </c>
      <c r="D200" s="22">
        <f>Mulanje!P200</f>
        <v>0</v>
      </c>
      <c r="E200" s="22">
        <f>Luchenza!P200</f>
        <v>0</v>
      </c>
      <c r="F200" s="22">
        <f>Thyolo!P200</f>
        <v>4032</v>
      </c>
      <c r="G200" s="22">
        <f>Muloza!P200</f>
        <v>0</v>
      </c>
      <c r="H200" s="22">
        <f>MUST!P200</f>
        <v>0</v>
      </c>
      <c r="I200" s="22">
        <f>Phalombe!P200</f>
        <v>0</v>
      </c>
      <c r="J200" s="22">
        <f>Mikolongwe!P200</f>
        <v>0</v>
      </c>
      <c r="K200" s="22">
        <f>Migowi!P200</f>
        <v>0</v>
      </c>
      <c r="L200" s="22">
        <f>Nkando!Q200</f>
        <v>0</v>
      </c>
      <c r="M200" s="8">
        <f t="shared" si="100"/>
        <v>4032</v>
      </c>
    </row>
    <row r="201" spans="1:13" ht="15.75" x14ac:dyDescent="0.25">
      <c r="A201" s="471"/>
      <c r="B201" s="69" t="s">
        <v>51</v>
      </c>
      <c r="C201" s="4" t="s">
        <v>47</v>
      </c>
      <c r="D201" s="22">
        <f>Mulanje!P201</f>
        <v>0</v>
      </c>
      <c r="E201" s="22">
        <f>Luchenza!P201</f>
        <v>0</v>
      </c>
      <c r="F201" s="22">
        <f>Thyolo!P201</f>
        <v>0</v>
      </c>
      <c r="G201" s="22">
        <f>Muloza!P201</f>
        <v>0</v>
      </c>
      <c r="H201" s="22">
        <f>MUST!P201</f>
        <v>0</v>
      </c>
      <c r="I201" s="22">
        <f>Phalombe!P201</f>
        <v>0</v>
      </c>
      <c r="J201" s="22">
        <f>Mikolongwe!P201</f>
        <v>0</v>
      </c>
      <c r="K201" s="22">
        <f>Migowi!P201</f>
        <v>0</v>
      </c>
      <c r="L201" s="22">
        <f>Nkando!Q201</f>
        <v>0</v>
      </c>
      <c r="M201" s="8">
        <f t="shared" si="100"/>
        <v>0</v>
      </c>
    </row>
    <row r="202" spans="1:13" ht="15.75" x14ac:dyDescent="0.25">
      <c r="A202" s="471"/>
      <c r="B202" s="69" t="s">
        <v>50</v>
      </c>
      <c r="C202" s="4" t="s">
        <v>47</v>
      </c>
      <c r="D202" s="22">
        <f>Mulanje!P202</f>
        <v>1000</v>
      </c>
      <c r="E202" s="22">
        <f>Luchenza!P202</f>
        <v>0</v>
      </c>
      <c r="F202" s="22">
        <f>Thyolo!P202</f>
        <v>0</v>
      </c>
      <c r="G202" s="22">
        <f>Muloza!P202</f>
        <v>0</v>
      </c>
      <c r="H202" s="22">
        <f>MUST!P202</f>
        <v>0</v>
      </c>
      <c r="I202" s="22">
        <f>Phalombe!P202</f>
        <v>0</v>
      </c>
      <c r="J202" s="22">
        <f>Mikolongwe!P202</f>
        <v>0</v>
      </c>
      <c r="K202" s="22">
        <f>Migowi!P202</f>
        <v>0</v>
      </c>
      <c r="L202" s="22">
        <f>Nkando!Q202</f>
        <v>0</v>
      </c>
      <c r="M202" s="8">
        <f t="shared" si="100"/>
        <v>1000</v>
      </c>
    </row>
    <row r="203" spans="1:13" ht="15.75" x14ac:dyDescent="0.25">
      <c r="A203" s="469"/>
      <c r="B203" s="69" t="s">
        <v>49</v>
      </c>
      <c r="C203" s="4" t="s">
        <v>47</v>
      </c>
      <c r="D203" s="22">
        <f>Mulanje!P203</f>
        <v>0</v>
      </c>
      <c r="E203" s="22">
        <f>Luchenza!P203</f>
        <v>0</v>
      </c>
      <c r="F203" s="22">
        <f>Thyolo!P203</f>
        <v>0</v>
      </c>
      <c r="G203" s="22">
        <f>Muloza!P203</f>
        <v>0</v>
      </c>
      <c r="H203" s="22">
        <f>MUST!P203</f>
        <v>0</v>
      </c>
      <c r="I203" s="22">
        <f>Phalombe!P203</f>
        <v>0</v>
      </c>
      <c r="J203" s="22">
        <f>Mikolongwe!P203</f>
        <v>0</v>
      </c>
      <c r="K203" s="22">
        <f>Migowi!P203</f>
        <v>0</v>
      </c>
      <c r="L203" s="22">
        <f>Nkando!Q203</f>
        <v>0</v>
      </c>
      <c r="M203" s="8">
        <f t="shared" si="100"/>
        <v>0</v>
      </c>
    </row>
    <row r="204" spans="1:13" ht="15.75" x14ac:dyDescent="0.25">
      <c r="A204" s="73" t="s">
        <v>48</v>
      </c>
      <c r="B204" s="69"/>
      <c r="C204" s="4" t="s">
        <v>47</v>
      </c>
      <c r="D204" s="13">
        <f t="shared" ref="D204:K204" si="101">SUM(D199:D203)</f>
        <v>1000</v>
      </c>
      <c r="E204" s="13">
        <f t="shared" si="101"/>
        <v>0</v>
      </c>
      <c r="F204" s="13">
        <f t="shared" si="101"/>
        <v>4032</v>
      </c>
      <c r="G204" s="13">
        <f t="shared" si="101"/>
        <v>0</v>
      </c>
      <c r="H204" s="13">
        <f t="shared" si="101"/>
        <v>0</v>
      </c>
      <c r="I204" s="13">
        <f t="shared" si="101"/>
        <v>0</v>
      </c>
      <c r="J204" s="13">
        <f t="shared" si="101"/>
        <v>0</v>
      </c>
      <c r="K204" s="13">
        <f t="shared" si="101"/>
        <v>0</v>
      </c>
      <c r="L204" s="13">
        <f t="shared" ref="L204" si="102">SUM(L199:L203)</f>
        <v>0</v>
      </c>
      <c r="M204" s="100">
        <f t="shared" si="100"/>
        <v>5032</v>
      </c>
    </row>
    <row r="205" spans="1:13" x14ac:dyDescent="0.25">
      <c r="A205" s="442" t="s">
        <v>46</v>
      </c>
      <c r="B205" s="443"/>
      <c r="C205" s="443"/>
      <c r="D205" s="443"/>
      <c r="E205" s="443"/>
      <c r="F205" s="443"/>
      <c r="G205" s="443"/>
      <c r="H205" s="443"/>
      <c r="I205" s="443"/>
      <c r="J205" s="443"/>
      <c r="K205" s="443"/>
      <c r="L205" s="443"/>
      <c r="M205" s="444"/>
    </row>
    <row r="206" spans="1:13" ht="15.75" x14ac:dyDescent="0.25">
      <c r="A206" s="445" t="s">
        <v>43</v>
      </c>
      <c r="B206" s="446"/>
      <c r="C206" s="4" t="s">
        <v>31</v>
      </c>
      <c r="D206" s="13">
        <f>Mulanje!P206</f>
        <v>50374825.369999997</v>
      </c>
      <c r="E206" s="13">
        <f>Luchenza!P206</f>
        <v>15431844.15</v>
      </c>
      <c r="F206" s="13">
        <f>Thyolo!P206</f>
        <v>11651788.439999999</v>
      </c>
      <c r="G206" s="13">
        <f>Muloza!P206</f>
        <v>8137943.4399999995</v>
      </c>
      <c r="H206" s="13">
        <f>MUST!P206</f>
        <v>1456159.85</v>
      </c>
      <c r="I206" s="13">
        <f>Phalombe!P206</f>
        <v>10482562.450000001</v>
      </c>
      <c r="J206" s="13">
        <f>Mikolongwe!P206</f>
        <v>0</v>
      </c>
      <c r="K206" s="13">
        <f>Migowi!P206</f>
        <v>0</v>
      </c>
      <c r="L206" s="13">
        <f>Nkando!P206</f>
        <v>0</v>
      </c>
      <c r="M206" s="8">
        <f>SUM(D206:L206)</f>
        <v>97535123.699999988</v>
      </c>
    </row>
    <row r="207" spans="1:13" ht="15.75" x14ac:dyDescent="0.25">
      <c r="A207" s="445" t="s">
        <v>42</v>
      </c>
      <c r="B207" s="446"/>
      <c r="C207" s="4" t="s">
        <v>31</v>
      </c>
      <c r="D207" s="13">
        <f>Mulanje!P207</f>
        <v>503400</v>
      </c>
      <c r="E207" s="13">
        <f>Luchenza!P207</f>
        <v>25500</v>
      </c>
      <c r="F207" s="13">
        <f>Thyolo!P207</f>
        <v>15000</v>
      </c>
      <c r="G207" s="13">
        <f>Muloza!P207</f>
        <v>9000</v>
      </c>
      <c r="H207" s="13">
        <f>MUST!P207</f>
        <v>0</v>
      </c>
      <c r="I207" s="13">
        <f>Phalombe!P207</f>
        <v>0</v>
      </c>
      <c r="J207" s="13">
        <f>Mikolongwe!P207</f>
        <v>0</v>
      </c>
      <c r="K207" s="13">
        <f>Migowi!P207</f>
        <v>0</v>
      </c>
      <c r="L207" s="13">
        <f>Nkando!P207</f>
        <v>0</v>
      </c>
      <c r="M207" s="8">
        <f>SUM(D207:L207)</f>
        <v>552900</v>
      </c>
    </row>
    <row r="208" spans="1:13" ht="15.75" x14ac:dyDescent="0.25">
      <c r="A208" s="460" t="s">
        <v>41</v>
      </c>
      <c r="B208" s="461"/>
      <c r="C208" s="4" t="s">
        <v>31</v>
      </c>
      <c r="D208" s="13">
        <f>Mulanje!P208</f>
        <v>1179350</v>
      </c>
      <c r="E208" s="13">
        <f>Luchenza!P208</f>
        <v>85706</v>
      </c>
      <c r="F208" s="13">
        <f>Thyolo!P208</f>
        <v>98000</v>
      </c>
      <c r="G208" s="13">
        <f>Muloza!P208</f>
        <v>0</v>
      </c>
      <c r="H208" s="13">
        <f>MUST!P208</f>
        <v>0</v>
      </c>
      <c r="I208" s="13">
        <f>Phalombe!P208</f>
        <v>0</v>
      </c>
      <c r="J208" s="13">
        <f>Mikolongwe!P208</f>
        <v>0</v>
      </c>
      <c r="K208" s="13">
        <f>Migowi!P208</f>
        <v>0</v>
      </c>
      <c r="L208" s="13">
        <f>Nkando!P208</f>
        <v>0</v>
      </c>
      <c r="M208" s="8">
        <f>SUM(D208:L208)</f>
        <v>1363056</v>
      </c>
    </row>
    <row r="209" spans="1:13" ht="15.75" x14ac:dyDescent="0.25">
      <c r="A209" s="445" t="s">
        <v>40</v>
      </c>
      <c r="B209" s="446"/>
      <c r="C209" s="4" t="s">
        <v>31</v>
      </c>
      <c r="D209" s="13">
        <f>Mulanje!P209</f>
        <v>658200</v>
      </c>
      <c r="E209" s="13">
        <f>Luchenza!P209</f>
        <v>0</v>
      </c>
      <c r="F209" s="13">
        <f>Thyolo!P209</f>
        <v>0</v>
      </c>
      <c r="G209" s="13">
        <f>Muloza!P209</f>
        <v>0</v>
      </c>
      <c r="H209" s="13">
        <f>MUST!P209</f>
        <v>0</v>
      </c>
      <c r="I209" s="13">
        <f>Phalombe!P209</f>
        <v>0</v>
      </c>
      <c r="J209" s="13">
        <f>Mikolongwe!P209</f>
        <v>0</v>
      </c>
      <c r="K209" s="13">
        <f>Migowi!P209</f>
        <v>0</v>
      </c>
      <c r="L209" s="13">
        <f>Nkando!P209</f>
        <v>0</v>
      </c>
      <c r="M209" s="8">
        <f>SUM(D209:L209)</f>
        <v>658200</v>
      </c>
    </row>
    <row r="210" spans="1:13" ht="15.75" x14ac:dyDescent="0.25">
      <c r="A210" s="449" t="s">
        <v>45</v>
      </c>
      <c r="B210" s="450"/>
      <c r="C210" s="4" t="s">
        <v>31</v>
      </c>
      <c r="D210" s="9">
        <f t="shared" ref="D210:K210" si="103">SUM(D206:D209)</f>
        <v>52715775.369999997</v>
      </c>
      <c r="E210" s="9">
        <f t="shared" si="103"/>
        <v>15543050.15</v>
      </c>
      <c r="F210" s="9">
        <f t="shared" si="103"/>
        <v>11764788.439999999</v>
      </c>
      <c r="G210" s="9">
        <f t="shared" si="103"/>
        <v>8146943.4399999995</v>
      </c>
      <c r="H210" s="9">
        <f t="shared" si="103"/>
        <v>1456159.85</v>
      </c>
      <c r="I210" s="9">
        <f t="shared" si="103"/>
        <v>10482562.450000001</v>
      </c>
      <c r="J210" s="9">
        <f t="shared" si="103"/>
        <v>0</v>
      </c>
      <c r="K210" s="9">
        <f t="shared" si="103"/>
        <v>0</v>
      </c>
      <c r="L210" s="9">
        <f t="shared" ref="L210" si="104">SUM(L206:L209)</f>
        <v>0</v>
      </c>
      <c r="M210" s="8">
        <f>SUM(D210:L210)</f>
        <v>100109279.69999999</v>
      </c>
    </row>
    <row r="211" spans="1:13" x14ac:dyDescent="0.25">
      <c r="A211" s="442" t="s">
        <v>44</v>
      </c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3"/>
      <c r="M211" s="444"/>
    </row>
    <row r="212" spans="1:13" ht="15.75" x14ac:dyDescent="0.25">
      <c r="A212" s="445" t="s">
        <v>43</v>
      </c>
      <c r="B212" s="446"/>
      <c r="C212" s="4" t="s">
        <v>31</v>
      </c>
      <c r="D212" s="13">
        <f>Mulanje!P212</f>
        <v>32987657.529999994</v>
      </c>
      <c r="E212" s="13">
        <f>Luchenza!P212</f>
        <v>19849944.199999999</v>
      </c>
      <c r="F212" s="13">
        <f>Thyolo!P212</f>
        <v>16454675</v>
      </c>
      <c r="G212" s="13">
        <f>Muloza!P212</f>
        <v>12333393</v>
      </c>
      <c r="H212" s="13">
        <f>MUST!P212</f>
        <v>7277555</v>
      </c>
      <c r="I212" s="13">
        <f>Phalombe!P212</f>
        <v>12027338.91</v>
      </c>
      <c r="J212" s="13">
        <f>Mikolongwe!P212</f>
        <v>1956200</v>
      </c>
      <c r="K212" s="13">
        <f>Migowi!P212</f>
        <v>3233643.09</v>
      </c>
      <c r="L212" s="13">
        <f>Nkando!Q212</f>
        <v>0</v>
      </c>
      <c r="M212" s="8">
        <f>SUM(D212:L212)</f>
        <v>106120406.72999999</v>
      </c>
    </row>
    <row r="213" spans="1:13" ht="15.75" x14ac:dyDescent="0.25">
      <c r="A213" s="445" t="s">
        <v>42</v>
      </c>
      <c r="B213" s="446"/>
      <c r="C213" s="4" t="s">
        <v>31</v>
      </c>
      <c r="D213" s="13">
        <f>Mulanje!P213</f>
        <v>0</v>
      </c>
      <c r="E213" s="13">
        <f>Luchenza!P213</f>
        <v>136150</v>
      </c>
      <c r="F213" s="13">
        <f>Thyolo!P213</f>
        <v>5900</v>
      </c>
      <c r="G213" s="13">
        <f>Muloza!P213</f>
        <v>12600</v>
      </c>
      <c r="H213" s="13">
        <f>MUST!P213</f>
        <v>0</v>
      </c>
      <c r="I213" s="13">
        <f>Phalombe!P213</f>
        <v>29900</v>
      </c>
      <c r="J213" s="13">
        <f>Mikolongwe!P213</f>
        <v>0</v>
      </c>
      <c r="K213" s="13">
        <f>Migowi!P213</f>
        <v>0</v>
      </c>
      <c r="L213" s="13">
        <f>Nkando!Q213</f>
        <v>0</v>
      </c>
      <c r="M213" s="8">
        <f>SUM(D213:L213)</f>
        <v>184550</v>
      </c>
    </row>
    <row r="214" spans="1:13" ht="15.75" x14ac:dyDescent="0.25">
      <c r="A214" s="460" t="s">
        <v>41</v>
      </c>
      <c r="B214" s="461"/>
      <c r="C214" s="4" t="s">
        <v>31</v>
      </c>
      <c r="D214" s="13">
        <f>Mulanje!P214</f>
        <v>12573467.09</v>
      </c>
      <c r="E214" s="13">
        <f>Luchenza!P214</f>
        <v>3760720</v>
      </c>
      <c r="F214" s="13">
        <f>Thyolo!P214</f>
        <v>5078727</v>
      </c>
      <c r="G214" s="13">
        <f>Muloza!P214</f>
        <v>1515250</v>
      </c>
      <c r="H214" s="13">
        <f>MUST!P214</f>
        <v>12284000</v>
      </c>
      <c r="I214" s="13">
        <f>Phalombe!P214</f>
        <v>1687310</v>
      </c>
      <c r="J214" s="13">
        <f>Mikolongwe!P214</f>
        <v>0</v>
      </c>
      <c r="K214" s="13">
        <f>Migowi!P214</f>
        <v>0</v>
      </c>
      <c r="L214" s="13">
        <f>Nkando!Q214</f>
        <v>0</v>
      </c>
      <c r="M214" s="8">
        <f>SUM(D214:L214)</f>
        <v>36899474.090000004</v>
      </c>
    </row>
    <row r="215" spans="1:13" ht="15.75" x14ac:dyDescent="0.25">
      <c r="A215" s="445" t="s">
        <v>40</v>
      </c>
      <c r="B215" s="446"/>
      <c r="C215" s="4" t="s">
        <v>31</v>
      </c>
      <c r="D215" s="13">
        <f>Mulanje!P215</f>
        <v>53579906.029999994</v>
      </c>
      <c r="E215" s="13">
        <f>Luchenza!P215</f>
        <v>1639909</v>
      </c>
      <c r="F215" s="13">
        <f>Thyolo!P215</f>
        <v>20653793.799999997</v>
      </c>
      <c r="G215" s="13">
        <f>Muloza!P215</f>
        <v>5056400</v>
      </c>
      <c r="H215" s="13">
        <f>MUST!P215</f>
        <v>121638459.09999999</v>
      </c>
      <c r="I215" s="13">
        <f>Phalombe!P215</f>
        <v>8830640</v>
      </c>
      <c r="J215" s="13">
        <f>Mikolongwe!P215</f>
        <v>2196300</v>
      </c>
      <c r="K215" s="13">
        <f>Migowi!P215</f>
        <v>0</v>
      </c>
      <c r="L215" s="13">
        <f>Nkando!Q215</f>
        <v>0</v>
      </c>
      <c r="M215" s="8">
        <f>SUM(D215:L215)</f>
        <v>213595407.92999998</v>
      </c>
    </row>
    <row r="216" spans="1:13" ht="15.75" x14ac:dyDescent="0.25">
      <c r="A216" s="449" t="s">
        <v>39</v>
      </c>
      <c r="B216" s="450"/>
      <c r="C216" s="4" t="s">
        <v>31</v>
      </c>
      <c r="D216" s="9">
        <f t="shared" ref="D216:K216" si="105">SUM(D212:D215)</f>
        <v>99141030.649999976</v>
      </c>
      <c r="E216" s="9">
        <f t="shared" si="105"/>
        <v>25386723.199999999</v>
      </c>
      <c r="F216" s="9">
        <f t="shared" si="105"/>
        <v>42193095.799999997</v>
      </c>
      <c r="G216" s="9">
        <f t="shared" si="105"/>
        <v>18917643</v>
      </c>
      <c r="H216" s="9">
        <f t="shared" si="105"/>
        <v>141200014.09999999</v>
      </c>
      <c r="I216" s="9">
        <f t="shared" si="105"/>
        <v>22575188.91</v>
      </c>
      <c r="J216" s="9">
        <f t="shared" si="105"/>
        <v>4152500</v>
      </c>
      <c r="K216" s="9">
        <f t="shared" si="105"/>
        <v>3233643.09</v>
      </c>
      <c r="L216" s="9">
        <f t="shared" ref="L216" si="106">SUM(L212:L215)</f>
        <v>0</v>
      </c>
      <c r="M216" s="8">
        <f>SUM(D216:L216)</f>
        <v>356799838.75</v>
      </c>
    </row>
    <row r="217" spans="1:13" ht="15.75" x14ac:dyDescent="0.25">
      <c r="A217" s="66" t="s">
        <v>38</v>
      </c>
      <c r="B217" s="67"/>
      <c r="C217" s="4" t="s">
        <v>31</v>
      </c>
      <c r="D217" s="9">
        <f>D210+D216</f>
        <v>151856806.01999998</v>
      </c>
      <c r="E217" s="9">
        <f t="shared" ref="E217:M217" si="107">E210+E216</f>
        <v>40929773.350000001</v>
      </c>
      <c r="F217" s="9">
        <f t="shared" si="107"/>
        <v>53957884.239999995</v>
      </c>
      <c r="G217" s="9">
        <f t="shared" si="107"/>
        <v>27064586.439999998</v>
      </c>
      <c r="H217" s="9">
        <f t="shared" si="107"/>
        <v>142656173.94999999</v>
      </c>
      <c r="I217" s="9">
        <f t="shared" si="107"/>
        <v>33057751.359999999</v>
      </c>
      <c r="J217" s="9">
        <f t="shared" si="107"/>
        <v>4152500</v>
      </c>
      <c r="K217" s="9">
        <f t="shared" si="107"/>
        <v>3233643.09</v>
      </c>
      <c r="L217" s="9">
        <f t="shared" ref="L217" si="108">L210+L216</f>
        <v>0</v>
      </c>
      <c r="M217" s="35">
        <f t="shared" si="107"/>
        <v>456909118.44999999</v>
      </c>
    </row>
    <row r="218" spans="1:13" x14ac:dyDescent="0.25">
      <c r="A218" s="442" t="s">
        <v>37</v>
      </c>
      <c r="B218" s="443"/>
      <c r="C218" s="443"/>
      <c r="D218" s="443"/>
      <c r="E218" s="443"/>
      <c r="F218" s="443"/>
      <c r="G218" s="443"/>
      <c r="H218" s="443"/>
      <c r="I218" s="443"/>
      <c r="J218" s="443"/>
      <c r="K218" s="443"/>
      <c r="L218" s="443"/>
      <c r="M218" s="444"/>
    </row>
    <row r="219" spans="1:13" ht="15.75" x14ac:dyDescent="0.25">
      <c r="A219" s="445" t="s">
        <v>35</v>
      </c>
      <c r="B219" s="446"/>
      <c r="C219" s="4" t="s">
        <v>31</v>
      </c>
      <c r="D219" s="13">
        <f>Mulanje!P219</f>
        <v>45050496.340000004</v>
      </c>
      <c r="E219" s="13">
        <f>Luchenza!P219</f>
        <v>14501405.059999999</v>
      </c>
      <c r="F219" s="13">
        <f>Thyolo!P219</f>
        <v>11051328.050000001</v>
      </c>
      <c r="G219" s="13">
        <f>Muloza!P219</f>
        <v>8581682.8599999994</v>
      </c>
      <c r="H219" s="13">
        <f>MUST!P219</f>
        <v>2201338.38</v>
      </c>
      <c r="I219" s="13">
        <f>Phalombe!P219</f>
        <v>6829370.4399999995</v>
      </c>
      <c r="J219" s="13">
        <f>Mikolongwe!P219</f>
        <v>0</v>
      </c>
      <c r="K219" s="13">
        <f>Migowi!P219</f>
        <v>0</v>
      </c>
      <c r="L219" s="13">
        <f>Nkando!P219</f>
        <v>0</v>
      </c>
      <c r="M219" s="8">
        <f>SUM(D219:L219)</f>
        <v>88215621.129999995</v>
      </c>
    </row>
    <row r="220" spans="1:13" ht="15.75" x14ac:dyDescent="0.25">
      <c r="A220" s="445" t="s">
        <v>34</v>
      </c>
      <c r="B220" s="446"/>
      <c r="C220" s="4" t="s">
        <v>31</v>
      </c>
      <c r="D220" s="13">
        <f>Mulanje!P220</f>
        <v>524107.2</v>
      </c>
      <c r="E220" s="13">
        <f>Luchenza!P220</f>
        <v>12624.48</v>
      </c>
      <c r="F220" s="13">
        <f>Thyolo!P220</f>
        <v>2295.36</v>
      </c>
      <c r="G220" s="13">
        <f>Muloza!P220</f>
        <v>7929.68</v>
      </c>
      <c r="H220" s="13">
        <f>MUST!P220</f>
        <v>0</v>
      </c>
      <c r="I220" s="13">
        <f>Phalombe!P220</f>
        <v>0</v>
      </c>
      <c r="J220" s="13">
        <f>Mikolongwe!P220</f>
        <v>0</v>
      </c>
      <c r="K220" s="13">
        <f>Migowi!P220</f>
        <v>0</v>
      </c>
      <c r="L220" s="13">
        <f>Nkando!P220</f>
        <v>0</v>
      </c>
      <c r="M220" s="8">
        <f>SUM(D220:L220)</f>
        <v>546956.72000000009</v>
      </c>
    </row>
    <row r="221" spans="1:13" ht="15.75" x14ac:dyDescent="0.25">
      <c r="A221" s="445" t="s">
        <v>33</v>
      </c>
      <c r="B221" s="446"/>
      <c r="C221" s="4" t="s">
        <v>31</v>
      </c>
      <c r="D221" s="13">
        <f>Mulanje!P221</f>
        <v>1070215.73</v>
      </c>
      <c r="E221" s="13">
        <f>Luchenza!P221</f>
        <v>79860.53</v>
      </c>
      <c r="F221" s="13">
        <f>Thyolo!P221</f>
        <v>0</v>
      </c>
      <c r="G221" s="13">
        <f>Muloza!P221</f>
        <v>237980</v>
      </c>
      <c r="H221" s="13">
        <f>MUST!P221</f>
        <v>224289.99</v>
      </c>
      <c r="I221" s="13">
        <f>Phalombe!P221</f>
        <v>0</v>
      </c>
      <c r="J221" s="13">
        <f>Mikolongwe!P221</f>
        <v>0</v>
      </c>
      <c r="K221" s="13">
        <f>Migowi!P221</f>
        <v>0</v>
      </c>
      <c r="L221" s="13">
        <f>Nkando!P221</f>
        <v>0</v>
      </c>
      <c r="M221" s="8">
        <f>SUM(D221:L221)</f>
        <v>1612346.25</v>
      </c>
    </row>
    <row r="222" spans="1:13" ht="15.75" x14ac:dyDescent="0.25">
      <c r="A222" s="445" t="s">
        <v>32</v>
      </c>
      <c r="B222" s="446"/>
      <c r="C222" s="4" t="s">
        <v>31</v>
      </c>
      <c r="D222" s="13">
        <f>Mulanje!P222</f>
        <v>2165123.02</v>
      </c>
      <c r="E222" s="13">
        <f>Luchenza!P222</f>
        <v>158381.54</v>
      </c>
      <c r="F222" s="13">
        <f>Thyolo!P222</f>
        <v>321577.03999999998</v>
      </c>
      <c r="G222" s="13">
        <f>Muloza!P222</f>
        <v>362178.79</v>
      </c>
      <c r="H222" s="13">
        <f>MUST!P222</f>
        <v>0</v>
      </c>
      <c r="I222" s="13">
        <f>Phalombe!P222</f>
        <v>28618.61</v>
      </c>
      <c r="J222" s="13">
        <f>Mikolongwe!P222</f>
        <v>0</v>
      </c>
      <c r="K222" s="13">
        <f>Migowi!P222</f>
        <v>0</v>
      </c>
      <c r="L222" s="13">
        <f>Nkando!P222</f>
        <v>0</v>
      </c>
      <c r="M222" s="8">
        <f>SUM(D222:L222)</f>
        <v>3035879</v>
      </c>
    </row>
    <row r="223" spans="1:13" ht="15.75" x14ac:dyDescent="0.25">
      <c r="A223" s="449" t="s">
        <v>36</v>
      </c>
      <c r="B223" s="450"/>
      <c r="C223" s="4" t="s">
        <v>31</v>
      </c>
      <c r="D223" s="9">
        <f t="shared" ref="D223:K223" si="109">SUM(D219:D222)</f>
        <v>48809942.290000007</v>
      </c>
      <c r="E223" s="9">
        <f t="shared" si="109"/>
        <v>14752271.609999998</v>
      </c>
      <c r="F223" s="9">
        <f t="shared" si="109"/>
        <v>11375200.449999999</v>
      </c>
      <c r="G223" s="9">
        <f t="shared" si="109"/>
        <v>9189771.3299999982</v>
      </c>
      <c r="H223" s="9">
        <f t="shared" si="109"/>
        <v>2425628.37</v>
      </c>
      <c r="I223" s="9">
        <f t="shared" si="109"/>
        <v>6857989.0499999998</v>
      </c>
      <c r="J223" s="9">
        <f t="shared" si="109"/>
        <v>0</v>
      </c>
      <c r="K223" s="9">
        <f t="shared" si="109"/>
        <v>0</v>
      </c>
      <c r="L223" s="9">
        <f t="shared" ref="L223" si="110">SUM(L219:L222)</f>
        <v>0</v>
      </c>
      <c r="M223" s="8">
        <f>SUM(D223:L223)</f>
        <v>93410803.100000009</v>
      </c>
    </row>
    <row r="224" spans="1:13" x14ac:dyDescent="0.25">
      <c r="A224" s="442" t="s">
        <v>213</v>
      </c>
      <c r="B224" s="443"/>
      <c r="C224" s="443"/>
      <c r="D224" s="443"/>
      <c r="E224" s="443"/>
      <c r="F224" s="443"/>
      <c r="G224" s="443"/>
      <c r="H224" s="443"/>
      <c r="I224" s="443"/>
      <c r="J224" s="443"/>
      <c r="K224" s="443"/>
      <c r="L224" s="443"/>
      <c r="M224" s="444"/>
    </row>
    <row r="225" spans="1:13" ht="15.75" x14ac:dyDescent="0.25">
      <c r="A225" s="445" t="s">
        <v>35</v>
      </c>
      <c r="B225" s="446"/>
      <c r="C225" s="4" t="s">
        <v>31</v>
      </c>
      <c r="D225" s="13">
        <f>Mulanje!P225</f>
        <v>0</v>
      </c>
      <c r="E225" s="13">
        <f>Luchenza!P225</f>
        <v>0</v>
      </c>
      <c r="F225" s="13">
        <f>Thyolo!P225</f>
        <v>0</v>
      </c>
      <c r="G225" s="13">
        <f>Muloza!P225</f>
        <v>0</v>
      </c>
      <c r="H225" s="13">
        <f>MUST!P225</f>
        <v>0</v>
      </c>
      <c r="I225" s="13">
        <f>Phalombe!P225</f>
        <v>0</v>
      </c>
      <c r="J225" s="13">
        <f>Mikolongwe!P225</f>
        <v>0</v>
      </c>
      <c r="K225" s="13">
        <f>Migowi!P225</f>
        <v>0</v>
      </c>
      <c r="L225" s="13">
        <f>Nkando!Q225</f>
        <v>0</v>
      </c>
      <c r="M225" s="8">
        <f t="shared" ref="M225:M230" si="111">SUM(D225:L225)</f>
        <v>0</v>
      </c>
    </row>
    <row r="226" spans="1:13" ht="15.75" x14ac:dyDescent="0.25">
      <c r="A226" s="445" t="s">
        <v>34</v>
      </c>
      <c r="B226" s="446"/>
      <c r="C226" s="4" t="s">
        <v>31</v>
      </c>
      <c r="D226" s="13">
        <f>Mulanje!P226</f>
        <v>0</v>
      </c>
      <c r="E226" s="13">
        <f>Luchenza!P226</f>
        <v>0</v>
      </c>
      <c r="F226" s="13">
        <f>Thyolo!P226</f>
        <v>0</v>
      </c>
      <c r="G226" s="13">
        <f>Muloza!P226</f>
        <v>0</v>
      </c>
      <c r="H226" s="13">
        <f>MUST!P226</f>
        <v>0</v>
      </c>
      <c r="I226" s="13">
        <f>Phalombe!P226</f>
        <v>0</v>
      </c>
      <c r="J226" s="13">
        <f>Mikolongwe!P226</f>
        <v>0</v>
      </c>
      <c r="K226" s="13">
        <f>Migowi!P226</f>
        <v>0</v>
      </c>
      <c r="L226" s="13">
        <f>Nkando!Q226</f>
        <v>0</v>
      </c>
      <c r="M226" s="8">
        <f t="shared" si="111"/>
        <v>0</v>
      </c>
    </row>
    <row r="227" spans="1:13" ht="15.75" x14ac:dyDescent="0.25">
      <c r="A227" s="445" t="s">
        <v>33</v>
      </c>
      <c r="B227" s="446"/>
      <c r="C227" s="4" t="s">
        <v>31</v>
      </c>
      <c r="D227" s="13">
        <f>Mulanje!P227</f>
        <v>0</v>
      </c>
      <c r="E227" s="13">
        <f>Luchenza!P227</f>
        <v>0</v>
      </c>
      <c r="F227" s="13">
        <f>Thyolo!P227</f>
        <v>0</v>
      </c>
      <c r="G227" s="13">
        <f>Muloza!P227</f>
        <v>0</v>
      </c>
      <c r="H227" s="13">
        <f>MUST!P227</f>
        <v>0</v>
      </c>
      <c r="I227" s="13">
        <f>Phalombe!P227</f>
        <v>0</v>
      </c>
      <c r="J227" s="13">
        <f>Mikolongwe!P227</f>
        <v>0</v>
      </c>
      <c r="K227" s="13">
        <f>Migowi!P227</f>
        <v>0</v>
      </c>
      <c r="L227" s="13">
        <f>Nkando!Q227</f>
        <v>0</v>
      </c>
      <c r="M227" s="8">
        <f t="shared" si="111"/>
        <v>0</v>
      </c>
    </row>
    <row r="228" spans="1:13" ht="15.75" x14ac:dyDescent="0.25">
      <c r="A228" s="445" t="s">
        <v>32</v>
      </c>
      <c r="B228" s="446"/>
      <c r="C228" s="4" t="s">
        <v>31</v>
      </c>
      <c r="D228" s="13">
        <f>Mulanje!P228</f>
        <v>0</v>
      </c>
      <c r="E228" s="13">
        <f>Luchenza!P228</f>
        <v>0</v>
      </c>
      <c r="F228" s="13">
        <f>Thyolo!P228</f>
        <v>0</v>
      </c>
      <c r="G228" s="13">
        <f>Muloza!P228</f>
        <v>0</v>
      </c>
      <c r="H228" s="13">
        <f>MUST!P228</f>
        <v>0</v>
      </c>
      <c r="I228" s="13">
        <f>Phalombe!P228</f>
        <v>0</v>
      </c>
      <c r="J228" s="13">
        <f>Mikolongwe!P228</f>
        <v>0</v>
      </c>
      <c r="K228" s="13">
        <f>Migowi!P228</f>
        <v>0</v>
      </c>
      <c r="L228" s="13">
        <f>Nkando!Q228</f>
        <v>0</v>
      </c>
      <c r="M228" s="8">
        <f t="shared" si="111"/>
        <v>0</v>
      </c>
    </row>
    <row r="229" spans="1:13" ht="15.75" x14ac:dyDescent="0.25">
      <c r="A229" s="449" t="s">
        <v>214</v>
      </c>
      <c r="B229" s="450"/>
      <c r="C229" s="4" t="s">
        <v>31</v>
      </c>
      <c r="D229" s="9">
        <f t="shared" ref="D229:K229" si="112">SUM(D225:D228)</f>
        <v>0</v>
      </c>
      <c r="E229" s="9">
        <f t="shared" si="112"/>
        <v>0</v>
      </c>
      <c r="F229" s="9">
        <f t="shared" si="112"/>
        <v>0</v>
      </c>
      <c r="G229" s="9">
        <f t="shared" si="112"/>
        <v>0</v>
      </c>
      <c r="H229" s="9">
        <f t="shared" si="112"/>
        <v>0</v>
      </c>
      <c r="I229" s="9">
        <f t="shared" si="112"/>
        <v>0</v>
      </c>
      <c r="J229" s="9">
        <f t="shared" si="112"/>
        <v>0</v>
      </c>
      <c r="K229" s="9">
        <f t="shared" si="112"/>
        <v>0</v>
      </c>
      <c r="L229" s="9">
        <f t="shared" ref="L229" si="113">SUM(L225:L228)</f>
        <v>0</v>
      </c>
      <c r="M229" s="8">
        <f t="shared" si="111"/>
        <v>0</v>
      </c>
    </row>
    <row r="230" spans="1:13" ht="15.75" x14ac:dyDescent="0.25">
      <c r="A230" s="66" t="s">
        <v>215</v>
      </c>
      <c r="B230" s="109"/>
      <c r="C230" s="4" t="s">
        <v>31</v>
      </c>
      <c r="D230" s="10">
        <f>D223+D229</f>
        <v>48809942.290000007</v>
      </c>
      <c r="E230" s="10">
        <f t="shared" ref="E230:K230" si="114">E223+E229</f>
        <v>14752271.609999998</v>
      </c>
      <c r="F230" s="10">
        <f t="shared" si="114"/>
        <v>11375200.449999999</v>
      </c>
      <c r="G230" s="10">
        <f t="shared" si="114"/>
        <v>9189771.3299999982</v>
      </c>
      <c r="H230" s="10">
        <f t="shared" si="114"/>
        <v>2425628.37</v>
      </c>
      <c r="I230" s="10">
        <f t="shared" si="114"/>
        <v>6857989.0499999998</v>
      </c>
      <c r="J230" s="10">
        <f t="shared" si="114"/>
        <v>0</v>
      </c>
      <c r="K230" s="10">
        <f t="shared" si="114"/>
        <v>0</v>
      </c>
      <c r="L230" s="10">
        <f t="shared" ref="L230" si="115">L223+L229</f>
        <v>0</v>
      </c>
      <c r="M230" s="8">
        <f t="shared" si="111"/>
        <v>93410803.100000009</v>
      </c>
    </row>
    <row r="231" spans="1:13" x14ac:dyDescent="0.25">
      <c r="A231" s="442" t="s">
        <v>30</v>
      </c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3"/>
      <c r="M231" s="444"/>
    </row>
    <row r="232" spans="1:13" ht="15.75" x14ac:dyDescent="0.25">
      <c r="A232" s="445" t="s">
        <v>29</v>
      </c>
      <c r="B232" s="446"/>
      <c r="C232" s="4" t="s">
        <v>18</v>
      </c>
      <c r="D232" s="13">
        <f>Mulanje!P232</f>
        <v>3279918.4699999997</v>
      </c>
      <c r="E232" s="13">
        <f>Luchenza!P232</f>
        <v>1305059.6600000001</v>
      </c>
      <c r="F232" s="13">
        <f>Thyolo!P232</f>
        <v>1219443.54</v>
      </c>
      <c r="G232" s="13">
        <f>Muloza!P232</f>
        <v>652243.35</v>
      </c>
      <c r="H232" s="13">
        <f>MUST!P232</f>
        <v>99177.260000000009</v>
      </c>
      <c r="I232" s="13">
        <f>Phalombe!P232</f>
        <v>550412.22</v>
      </c>
      <c r="J232" s="13">
        <f>Mikolongwe!P232</f>
        <v>0</v>
      </c>
      <c r="K232" s="13">
        <f>Migowi!P232</f>
        <v>0</v>
      </c>
      <c r="L232" s="13">
        <f>Nkando!P232</f>
        <v>0</v>
      </c>
      <c r="M232" s="8">
        <f>SUM(D232:L232)</f>
        <v>7106254.4999999991</v>
      </c>
    </row>
    <row r="233" spans="1:13" ht="15.75" x14ac:dyDescent="0.25">
      <c r="A233" s="445" t="s">
        <v>28</v>
      </c>
      <c r="B233" s="446"/>
      <c r="C233" s="4" t="s">
        <v>18</v>
      </c>
      <c r="D233" s="13">
        <f>Mulanje!P233</f>
        <v>7459.92</v>
      </c>
      <c r="E233" s="13">
        <f>Luchenza!P233</f>
        <v>1147.68</v>
      </c>
      <c r="F233" s="13">
        <f>Thyolo!P233</f>
        <v>573.84</v>
      </c>
      <c r="G233" s="13">
        <f>Muloza!P233</f>
        <v>573.84</v>
      </c>
      <c r="H233" s="13">
        <f>MUST!P233</f>
        <v>0</v>
      </c>
      <c r="I233" s="13">
        <f>Phalombe!P233</f>
        <v>0</v>
      </c>
      <c r="J233" s="13">
        <f>Mikolongwe!P233</f>
        <v>0</v>
      </c>
      <c r="K233" s="13">
        <f>Migowi!P233</f>
        <v>0</v>
      </c>
      <c r="L233" s="13">
        <f>Nkando!P233</f>
        <v>0</v>
      </c>
      <c r="M233" s="8">
        <f>SUM(D233:L233)</f>
        <v>9755.2800000000007</v>
      </c>
    </row>
    <row r="234" spans="1:13" ht="15.75" x14ac:dyDescent="0.25">
      <c r="A234" s="445" t="s">
        <v>27</v>
      </c>
      <c r="B234" s="446"/>
      <c r="C234" s="4" t="s">
        <v>18</v>
      </c>
      <c r="D234" s="13">
        <f>Mulanje!P234</f>
        <v>84841</v>
      </c>
      <c r="E234" s="13">
        <f>Luchenza!P234</f>
        <v>10180.92</v>
      </c>
      <c r="F234" s="13">
        <f>Thyolo!P234</f>
        <v>0</v>
      </c>
      <c r="G234" s="13">
        <f>Muloza!P234</f>
        <v>0</v>
      </c>
      <c r="H234" s="13">
        <f>MUST!P234</f>
        <v>33936.400000000001</v>
      </c>
      <c r="I234" s="13">
        <f>Phalombe!P234</f>
        <v>0</v>
      </c>
      <c r="J234" s="13">
        <f>Mikolongwe!P234</f>
        <v>0</v>
      </c>
      <c r="K234" s="13">
        <f>Migowi!P234</f>
        <v>0</v>
      </c>
      <c r="L234" s="13">
        <f>Nkando!P234</f>
        <v>0</v>
      </c>
      <c r="M234" s="8">
        <f>SUM(D234:L234)</f>
        <v>128958.32</v>
      </c>
    </row>
    <row r="235" spans="1:13" ht="15.75" x14ac:dyDescent="0.25">
      <c r="A235" s="445" t="s">
        <v>26</v>
      </c>
      <c r="B235" s="446"/>
      <c r="C235" s="4" t="s">
        <v>18</v>
      </c>
      <c r="D235" s="13">
        <f>Mulanje!P235</f>
        <v>157669.56</v>
      </c>
      <c r="E235" s="13">
        <f>Luchenza!P235</f>
        <v>64922.76</v>
      </c>
      <c r="F235" s="13">
        <f>Thyolo!P235</f>
        <v>27824.04</v>
      </c>
      <c r="G235" s="13">
        <f>Muloza!P235</f>
        <v>32461.38</v>
      </c>
      <c r="H235" s="13">
        <f>MUST!P235</f>
        <v>0</v>
      </c>
      <c r="I235" s="13">
        <f>Phalombe!P235</f>
        <v>13912.02</v>
      </c>
      <c r="J235" s="13">
        <f>Mikolongwe!P235</f>
        <v>0</v>
      </c>
      <c r="K235" s="13">
        <f>Migowi!P235</f>
        <v>0</v>
      </c>
      <c r="L235" s="13">
        <f>Nkando!P235</f>
        <v>0</v>
      </c>
      <c r="M235" s="8">
        <f>SUM(D235:L235)</f>
        <v>296789.76000000001</v>
      </c>
    </row>
    <row r="236" spans="1:13" ht="15.75" x14ac:dyDescent="0.25">
      <c r="A236" s="449" t="s">
        <v>25</v>
      </c>
      <c r="B236" s="450"/>
      <c r="C236" s="4" t="s">
        <v>18</v>
      </c>
      <c r="D236" s="9">
        <f t="shared" ref="D236:K236" si="116">SUM(D232:D235)</f>
        <v>3529888.9499999997</v>
      </c>
      <c r="E236" s="9">
        <f t="shared" si="116"/>
        <v>1381311.02</v>
      </c>
      <c r="F236" s="9">
        <f t="shared" si="116"/>
        <v>1247841.4200000002</v>
      </c>
      <c r="G236" s="9">
        <f t="shared" si="116"/>
        <v>685278.57</v>
      </c>
      <c r="H236" s="9">
        <f t="shared" si="116"/>
        <v>133113.66</v>
      </c>
      <c r="I236" s="9">
        <f t="shared" si="116"/>
        <v>564324.24</v>
      </c>
      <c r="J236" s="9">
        <f t="shared" si="116"/>
        <v>0</v>
      </c>
      <c r="K236" s="9">
        <f t="shared" si="116"/>
        <v>0</v>
      </c>
      <c r="L236" s="9">
        <f t="shared" ref="L236" si="117">SUM(L232:L235)</f>
        <v>0</v>
      </c>
      <c r="M236" s="35">
        <f t="shared" ref="M236" si="118">SUM(M232:M235)</f>
        <v>7541757.8599999994</v>
      </c>
    </row>
    <row r="237" spans="1:13" x14ac:dyDescent="0.25">
      <c r="A237" s="442" t="s">
        <v>24</v>
      </c>
      <c r="B237" s="443"/>
      <c r="C237" s="443"/>
      <c r="D237" s="443"/>
      <c r="E237" s="443"/>
      <c r="F237" s="443"/>
      <c r="G237" s="443"/>
      <c r="H237" s="443"/>
      <c r="I237" s="443"/>
      <c r="J237" s="443"/>
      <c r="K237" s="443"/>
      <c r="L237" s="443"/>
      <c r="M237" s="444"/>
    </row>
    <row r="238" spans="1:13" ht="15.75" x14ac:dyDescent="0.25">
      <c r="A238" s="445" t="s">
        <v>23</v>
      </c>
      <c r="B238" s="446"/>
      <c r="C238" s="4" t="s">
        <v>18</v>
      </c>
      <c r="D238" s="13">
        <f>Mulanje!P238</f>
        <v>5252626</v>
      </c>
      <c r="E238" s="13">
        <f>Luchenza!P238</f>
        <v>2076225</v>
      </c>
      <c r="F238" s="13">
        <f>Thyolo!P238</f>
        <v>2020859</v>
      </c>
      <c r="G238" s="13">
        <f>Muloza!P238</f>
        <v>1109106</v>
      </c>
      <c r="H238" s="13">
        <f>MUST!P238</f>
        <v>162526</v>
      </c>
      <c r="I238" s="13">
        <f>Phalombe!P238</f>
        <v>871568</v>
      </c>
      <c r="J238" s="13">
        <f>Mikolongwe!P238</f>
        <v>0</v>
      </c>
      <c r="K238" s="13">
        <f>Migowi!P238</f>
        <v>0</v>
      </c>
      <c r="L238" s="13">
        <f>Nkando!P238</f>
        <v>0</v>
      </c>
      <c r="M238" s="8">
        <f>SUM(D238:L238)</f>
        <v>11492910</v>
      </c>
    </row>
    <row r="239" spans="1:13" ht="15.75" x14ac:dyDescent="0.25">
      <c r="A239" s="445" t="s">
        <v>22</v>
      </c>
      <c r="B239" s="446"/>
      <c r="C239" s="4" t="s">
        <v>18</v>
      </c>
      <c r="D239" s="13">
        <f>Mulanje!P239</f>
        <v>34827</v>
      </c>
      <c r="E239" s="13">
        <f>Luchenza!P239</f>
        <v>5358</v>
      </c>
      <c r="F239" s="13">
        <f>Thyolo!P239</f>
        <v>2679</v>
      </c>
      <c r="G239" s="13">
        <f>Muloza!P239</f>
        <v>2679</v>
      </c>
      <c r="H239" s="13">
        <f>MUST!P239</f>
        <v>0</v>
      </c>
      <c r="I239" s="13">
        <f>Phalombe!P239</f>
        <v>0</v>
      </c>
      <c r="J239" s="13">
        <f>Mikolongwe!P239</f>
        <v>0</v>
      </c>
      <c r="K239" s="13">
        <f>Migowi!P239</f>
        <v>0</v>
      </c>
      <c r="L239" s="13">
        <f>Nkando!P239</f>
        <v>0</v>
      </c>
      <c r="M239" s="8">
        <f>SUM(D239:L239)</f>
        <v>45543</v>
      </c>
    </row>
    <row r="240" spans="1:13" ht="15.75" x14ac:dyDescent="0.25">
      <c r="A240" s="445" t="s">
        <v>21</v>
      </c>
      <c r="B240" s="446"/>
      <c r="C240" s="4" t="s">
        <v>18</v>
      </c>
      <c r="D240" s="13">
        <f>Mulanje!P240</f>
        <v>22325</v>
      </c>
      <c r="E240" s="13">
        <f>Luchenza!P240</f>
        <v>2679</v>
      </c>
      <c r="F240" s="13">
        <f>Thyolo!P240</f>
        <v>0</v>
      </c>
      <c r="G240" s="13">
        <f>Muloza!P240</f>
        <v>0</v>
      </c>
      <c r="H240" s="13">
        <f>MUST!P240</f>
        <v>8930</v>
      </c>
      <c r="I240" s="13">
        <f>Phalombe!P240</f>
        <v>0</v>
      </c>
      <c r="J240" s="13">
        <f>Mikolongwe!P240</f>
        <v>0</v>
      </c>
      <c r="K240" s="13">
        <f>Migowi!P240</f>
        <v>0</v>
      </c>
      <c r="L240" s="13">
        <f>Nkando!P240</f>
        <v>0</v>
      </c>
      <c r="M240" s="8">
        <f>SUM(D240:L240)</f>
        <v>33934</v>
      </c>
    </row>
    <row r="241" spans="1:13" ht="15.75" x14ac:dyDescent="0.25">
      <c r="A241" s="445" t="s">
        <v>20</v>
      </c>
      <c r="B241" s="446"/>
      <c r="C241" s="4" t="s">
        <v>18</v>
      </c>
      <c r="D241" s="13">
        <f>Mulanje!P241</f>
        <v>30362</v>
      </c>
      <c r="E241" s="13">
        <f>Luchenza!P241</f>
        <v>12502</v>
      </c>
      <c r="F241" s="13">
        <f>Thyolo!P241</f>
        <v>5358</v>
      </c>
      <c r="G241" s="13">
        <f>Muloza!P241</f>
        <v>6251</v>
      </c>
      <c r="H241" s="13">
        <f>MUST!P241</f>
        <v>0</v>
      </c>
      <c r="I241" s="13">
        <f>Phalombe!P241</f>
        <v>2679</v>
      </c>
      <c r="J241" s="13">
        <f>Mikolongwe!P241</f>
        <v>0</v>
      </c>
      <c r="K241" s="13">
        <f>Migowi!P241</f>
        <v>0</v>
      </c>
      <c r="L241" s="13">
        <f>Nkando!P241</f>
        <v>0</v>
      </c>
      <c r="M241" s="8">
        <f>SUM(D241:L241)</f>
        <v>57152</v>
      </c>
    </row>
    <row r="242" spans="1:13" ht="15.75" x14ac:dyDescent="0.25">
      <c r="A242" s="449" t="s">
        <v>19</v>
      </c>
      <c r="B242" s="450"/>
      <c r="C242" s="4" t="s">
        <v>18</v>
      </c>
      <c r="D242" s="9">
        <f t="shared" ref="D242:K242" si="119">SUM(D238:D241)</f>
        <v>5340140</v>
      </c>
      <c r="E242" s="9">
        <f t="shared" si="119"/>
        <v>2096764</v>
      </c>
      <c r="F242" s="9">
        <f t="shared" si="119"/>
        <v>2028896</v>
      </c>
      <c r="G242" s="9">
        <f t="shared" si="119"/>
        <v>1118036</v>
      </c>
      <c r="H242" s="9">
        <f t="shared" si="119"/>
        <v>171456</v>
      </c>
      <c r="I242" s="9">
        <f t="shared" si="119"/>
        <v>874247</v>
      </c>
      <c r="J242" s="9">
        <f t="shared" si="119"/>
        <v>0</v>
      </c>
      <c r="K242" s="9">
        <f t="shared" si="119"/>
        <v>0</v>
      </c>
      <c r="L242" s="9">
        <f t="shared" ref="L242" si="120">SUM(L238:L241)</f>
        <v>0</v>
      </c>
      <c r="M242" s="35">
        <f t="shared" ref="M242" si="121">SUM(M238:M241)</f>
        <v>11629539</v>
      </c>
    </row>
    <row r="243" spans="1:13" ht="15.75" x14ac:dyDescent="0.25">
      <c r="A243" s="449" t="s">
        <v>216</v>
      </c>
      <c r="B243" s="450"/>
      <c r="C243" s="4" t="s">
        <v>18</v>
      </c>
      <c r="D243" s="9">
        <f>D230+D236+D242</f>
        <v>57679971.24000001</v>
      </c>
      <c r="E243" s="9">
        <f t="shared" ref="E243:K243" si="122">E230+E236+E242</f>
        <v>18230346.629999995</v>
      </c>
      <c r="F243" s="9">
        <f t="shared" si="122"/>
        <v>14651937.869999999</v>
      </c>
      <c r="G243" s="9">
        <f t="shared" si="122"/>
        <v>10993085.899999999</v>
      </c>
      <c r="H243" s="9">
        <f t="shared" si="122"/>
        <v>2730198.0300000003</v>
      </c>
      <c r="I243" s="9">
        <f t="shared" si="122"/>
        <v>8296560.29</v>
      </c>
      <c r="J243" s="9">
        <f t="shared" si="122"/>
        <v>0</v>
      </c>
      <c r="K243" s="9">
        <f t="shared" si="122"/>
        <v>0</v>
      </c>
      <c r="L243" s="9">
        <f t="shared" ref="L243" si="123">L230+L236+L242</f>
        <v>0</v>
      </c>
      <c r="M243" s="35">
        <f t="shared" ref="M243" si="124">M216+M223+M236+M242</f>
        <v>469381938.71000004</v>
      </c>
    </row>
    <row r="244" spans="1:13" x14ac:dyDescent="0.25">
      <c r="A244" s="442" t="s">
        <v>206</v>
      </c>
      <c r="B244" s="443"/>
      <c r="C244" s="443"/>
      <c r="D244" s="443"/>
      <c r="E244" s="443"/>
      <c r="F244" s="443"/>
      <c r="G244" s="443"/>
      <c r="H244" s="443"/>
      <c r="I244" s="443"/>
      <c r="J244" s="443"/>
      <c r="K244" s="443"/>
      <c r="L244" s="443"/>
      <c r="M244" s="444"/>
    </row>
    <row r="245" spans="1:13" ht="15.75" x14ac:dyDescent="0.25">
      <c r="A245" s="456" t="s">
        <v>207</v>
      </c>
      <c r="B245" s="457"/>
      <c r="C245" s="4" t="s">
        <v>18</v>
      </c>
      <c r="D245" s="13">
        <f>Mulanje!P245</f>
        <v>0</v>
      </c>
      <c r="E245" s="13">
        <f>Luchenza!P245</f>
        <v>0</v>
      </c>
      <c r="F245" s="13">
        <f>Thyolo!P245</f>
        <v>0</v>
      </c>
      <c r="G245" s="13">
        <f>Muloza!P245</f>
        <v>0</v>
      </c>
      <c r="H245" s="13">
        <f>MUST!P245</f>
        <v>0</v>
      </c>
      <c r="I245" s="13">
        <f>Phalombe!P245</f>
        <v>0</v>
      </c>
      <c r="J245" s="13">
        <f>Mikolongwe!P245</f>
        <v>0</v>
      </c>
      <c r="K245" s="13">
        <f>Migowi!P245</f>
        <v>0</v>
      </c>
      <c r="L245" s="13">
        <f>Nkando!Q245</f>
        <v>0</v>
      </c>
      <c r="M245" s="35">
        <f>SUM(D245:L245)</f>
        <v>0</v>
      </c>
    </row>
    <row r="246" spans="1:13" ht="15.75" x14ac:dyDescent="0.25">
      <c r="A246" s="456" t="s">
        <v>208</v>
      </c>
      <c r="B246" s="457"/>
      <c r="C246" s="4" t="s">
        <v>18</v>
      </c>
      <c r="D246" s="13">
        <f>Mulanje!P246</f>
        <v>0</v>
      </c>
      <c r="E246" s="13">
        <f>Luchenza!P246</f>
        <v>0</v>
      </c>
      <c r="F246" s="13">
        <f>Thyolo!P246</f>
        <v>0</v>
      </c>
      <c r="G246" s="13">
        <f>Muloza!P246</f>
        <v>0</v>
      </c>
      <c r="H246" s="13">
        <f>MUST!P246</f>
        <v>0</v>
      </c>
      <c r="I246" s="13">
        <f>Phalombe!P246</f>
        <v>0</v>
      </c>
      <c r="J246" s="13">
        <f>Mikolongwe!P246</f>
        <v>0</v>
      </c>
      <c r="K246" s="13">
        <f>Migowi!P246</f>
        <v>0</v>
      </c>
      <c r="L246" s="13">
        <f>Nkando!Q246</f>
        <v>0</v>
      </c>
      <c r="M246" s="35">
        <f>SUM(D246:L246)</f>
        <v>0</v>
      </c>
    </row>
    <row r="247" spans="1:13" ht="15.75" x14ac:dyDescent="0.25">
      <c r="A247" s="458" t="s">
        <v>209</v>
      </c>
      <c r="B247" s="459"/>
      <c r="C247" s="4" t="s">
        <v>18</v>
      </c>
      <c r="D247" s="129">
        <f>D245+D246</f>
        <v>0</v>
      </c>
      <c r="E247" s="129">
        <f t="shared" ref="E247:M247" si="125">E245+E246</f>
        <v>0</v>
      </c>
      <c r="F247" s="129">
        <f t="shared" si="125"/>
        <v>0</v>
      </c>
      <c r="G247" s="129">
        <f t="shared" si="125"/>
        <v>0</v>
      </c>
      <c r="H247" s="129">
        <f t="shared" si="125"/>
        <v>0</v>
      </c>
      <c r="I247" s="129">
        <f t="shared" si="125"/>
        <v>0</v>
      </c>
      <c r="J247" s="129">
        <f t="shared" si="125"/>
        <v>0</v>
      </c>
      <c r="K247" s="129">
        <f t="shared" si="125"/>
        <v>0</v>
      </c>
      <c r="L247" s="129">
        <f t="shared" ref="L247" si="126">L245+L246</f>
        <v>0</v>
      </c>
      <c r="M247" s="147">
        <f t="shared" si="125"/>
        <v>0</v>
      </c>
    </row>
    <row r="248" spans="1:13" x14ac:dyDescent="0.25">
      <c r="A248" s="442" t="s">
        <v>17</v>
      </c>
      <c r="B248" s="443"/>
      <c r="C248" s="443"/>
      <c r="D248" s="443"/>
      <c r="E248" s="443"/>
      <c r="F248" s="443"/>
      <c r="G248" s="443"/>
      <c r="H248" s="443"/>
      <c r="I248" s="443"/>
      <c r="J248" s="443"/>
      <c r="K248" s="443"/>
      <c r="L248" s="443"/>
      <c r="M248" s="444"/>
    </row>
    <row r="249" spans="1:13" ht="15.75" x14ac:dyDescent="0.25">
      <c r="A249" s="445" t="s">
        <v>16</v>
      </c>
      <c r="B249" s="446"/>
      <c r="C249" s="4" t="s">
        <v>6</v>
      </c>
      <c r="D249" s="7">
        <f>D58/D243%</f>
        <v>148.0743644282025</v>
      </c>
      <c r="E249" s="7">
        <f t="shared" ref="E249:M249" si="127">E58/E243%</f>
        <v>291.20704269132165</v>
      </c>
      <c r="F249" s="7">
        <f t="shared" si="127"/>
        <v>531.80151999238581</v>
      </c>
      <c r="G249" s="7">
        <f t="shared" si="127"/>
        <v>358.73835264491117</v>
      </c>
      <c r="H249" s="7">
        <f t="shared" si="127"/>
        <v>2319.8453707037506</v>
      </c>
      <c r="I249" s="7">
        <f t="shared" si="127"/>
        <v>312.55809726056964</v>
      </c>
      <c r="J249" s="7" t="e">
        <f t="shared" si="127"/>
        <v>#DIV/0!</v>
      </c>
      <c r="K249" s="7" t="e">
        <f t="shared" si="127"/>
        <v>#DIV/0!</v>
      </c>
      <c r="L249" s="7" t="e">
        <f t="shared" ref="L249" si="128">L58/L243%</f>
        <v>#DIV/0!</v>
      </c>
      <c r="M249" s="101">
        <f t="shared" si="127"/>
        <v>75.775248883904794</v>
      </c>
    </row>
    <row r="250" spans="1:13" ht="15.75" x14ac:dyDescent="0.25">
      <c r="A250" s="445" t="s">
        <v>210</v>
      </c>
      <c r="B250" s="446"/>
      <c r="C250" s="4" t="s">
        <v>6</v>
      </c>
      <c r="D250" s="25">
        <f>D210/(D223+D245)%</f>
        <v>108.00212599472835</v>
      </c>
      <c r="E250" s="25">
        <f t="shared" ref="E250:M250" si="129">E210/(E223+E245)%</f>
        <v>105.36038490142742</v>
      </c>
      <c r="F250" s="25">
        <f t="shared" si="129"/>
        <v>103.42488900931851</v>
      </c>
      <c r="G250" s="25">
        <f t="shared" si="129"/>
        <v>88.652297728065449</v>
      </c>
      <c r="H250" s="25">
        <f t="shared" si="129"/>
        <v>60.032273204324376</v>
      </c>
      <c r="I250" s="25">
        <f t="shared" si="129"/>
        <v>152.85184000111522</v>
      </c>
      <c r="J250" s="25" t="e">
        <f t="shared" si="129"/>
        <v>#DIV/0!</v>
      </c>
      <c r="K250" s="25" t="e">
        <f t="shared" si="129"/>
        <v>#DIV/0!</v>
      </c>
      <c r="L250" s="25" t="e">
        <f t="shared" ref="L250" si="130">L210/(L223+L245)%</f>
        <v>#DIV/0!</v>
      </c>
      <c r="M250" s="98">
        <f t="shared" si="129"/>
        <v>107.1709870568493</v>
      </c>
    </row>
    <row r="251" spans="1:13" ht="16.5" thickBot="1" x14ac:dyDescent="0.3">
      <c r="A251" s="451" t="s">
        <v>15</v>
      </c>
      <c r="B251" s="452"/>
      <c r="C251" s="4" t="s">
        <v>6</v>
      </c>
      <c r="D251" s="6">
        <f>D210/D223%</f>
        <v>108.00212599472835</v>
      </c>
      <c r="E251" s="6">
        <f t="shared" ref="E251:M251" si="131">E210/E223%</f>
        <v>105.36038490142742</v>
      </c>
      <c r="F251" s="6">
        <f t="shared" si="131"/>
        <v>103.42488900931851</v>
      </c>
      <c r="G251" s="6">
        <f t="shared" si="131"/>
        <v>88.652297728065449</v>
      </c>
      <c r="H251" s="6">
        <f t="shared" si="131"/>
        <v>60.032273204324376</v>
      </c>
      <c r="I251" s="6">
        <f t="shared" si="131"/>
        <v>152.85184000111522</v>
      </c>
      <c r="J251" s="6" t="e">
        <f t="shared" si="131"/>
        <v>#DIV/0!</v>
      </c>
      <c r="K251" s="6" t="e">
        <f t="shared" si="131"/>
        <v>#DIV/0!</v>
      </c>
      <c r="L251" s="6" t="e">
        <f t="shared" ref="L251" si="132">L210/L223%</f>
        <v>#DIV/0!</v>
      </c>
      <c r="M251" s="102">
        <f t="shared" si="131"/>
        <v>107.1709870568493</v>
      </c>
    </row>
    <row r="252" spans="1:13" x14ac:dyDescent="0.25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5"/>
    </row>
    <row r="253" spans="1:13" ht="15" customHeight="1" x14ac:dyDescent="0.25">
      <c r="A253" s="445" t="s">
        <v>13</v>
      </c>
      <c r="B253" s="446"/>
      <c r="C253" s="4" t="s">
        <v>3</v>
      </c>
      <c r="D253" s="22">
        <f>Mulanje!P253</f>
        <v>70</v>
      </c>
      <c r="E253" s="22">
        <f>Luchenza!P253</f>
        <v>54</v>
      </c>
      <c r="F253" s="22">
        <f>Thyolo!P253</f>
        <v>44</v>
      </c>
      <c r="G253" s="22">
        <f>Muloza!P253</f>
        <v>30</v>
      </c>
      <c r="H253" s="22">
        <f>MUST!P253</f>
        <v>17</v>
      </c>
      <c r="I253" s="22">
        <f>Phalombe!P253</f>
        <v>16</v>
      </c>
      <c r="J253" s="22">
        <f>Mikolongwe!P253</f>
        <v>0</v>
      </c>
      <c r="K253" s="22">
        <f>Migowi!P253</f>
        <v>0</v>
      </c>
      <c r="L253" s="22">
        <f>Nkando!Q253</f>
        <v>0</v>
      </c>
      <c r="M253" s="103">
        <f>SUM(D253:L253)</f>
        <v>231</v>
      </c>
    </row>
    <row r="254" spans="1:13" ht="15.75" x14ac:dyDescent="0.25">
      <c r="A254" s="445" t="s">
        <v>12</v>
      </c>
      <c r="B254" s="446"/>
      <c r="C254" s="4" t="s">
        <v>3</v>
      </c>
      <c r="D254" s="22">
        <f>Mulanje!P254</f>
        <v>15</v>
      </c>
      <c r="E254" s="22">
        <f>Luchenza!P254</f>
        <v>3</v>
      </c>
      <c r="F254" s="22">
        <f>Thyolo!P254</f>
        <v>15</v>
      </c>
      <c r="G254" s="22">
        <f>Muloza!P254</f>
        <v>15</v>
      </c>
      <c r="H254" s="22">
        <f>MUST!P254</f>
        <v>3</v>
      </c>
      <c r="I254" s="22">
        <f>Phalombe!P254</f>
        <v>3</v>
      </c>
      <c r="J254" s="22">
        <f>Mikolongwe!P254</f>
        <v>0</v>
      </c>
      <c r="K254" s="22">
        <f>Migowi!P254</f>
        <v>0</v>
      </c>
      <c r="L254" s="22">
        <f>Nkando!Q254</f>
        <v>0</v>
      </c>
      <c r="M254" s="103">
        <f>SUM(D254:L254)</f>
        <v>54</v>
      </c>
    </row>
    <row r="255" spans="1:13" ht="15.75" customHeight="1" x14ac:dyDescent="0.25">
      <c r="A255" s="445" t="s">
        <v>11</v>
      </c>
      <c r="B255" s="446"/>
      <c r="C255" s="4" t="s">
        <v>3</v>
      </c>
      <c r="D255" s="3">
        <f>D95</f>
        <v>20</v>
      </c>
      <c r="E255" s="3">
        <f t="shared" ref="E255:K255" si="133">E95</f>
        <v>43</v>
      </c>
      <c r="F255" s="3">
        <f t="shared" si="133"/>
        <v>16</v>
      </c>
      <c r="G255" s="3">
        <f t="shared" si="133"/>
        <v>72</v>
      </c>
      <c r="H255" s="3">
        <f t="shared" si="133"/>
        <v>3</v>
      </c>
      <c r="I255" s="3">
        <f t="shared" si="133"/>
        <v>40</v>
      </c>
      <c r="J255" s="3">
        <f t="shared" si="133"/>
        <v>0</v>
      </c>
      <c r="K255" s="3">
        <f t="shared" si="133"/>
        <v>0</v>
      </c>
      <c r="L255" s="3">
        <f t="shared" ref="L255" si="134">L95</f>
        <v>6</v>
      </c>
      <c r="M255" s="103">
        <f>SUM(D255:L255)</f>
        <v>200</v>
      </c>
    </row>
    <row r="256" spans="1:13" ht="15.75" x14ac:dyDescent="0.25">
      <c r="A256" s="445" t="s">
        <v>10</v>
      </c>
      <c r="B256" s="446"/>
      <c r="C256" s="4" t="s">
        <v>3</v>
      </c>
      <c r="D256" s="3">
        <f>D91</f>
        <v>70</v>
      </c>
      <c r="E256" s="3">
        <f t="shared" ref="E256:K256" si="135">E91</f>
        <v>54</v>
      </c>
      <c r="F256" s="3">
        <f t="shared" si="135"/>
        <v>44</v>
      </c>
      <c r="G256" s="3">
        <f t="shared" si="135"/>
        <v>31</v>
      </c>
      <c r="H256" s="3">
        <f t="shared" si="135"/>
        <v>18</v>
      </c>
      <c r="I256" s="3">
        <f t="shared" si="135"/>
        <v>16</v>
      </c>
      <c r="J256" s="3">
        <f t="shared" si="135"/>
        <v>0</v>
      </c>
      <c r="K256" s="3">
        <f t="shared" si="135"/>
        <v>0</v>
      </c>
      <c r="L256" s="3">
        <f t="shared" ref="L256" si="136">L91</f>
        <v>0</v>
      </c>
      <c r="M256" s="103">
        <f>SUM(D256:L256)</f>
        <v>233</v>
      </c>
    </row>
    <row r="257" spans="1:13" ht="15.6" customHeight="1" x14ac:dyDescent="0.25">
      <c r="A257" s="445" t="s">
        <v>9</v>
      </c>
      <c r="B257" s="446"/>
      <c r="C257" s="4" t="s">
        <v>3</v>
      </c>
      <c r="D257" s="22">
        <f>Mulanje!P257</f>
        <v>90</v>
      </c>
      <c r="E257" s="22">
        <f>Luchenza!P257</f>
        <v>21</v>
      </c>
      <c r="F257" s="22">
        <f>Thyolo!P257</f>
        <v>90</v>
      </c>
      <c r="G257" s="22">
        <f>Muloza!P257</f>
        <v>44</v>
      </c>
      <c r="H257" s="22">
        <f>MUST!P257</f>
        <v>15</v>
      </c>
      <c r="I257" s="22">
        <f>Phalombe!P257</f>
        <v>90</v>
      </c>
      <c r="J257" s="22">
        <f>Mikolongwe!P257</f>
        <v>0</v>
      </c>
      <c r="K257" s="22">
        <f>Migowi!P257</f>
        <v>0</v>
      </c>
      <c r="L257" s="22">
        <f>Nkando!Q257</f>
        <v>0</v>
      </c>
      <c r="M257" s="103">
        <f>SUM(D257:L257)</f>
        <v>350</v>
      </c>
    </row>
    <row r="258" spans="1:13" ht="15.75" x14ac:dyDescent="0.25">
      <c r="A258" s="449" t="s">
        <v>8</v>
      </c>
      <c r="B258" s="450"/>
      <c r="C258" s="4" t="s">
        <v>3</v>
      </c>
      <c r="D258" s="1">
        <f t="shared" ref="D258:M258" si="137">D257/D256</f>
        <v>1.2857142857142858</v>
      </c>
      <c r="E258" s="1">
        <f t="shared" si="137"/>
        <v>0.3888888888888889</v>
      </c>
      <c r="F258" s="1">
        <f t="shared" si="137"/>
        <v>2.0454545454545454</v>
      </c>
      <c r="G258" s="2">
        <f t="shared" si="137"/>
        <v>1.4193548387096775</v>
      </c>
      <c r="H258" s="2">
        <f t="shared" si="137"/>
        <v>0.83333333333333337</v>
      </c>
      <c r="I258" s="2">
        <f t="shared" si="137"/>
        <v>5.625</v>
      </c>
      <c r="J258" s="2" t="e">
        <f t="shared" si="137"/>
        <v>#DIV/0!</v>
      </c>
      <c r="K258" s="2" t="e">
        <f t="shared" si="137"/>
        <v>#DIV/0!</v>
      </c>
      <c r="L258" s="2" t="e">
        <f t="shared" ref="L258" si="138">L257/L256</f>
        <v>#DIV/0!</v>
      </c>
      <c r="M258" s="103">
        <f t="shared" si="137"/>
        <v>1.502145922746781</v>
      </c>
    </row>
    <row r="259" spans="1:13" ht="15.75" x14ac:dyDescent="0.25">
      <c r="A259" s="449" t="s">
        <v>7</v>
      </c>
      <c r="B259" s="450"/>
      <c r="C259" s="4" t="s">
        <v>6</v>
      </c>
      <c r="D259" s="1">
        <f t="shared" ref="D259:M259" si="139">D92/D255*100</f>
        <v>0</v>
      </c>
      <c r="E259" s="1">
        <f t="shared" si="139"/>
        <v>11.627906976744185</v>
      </c>
      <c r="F259" s="1">
        <f t="shared" si="139"/>
        <v>12.5</v>
      </c>
      <c r="G259" s="5">
        <f t="shared" si="139"/>
        <v>1.3888888888888888</v>
      </c>
      <c r="H259" s="5">
        <f t="shared" si="139"/>
        <v>400</v>
      </c>
      <c r="I259" s="5">
        <f t="shared" si="139"/>
        <v>0</v>
      </c>
      <c r="J259" s="5" t="e">
        <f t="shared" si="139"/>
        <v>#DIV/0!</v>
      </c>
      <c r="K259" s="5" t="e">
        <f t="shared" si="139"/>
        <v>#DIV/0!</v>
      </c>
      <c r="L259" s="5">
        <f t="shared" ref="L259" si="140">L92/L255*100</f>
        <v>0</v>
      </c>
      <c r="M259" s="104">
        <f t="shared" si="139"/>
        <v>10</v>
      </c>
    </row>
    <row r="260" spans="1:13" x14ac:dyDescent="0.25">
      <c r="A260" s="442" t="s">
        <v>5</v>
      </c>
      <c r="B260" s="443"/>
      <c r="C260" s="443"/>
      <c r="D260" s="443"/>
      <c r="E260" s="443"/>
      <c r="F260" s="443"/>
      <c r="G260" s="443"/>
      <c r="H260" s="443"/>
      <c r="I260" s="443"/>
      <c r="J260" s="443"/>
      <c r="K260" s="443"/>
      <c r="L260" s="443"/>
      <c r="M260" s="444"/>
    </row>
    <row r="261" spans="1:13" ht="15" customHeight="1" x14ac:dyDescent="0.25">
      <c r="A261" s="445" t="s">
        <v>4</v>
      </c>
      <c r="B261" s="446"/>
      <c r="C261" s="4" t="s">
        <v>3</v>
      </c>
      <c r="D261" s="22">
        <f>Mulanje!P261</f>
        <v>47</v>
      </c>
      <c r="E261" s="22">
        <f>Luchenza!P261</f>
        <v>39</v>
      </c>
      <c r="F261" s="22">
        <f>Thyolo!P261</f>
        <v>65</v>
      </c>
      <c r="G261" s="22">
        <f>Muloza!P261</f>
        <v>37</v>
      </c>
      <c r="H261" s="22">
        <f>MUST!P261</f>
        <v>13</v>
      </c>
      <c r="I261" s="22">
        <f>Phalombe!P261</f>
        <v>30</v>
      </c>
      <c r="J261" s="22">
        <f>Mikolongwe!P261</f>
        <v>8</v>
      </c>
      <c r="K261" s="22">
        <f>Migowi!P261</f>
        <v>16</v>
      </c>
      <c r="L261" s="22">
        <f>Nkando!Q261</f>
        <v>0</v>
      </c>
      <c r="M261" s="35">
        <f>SUM(B261:L261)</f>
        <v>255</v>
      </c>
    </row>
    <row r="262" spans="1:13" ht="15.75" customHeight="1" x14ac:dyDescent="0.25">
      <c r="A262" s="445" t="s">
        <v>2</v>
      </c>
      <c r="B262" s="446"/>
      <c r="C262" s="4" t="s">
        <v>0</v>
      </c>
      <c r="D262" s="22">
        <f>Mulanje!P262</f>
        <v>90</v>
      </c>
      <c r="E262" s="22">
        <f>Luchenza!P262</f>
        <v>43</v>
      </c>
      <c r="F262" s="22">
        <f>Thyolo!P262</f>
        <v>17</v>
      </c>
      <c r="G262" s="22">
        <f>Muloza!P262</f>
        <v>10</v>
      </c>
      <c r="H262" s="22">
        <f>MUST!P262</f>
        <v>4</v>
      </c>
      <c r="I262" s="22">
        <f>Phalombe!P262</f>
        <v>7</v>
      </c>
      <c r="J262" s="22">
        <f>Mikolongwe!P262</f>
        <v>5</v>
      </c>
      <c r="K262" s="22">
        <f>Migowi!P262</f>
        <v>5</v>
      </c>
      <c r="L262" s="22">
        <f>Nkando!Q262</f>
        <v>0</v>
      </c>
      <c r="M262" s="35">
        <f>SUM(B262:L262)</f>
        <v>181</v>
      </c>
    </row>
    <row r="263" spans="1:13" ht="16.5" thickBot="1" x14ac:dyDescent="0.3">
      <c r="A263" s="447" t="s">
        <v>1</v>
      </c>
      <c r="B263" s="448"/>
      <c r="C263" s="105" t="s">
        <v>0</v>
      </c>
      <c r="D263" s="106">
        <f>D261/D262</f>
        <v>0.52222222222222225</v>
      </c>
      <c r="E263" s="106">
        <f t="shared" ref="E263:M263" si="141">E261/E262</f>
        <v>0.90697674418604646</v>
      </c>
      <c r="F263" s="106">
        <f t="shared" si="141"/>
        <v>3.8235294117647061</v>
      </c>
      <c r="G263" s="106">
        <f t="shared" si="141"/>
        <v>3.7</v>
      </c>
      <c r="H263" s="106">
        <f t="shared" si="141"/>
        <v>3.25</v>
      </c>
      <c r="I263" s="106">
        <f t="shared" si="141"/>
        <v>4.2857142857142856</v>
      </c>
      <c r="J263" s="106">
        <f t="shared" si="141"/>
        <v>1.6</v>
      </c>
      <c r="K263" s="106">
        <f t="shared" si="141"/>
        <v>3.2</v>
      </c>
      <c r="L263" s="106" t="e">
        <f t="shared" ref="L263" si="142">L261/L262</f>
        <v>#DIV/0!</v>
      </c>
      <c r="M263" s="167">
        <f t="shared" si="141"/>
        <v>1.4088397790055249</v>
      </c>
    </row>
    <row r="265" spans="1:13" x14ac:dyDescent="0.25">
      <c r="D265" s="153">
        <f>D210/9</f>
        <v>5857308.3744444437</v>
      </c>
      <c r="E265" s="153">
        <f t="shared" ref="E265:H265" si="143">E210/9</f>
        <v>1727005.5722222223</v>
      </c>
      <c r="F265" s="153">
        <f t="shared" si="143"/>
        <v>1307198.7155555554</v>
      </c>
      <c r="G265" s="153">
        <f t="shared" si="143"/>
        <v>905215.93777777767</v>
      </c>
      <c r="H265" s="153">
        <f t="shared" si="143"/>
        <v>161795.5388888889</v>
      </c>
      <c r="I265" s="153"/>
      <c r="J265" s="153"/>
      <c r="K265" s="153"/>
      <c r="L265" s="153"/>
      <c r="M265" s="153"/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Luchenza</vt:lpstr>
      <vt:lpstr>Mulanje</vt:lpstr>
      <vt:lpstr>Thyolo</vt:lpstr>
      <vt:lpstr>Muloza</vt:lpstr>
      <vt:lpstr>MUST</vt:lpstr>
      <vt:lpstr>Phalombe</vt:lpstr>
      <vt:lpstr>Mikolongwe</vt:lpstr>
      <vt:lpstr>Migowi</vt:lpstr>
      <vt:lpstr>Nkando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USER</cp:lastModifiedBy>
  <cp:lastPrinted>2022-08-30T11:52:10Z</cp:lastPrinted>
  <dcterms:created xsi:type="dcterms:W3CDTF">2022-06-08T08:26:11Z</dcterms:created>
  <dcterms:modified xsi:type="dcterms:W3CDTF">2026-08-22T02:19:02Z</dcterms:modified>
</cp:coreProperties>
</file>